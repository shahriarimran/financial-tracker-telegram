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filterPrivacy="1" codeName="ThisWorkbook"/>
  <xr:revisionPtr revIDLastSave="0" documentId="13_ncr:1_{2F085C58-11F4-41A4-BEE9-37CE7AE3F16F}" xr6:coauthVersionLast="47" xr6:coauthVersionMax="47" xr10:uidLastSave="{00000000-0000-0000-0000-000000000000}"/>
  <bookViews>
    <workbookView xWindow="-120" yWindow="-120" windowWidth="29040" windowHeight="15720" xr2:uid="{00000000-000D-0000-FFFF-FFFF00000000}"/>
  </bookViews>
  <sheets>
    <sheet name="Financial Tracker" sheetId="3" r:id="rId1"/>
    <sheet name="Trends" sheetId="9" r:id="rId2"/>
    <sheet name="Daily Log" sheetId="11" r:id="rId3"/>
    <sheet name="Ledger" sheetId="10" r:id="rId4"/>
    <sheet name="Forecast" sheetId="12" r:id="rId5"/>
    <sheet name="Notes" sheetId="14" r:id="rId6"/>
  </sheets>
  <definedNames>
    <definedName name="_xleta.AVERAGE" hidden="1" xlm="1">#NAME?</definedName>
    <definedName name="_xleta.DAY" hidden="1" xlm="1">#NAME?</definedName>
    <definedName name="_xleta.FILTER" hidden="1" xlm="1">#NAME?</definedName>
    <definedName name="_xleta.FORECAST" hidden="1" xlm="1">#NAME?</definedName>
    <definedName name="_xleta.FORECAST.ETS" hidden="1" xlm="1">#NAME?</definedName>
    <definedName name="_xleta.LOG" hidden="1" xlm="1">#NAME?</definedName>
    <definedName name="_xleta.N" hidden="1" xlm="1">#NAME?</definedName>
    <definedName name="_xleta.ROUND" hidden="1" xlm="1">#NAME?</definedName>
    <definedName name="_xlpm.asOf" hidden="1" xlm="1">#NAME?</definedName>
    <definedName name="_xlpm.c" hidden="1" xlm="1">#NAME?</definedName>
    <definedName name="_xlpm.change" hidden="1" xlm="1">#NAME?</definedName>
    <definedName name="_xlpm.currentPrice" hidden="1" xlm="1">#NAME?</definedName>
    <definedName name="_xlpm.d" hidden="1" xlm="1">#NAME?</definedName>
    <definedName name="_xlpm.data" hidden="1" xlm="1">#NAME?</definedName>
    <definedName name="_xlpm.dateRange" hidden="1" xlm="1">#NAME?</definedName>
    <definedName name="_xlpm.dates" hidden="1" xlm="1">#NAME?</definedName>
    <definedName name="_xlpm.daysBack" hidden="1" xlm="1">#NAME?</definedName>
    <definedName name="_xlpm.Drng" hidden="1" xlm="1">#NAME?</definedName>
    <definedName name="_xlpm.Frng" hidden="1" xlm="1">#NAME?</definedName>
    <definedName name="_xlpm.history" hidden="1" xlm="1">#NAME?</definedName>
    <definedName name="_xlpm.lastRow" hidden="1" xlm="1">#NAME?</definedName>
    <definedName name="_xlpm.mu" hidden="1" xlm="1">#NAME?</definedName>
    <definedName name="_xlpm.n" hidden="1" xlm="1">#NAME?</definedName>
    <definedName name="_xlpm.oldPrice" hidden="1" xlm="1">#NAME?</definedName>
    <definedName name="_xlpm.priceRange" hidden="1" xlm="1">#NAME?</definedName>
    <definedName name="_xlpm.prices" hidden="1" xlm="1">#NAME?</definedName>
    <definedName name="_xlpm.startRow" hidden="1" xlm="1">#NAME?</definedName>
    <definedName name="_xlpm.timeline" hidden="1" xlm="1">#NAME?</definedName>
    <definedName name="_xlpm.valid" hidden="1" xlm="1">#NAME?</definedName>
    <definedName name="_xlpm.vals" hidden="1" xlm="1">#NAME?</definedName>
    <definedName name="_xlpm.vals0" hidden="1" xlm="1">#NAME?</definedName>
    <definedName name="_xlpm.valueRange" hidden="1" xlm="1">#NAME?</definedName>
    <definedName name="_xlpm.values" hidden="1" xlm="1">#NAME?</definedName>
    <definedName name="_xlpm.wkE" hidden="1" xlm="1">#NAME?</definedName>
    <definedName name="_xlpm.wkEnd" hidden="1" xlm="1">#NAME?</definedName>
    <definedName name="_xlpm.wkS" hidden="1" xlm="1">#NAME?</definedName>
    <definedName name="_xlpm.wkStart" hidden="1" xlm="1">#NAME?</definedName>
    <definedName name="ExternalData_3" localSheetId="0" hidden="1">'Financial Tracker'!$B$19:$D$20</definedName>
    <definedName name="ExternalData_4" localSheetId="0" hidden="1">'Financial Tracker'!$B$22:$D$25</definedName>
    <definedName name="ExternalData_5" localSheetId="0" hidden="1">'Financial Tracker'!$B$15:$D$16</definedName>
    <definedName name="ExternalData_6" localSheetId="0" hidden="1">'Financial Tracker'!$B$17:$D$18</definedName>
    <definedName name="ExternalData_8" localSheetId="0" hidden="1">'Financial Tracker'!#REF!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492" i="9" l="1"/>
  <c r="W492" i="9"/>
  <c r="E492" i="9"/>
  <c r="AC12" i="10" a="1"/>
  <c r="AE12" i="10"/>
  <c r="AC13" i="10" a="1"/>
  <c r="AD13" i="10" s="1"/>
  <c r="AE13" i="10"/>
  <c r="AC14" i="10" a="1"/>
  <c r="AD14" i="10" s="1"/>
  <c r="AE14" i="10"/>
  <c r="AC15" i="10" a="1"/>
  <c r="AE15" i="10"/>
  <c r="AC11" i="10" a="1"/>
  <c r="AD11" i="10" s="1"/>
  <c r="AC10" i="10" a="1"/>
  <c r="AD10" i="10" s="1"/>
  <c r="AC9" i="10" a="1"/>
  <c r="AC8" i="10" a="1"/>
  <c r="AD8" i="10" s="1"/>
  <c r="AC7" i="10" a="1"/>
  <c r="AD7" i="10" s="1"/>
  <c r="AC6" i="10" a="1"/>
  <c r="AC5" i="10" a="1"/>
  <c r="AD5" i="10" s="1"/>
  <c r="AC4" i="10" a="1"/>
  <c r="AD4" i="10" s="1"/>
  <c r="AE3" i="10"/>
  <c r="AE4" i="10" s="1"/>
  <c r="AE5" i="10" s="1"/>
  <c r="AE6" i="10" s="1"/>
  <c r="AE7" i="10" s="1"/>
  <c r="AE8" i="10" s="1"/>
  <c r="AE9" i="10" s="1"/>
  <c r="AE10" i="10" s="1"/>
  <c r="AE11" i="10" s="1"/>
  <c r="AC3" i="10" a="1"/>
  <c r="AA12" i="10"/>
  <c r="AA13" i="10"/>
  <c r="AA14" i="10"/>
  <c r="AA15" i="10"/>
  <c r="AA11" i="10"/>
  <c r="AA10" i="10"/>
  <c r="AA9" i="10"/>
  <c r="AA8" i="10"/>
  <c r="AA7" i="10"/>
  <c r="AA6" i="10"/>
  <c r="AA5" i="10"/>
  <c r="AA4" i="10"/>
  <c r="AA3" i="10"/>
  <c r="S6" i="10"/>
  <c r="S7" i="10"/>
  <c r="S8" i="10"/>
  <c r="S9" i="10"/>
  <c r="S10" i="10"/>
  <c r="S11" i="10"/>
  <c r="Q6" i="10" a="1"/>
  <c r="Q7" i="10" a="1"/>
  <c r="R7" i="10" s="1"/>
  <c r="Q8" i="10" a="1"/>
  <c r="R8" i="10" s="1"/>
  <c r="Q9" i="10" a="1"/>
  <c r="Q10" i="10" a="1"/>
  <c r="R10" i="10" s="1"/>
  <c r="Q11" i="10" a="1"/>
  <c r="R11" i="10" s="1"/>
  <c r="P11" i="10"/>
  <c r="P10" i="10"/>
  <c r="P9" i="10"/>
  <c r="P8" i="10"/>
  <c r="P7" i="10"/>
  <c r="P6" i="10"/>
  <c r="P5" i="10"/>
  <c r="P4" i="10"/>
  <c r="P3" i="10"/>
  <c r="E4" i="10"/>
  <c r="E5" i="10"/>
  <c r="E6" i="10"/>
  <c r="E7" i="10"/>
  <c r="E8" i="10"/>
  <c r="E9" i="10"/>
  <c r="E10" i="10"/>
  <c r="E11" i="10"/>
  <c r="E3" i="10"/>
  <c r="Q4" i="10" a="1"/>
  <c r="Q5" i="10" a="1"/>
  <c r="F4" i="10" a="1"/>
  <c r="G4" i="10" s="1"/>
  <c r="F5" i="10" a="1"/>
  <c r="G5" i="10" s="1"/>
  <c r="F6" i="10" a="1"/>
  <c r="F7" i="10" a="1"/>
  <c r="F8" i="10" a="1"/>
  <c r="F9" i="10" a="1"/>
  <c r="F10" i="10" a="1"/>
  <c r="F11" i="10" a="1"/>
  <c r="F3" i="10" a="1"/>
  <c r="G3" i="10" s="1"/>
  <c r="M4" i="14"/>
  <c r="D1" i="9"/>
  <c r="V454" i="9"/>
  <c r="AL454" i="9"/>
  <c r="U5" i="10"/>
  <c r="U4" i="10"/>
  <c r="U3" i="10"/>
  <c r="J5" i="10"/>
  <c r="J4" i="10"/>
  <c r="J3" i="10"/>
  <c r="I7" i="3"/>
  <c r="H7" i="3"/>
  <c r="J6" i="3"/>
  <c r="B39" i="12"/>
  <c r="C39" i="12"/>
  <c r="F39" i="12" s="1"/>
  <c r="B40" i="12"/>
  <c r="C40" i="12"/>
  <c r="F40" i="12" s="1"/>
  <c r="W108" i="9"/>
  <c r="W109" i="9"/>
  <c r="W110" i="9"/>
  <c r="W111" i="9"/>
  <c r="W112" i="9"/>
  <c r="W113" i="9"/>
  <c r="W114" i="9"/>
  <c r="W115" i="9"/>
  <c r="W116" i="9"/>
  <c r="W117" i="9"/>
  <c r="W118" i="9"/>
  <c r="W119" i="9"/>
  <c r="W120" i="9"/>
  <c r="W121" i="9"/>
  <c r="W122" i="9"/>
  <c r="W123" i="9"/>
  <c r="W124" i="9"/>
  <c r="W125" i="9"/>
  <c r="W126" i="9"/>
  <c r="W127" i="9"/>
  <c r="W128" i="9"/>
  <c r="W129" i="9"/>
  <c r="W130" i="9"/>
  <c r="W131" i="9"/>
  <c r="W132" i="9"/>
  <c r="W133" i="9"/>
  <c r="W134" i="9"/>
  <c r="W135" i="9"/>
  <c r="W136" i="9"/>
  <c r="W137" i="9"/>
  <c r="W138" i="9"/>
  <c r="W139" i="9"/>
  <c r="W140" i="9"/>
  <c r="W141" i="9"/>
  <c r="W142" i="9"/>
  <c r="W143" i="9"/>
  <c r="W144" i="9"/>
  <c r="W145" i="9"/>
  <c r="W146" i="9"/>
  <c r="W147" i="9"/>
  <c r="W148" i="9"/>
  <c r="W149" i="9"/>
  <c r="W150" i="9"/>
  <c r="W151" i="9"/>
  <c r="W152" i="9"/>
  <c r="W153" i="9"/>
  <c r="W154" i="9"/>
  <c r="W155" i="9"/>
  <c r="W156" i="9"/>
  <c r="W157" i="9"/>
  <c r="W158" i="9"/>
  <c r="W159" i="9"/>
  <c r="W160" i="9"/>
  <c r="W161" i="9"/>
  <c r="W162" i="9"/>
  <c r="W163" i="9"/>
  <c r="W164" i="9"/>
  <c r="W165" i="9"/>
  <c r="W166" i="9"/>
  <c r="W167" i="9"/>
  <c r="W168" i="9"/>
  <c r="W169" i="9"/>
  <c r="W170" i="9"/>
  <c r="W171" i="9"/>
  <c r="W172" i="9"/>
  <c r="W173" i="9"/>
  <c r="W174" i="9"/>
  <c r="W175" i="9"/>
  <c r="W176" i="9"/>
  <c r="W177" i="9"/>
  <c r="W178" i="9"/>
  <c r="W179" i="9"/>
  <c r="W180" i="9"/>
  <c r="W181" i="9"/>
  <c r="W182" i="9"/>
  <c r="W183" i="9"/>
  <c r="W184" i="9"/>
  <c r="W185" i="9"/>
  <c r="Z185" i="9" s="1"/>
  <c r="W186" i="9"/>
  <c r="W187" i="9"/>
  <c r="W188" i="9"/>
  <c r="W189" i="9"/>
  <c r="W190" i="9"/>
  <c r="W191" i="9"/>
  <c r="W192" i="9"/>
  <c r="W193" i="9"/>
  <c r="W194" i="9"/>
  <c r="W195" i="9"/>
  <c r="W196" i="9"/>
  <c r="W197" i="9"/>
  <c r="W198" i="9"/>
  <c r="W199" i="9"/>
  <c r="W200" i="9"/>
  <c r="W201" i="9"/>
  <c r="W202" i="9"/>
  <c r="W203" i="9"/>
  <c r="W204" i="9"/>
  <c r="W205" i="9"/>
  <c r="W206" i="9"/>
  <c r="W207" i="9"/>
  <c r="W208" i="9"/>
  <c r="W209" i="9"/>
  <c r="W210" i="9"/>
  <c r="W211" i="9"/>
  <c r="W212" i="9"/>
  <c r="W213" i="9"/>
  <c r="W214" i="9"/>
  <c r="W215" i="9"/>
  <c r="W216" i="9"/>
  <c r="W217" i="9"/>
  <c r="W218" i="9"/>
  <c r="W219" i="9"/>
  <c r="W220" i="9"/>
  <c r="W221" i="9"/>
  <c r="W222" i="9"/>
  <c r="W223" i="9"/>
  <c r="W224" i="9"/>
  <c r="W225" i="9"/>
  <c r="W226" i="9"/>
  <c r="X226" i="9"/>
  <c r="Z226" i="9"/>
  <c r="W227" i="9"/>
  <c r="X227" i="9"/>
  <c r="Z227" i="9"/>
  <c r="W228" i="9"/>
  <c r="X228" i="9"/>
  <c r="Z228" i="9"/>
  <c r="W229" i="9"/>
  <c r="X229" i="9"/>
  <c r="Z229" i="9"/>
  <c r="W230" i="9"/>
  <c r="X230" i="9"/>
  <c r="Z230" i="9"/>
  <c r="W231" i="9"/>
  <c r="W232" i="9"/>
  <c r="W233" i="9"/>
  <c r="W234" i="9"/>
  <c r="X234" i="9"/>
  <c r="Z234" i="9"/>
  <c r="W235" i="9"/>
  <c r="W236" i="9"/>
  <c r="X236" i="9"/>
  <c r="Z236" i="9"/>
  <c r="W237" i="9"/>
  <c r="X237" i="9"/>
  <c r="Z237" i="9"/>
  <c r="W238" i="9"/>
  <c r="X238" i="9"/>
  <c r="Z238" i="9"/>
  <c r="W239" i="9"/>
  <c r="X239" i="9"/>
  <c r="Z239" i="9"/>
  <c r="W240" i="9"/>
  <c r="X240" i="9"/>
  <c r="Z240" i="9"/>
  <c r="W241" i="9"/>
  <c r="X241" i="9"/>
  <c r="Z241" i="9"/>
  <c r="W242" i="9"/>
  <c r="AC242" i="9" s="1"/>
  <c r="X242" i="9"/>
  <c r="Z242" i="9"/>
  <c r="W243" i="9"/>
  <c r="X243" i="9"/>
  <c r="Z243" i="9"/>
  <c r="W244" i="9"/>
  <c r="X244" i="9"/>
  <c r="Z244" i="9"/>
  <c r="W245" i="9"/>
  <c r="X245" i="9"/>
  <c r="Z245" i="9"/>
  <c r="W246" i="9"/>
  <c r="X246" i="9"/>
  <c r="Z246" i="9"/>
  <c r="W247" i="9"/>
  <c r="W248" i="9"/>
  <c r="W249" i="9"/>
  <c r="W250" i="9"/>
  <c r="W251" i="9"/>
  <c r="W252" i="9"/>
  <c r="W253" i="9"/>
  <c r="W254" i="9"/>
  <c r="W255" i="9"/>
  <c r="W256" i="9"/>
  <c r="W257" i="9"/>
  <c r="W258" i="9"/>
  <c r="Z258" i="9"/>
  <c r="W259" i="9"/>
  <c r="W260" i="9"/>
  <c r="W261" i="9"/>
  <c r="W262" i="9"/>
  <c r="W263" i="9"/>
  <c r="W264" i="9"/>
  <c r="W265" i="9"/>
  <c r="W266" i="9"/>
  <c r="W267" i="9"/>
  <c r="W268" i="9"/>
  <c r="W269" i="9"/>
  <c r="W270" i="9"/>
  <c r="W271" i="9"/>
  <c r="W272" i="9"/>
  <c r="W273" i="9"/>
  <c r="W274" i="9"/>
  <c r="W275" i="9"/>
  <c r="W276" i="9"/>
  <c r="W277" i="9"/>
  <c r="W278" i="9"/>
  <c r="W279" i="9"/>
  <c r="W280" i="9"/>
  <c r="W281" i="9"/>
  <c r="W282" i="9"/>
  <c r="X282" i="9" s="1"/>
  <c r="Z282" i="9"/>
  <c r="W283" i="9"/>
  <c r="W284" i="9"/>
  <c r="X284" i="9"/>
  <c r="Z284" i="9"/>
  <c r="W285" i="9"/>
  <c r="W286" i="9"/>
  <c r="W287" i="9"/>
  <c r="W288" i="9"/>
  <c r="W289" i="9"/>
  <c r="W290" i="9"/>
  <c r="W291" i="9"/>
  <c r="W292" i="9"/>
  <c r="W293" i="9"/>
  <c r="W294" i="9"/>
  <c r="W295" i="9"/>
  <c r="W296" i="9"/>
  <c r="W297" i="9"/>
  <c r="W298" i="9"/>
  <c r="W299" i="9"/>
  <c r="X299" i="9"/>
  <c r="Z299" i="9"/>
  <c r="W300" i="9"/>
  <c r="W301" i="9"/>
  <c r="W302" i="9"/>
  <c r="W303" i="9"/>
  <c r="W304" i="9"/>
  <c r="W305" i="9"/>
  <c r="W306" i="9"/>
  <c r="W307" i="9"/>
  <c r="W308" i="9"/>
  <c r="W309" i="9"/>
  <c r="W310" i="9"/>
  <c r="W311" i="9"/>
  <c r="W312" i="9"/>
  <c r="W313" i="9"/>
  <c r="W314" i="9"/>
  <c r="W315" i="9"/>
  <c r="W316" i="9"/>
  <c r="W317" i="9"/>
  <c r="W318" i="9"/>
  <c r="W319" i="9"/>
  <c r="W320" i="9"/>
  <c r="W321" i="9"/>
  <c r="W322" i="9"/>
  <c r="W323" i="9"/>
  <c r="W324" i="9"/>
  <c r="W325" i="9"/>
  <c r="W326" i="9"/>
  <c r="W327" i="9"/>
  <c r="W328" i="9"/>
  <c r="W329" i="9"/>
  <c r="W330" i="9"/>
  <c r="W331" i="9"/>
  <c r="W332" i="9"/>
  <c r="W333" i="9"/>
  <c r="W334" i="9"/>
  <c r="W335" i="9"/>
  <c r="W336" i="9"/>
  <c r="W337" i="9"/>
  <c r="W338" i="9"/>
  <c r="W339" i="9"/>
  <c r="X339" i="9"/>
  <c r="Z339" i="9"/>
  <c r="W340" i="9"/>
  <c r="X340" i="9"/>
  <c r="Z340" i="9"/>
  <c r="W341" i="9"/>
  <c r="X341" i="9"/>
  <c r="Z341" i="9"/>
  <c r="W342" i="9"/>
  <c r="X342" i="9"/>
  <c r="Z342" i="9"/>
  <c r="W343" i="9"/>
  <c r="X343" i="9"/>
  <c r="Z343" i="9"/>
  <c r="W344" i="9"/>
  <c r="X344" i="9"/>
  <c r="Z344" i="9"/>
  <c r="W345" i="9"/>
  <c r="X345" i="9"/>
  <c r="Z345" i="9"/>
  <c r="W346" i="9"/>
  <c r="X346" i="9"/>
  <c r="Z346" i="9"/>
  <c r="W347" i="9"/>
  <c r="X347" i="9"/>
  <c r="Z347" i="9"/>
  <c r="W348" i="9"/>
  <c r="X348" i="9"/>
  <c r="Z348" i="9"/>
  <c r="W349" i="9"/>
  <c r="X349" i="9"/>
  <c r="Z349" i="9"/>
  <c r="W350" i="9"/>
  <c r="X350" i="9"/>
  <c r="Z350" i="9"/>
  <c r="W351" i="9"/>
  <c r="W352" i="9"/>
  <c r="X352" i="9" s="1"/>
  <c r="Z352" i="9"/>
  <c r="W353" i="9"/>
  <c r="X353" i="9"/>
  <c r="Z353" i="9"/>
  <c r="W354" i="9"/>
  <c r="X354" i="9" s="1"/>
  <c r="Z354" i="9"/>
  <c r="W355" i="9"/>
  <c r="W356" i="9"/>
  <c r="W357" i="9"/>
  <c r="W358" i="9"/>
  <c r="W359" i="9"/>
  <c r="W360" i="9"/>
  <c r="W361" i="9"/>
  <c r="W362" i="9"/>
  <c r="W363" i="9"/>
  <c r="W364" i="9"/>
  <c r="W365" i="9"/>
  <c r="W366" i="9"/>
  <c r="W367" i="9"/>
  <c r="W368" i="9"/>
  <c r="W369" i="9"/>
  <c r="W370" i="9"/>
  <c r="W371" i="9"/>
  <c r="W372" i="9"/>
  <c r="W373" i="9"/>
  <c r="W374" i="9"/>
  <c r="W375" i="9"/>
  <c r="W376" i="9"/>
  <c r="W377" i="9"/>
  <c r="W378" i="9"/>
  <c r="W379" i="9"/>
  <c r="W380" i="9"/>
  <c r="W381" i="9"/>
  <c r="W382" i="9"/>
  <c r="W383" i="9"/>
  <c r="W384" i="9"/>
  <c r="W385" i="9"/>
  <c r="W386" i="9"/>
  <c r="W387" i="9"/>
  <c r="W388" i="9"/>
  <c r="W389" i="9"/>
  <c r="W390" i="9"/>
  <c r="W391" i="9"/>
  <c r="W392" i="9"/>
  <c r="W393" i="9"/>
  <c r="W394" i="9"/>
  <c r="W395" i="9"/>
  <c r="W396" i="9"/>
  <c r="W397" i="9"/>
  <c r="W398" i="9"/>
  <c r="W399" i="9"/>
  <c r="W400" i="9"/>
  <c r="W401" i="9"/>
  <c r="W402" i="9"/>
  <c r="W403" i="9"/>
  <c r="W404" i="9"/>
  <c r="W405" i="9"/>
  <c r="W406" i="9"/>
  <c r="W407" i="9"/>
  <c r="W408" i="9"/>
  <c r="W409" i="9"/>
  <c r="W410" i="9"/>
  <c r="W411" i="9"/>
  <c r="W412" i="9"/>
  <c r="W413" i="9"/>
  <c r="W414" i="9"/>
  <c r="W415" i="9"/>
  <c r="W416" i="9"/>
  <c r="Z416" i="9" s="1"/>
  <c r="W417" i="9"/>
  <c r="W418" i="9"/>
  <c r="W419" i="9"/>
  <c r="W420" i="9"/>
  <c r="W421" i="9"/>
  <c r="W422" i="9"/>
  <c r="W423" i="9"/>
  <c r="W424" i="9"/>
  <c r="W425" i="9"/>
  <c r="W426" i="9"/>
  <c r="W427" i="9"/>
  <c r="W428" i="9"/>
  <c r="W429" i="9"/>
  <c r="W430" i="9"/>
  <c r="W431" i="9"/>
  <c r="W432" i="9"/>
  <c r="W433" i="9"/>
  <c r="W434" i="9"/>
  <c r="W435" i="9"/>
  <c r="W436" i="9"/>
  <c r="W437" i="9"/>
  <c r="W438" i="9"/>
  <c r="W439" i="9"/>
  <c r="W440" i="9"/>
  <c r="W441" i="9"/>
  <c r="W442" i="9"/>
  <c r="W443" i="9"/>
  <c r="W444" i="9"/>
  <c r="W445" i="9"/>
  <c r="W446" i="9"/>
  <c r="W447" i="9"/>
  <c r="W448" i="9"/>
  <c r="W449" i="9"/>
  <c r="W450" i="9"/>
  <c r="W451" i="9"/>
  <c r="W452" i="9"/>
  <c r="W453" i="9"/>
  <c r="W454" i="9"/>
  <c r="X454" i="9" s="1"/>
  <c r="Z454" i="9"/>
  <c r="W455" i="9"/>
  <c r="X455" i="9"/>
  <c r="Z455" i="9"/>
  <c r="W456" i="9"/>
  <c r="X456" i="9"/>
  <c r="Z456" i="9"/>
  <c r="W457" i="9"/>
  <c r="X457" i="9" s="1"/>
  <c r="Z457" i="9"/>
  <c r="W458" i="9"/>
  <c r="X458" i="9" s="1"/>
  <c r="Z458" i="9"/>
  <c r="W459" i="9"/>
  <c r="W460" i="9"/>
  <c r="W461" i="9"/>
  <c r="W462" i="9"/>
  <c r="W463" i="9"/>
  <c r="W464" i="9"/>
  <c r="W465" i="9"/>
  <c r="W466" i="9"/>
  <c r="W467" i="9"/>
  <c r="W468" i="9"/>
  <c r="W469" i="9"/>
  <c r="W470" i="9"/>
  <c r="W471" i="9"/>
  <c r="W472" i="9"/>
  <c r="W473" i="9"/>
  <c r="W474" i="9"/>
  <c r="W475" i="9"/>
  <c r="W476" i="9"/>
  <c r="W477" i="9"/>
  <c r="W478" i="9"/>
  <c r="W479" i="9"/>
  <c r="W480" i="9"/>
  <c r="W481" i="9"/>
  <c r="W482" i="9"/>
  <c r="W483" i="9"/>
  <c r="W484" i="9"/>
  <c r="W485" i="9"/>
  <c r="W486" i="9"/>
  <c r="W487" i="9"/>
  <c r="W488" i="9"/>
  <c r="W489" i="9"/>
  <c r="W490" i="9"/>
  <c r="W491" i="9"/>
  <c r="W493" i="9"/>
  <c r="AM117" i="9"/>
  <c r="AM118" i="9"/>
  <c r="AM120" i="9"/>
  <c r="AM121" i="9"/>
  <c r="AM122" i="9"/>
  <c r="AM123" i="9"/>
  <c r="AM124" i="9"/>
  <c r="AM125" i="9"/>
  <c r="AP125" i="9" s="1"/>
  <c r="AM126" i="9"/>
  <c r="AM127" i="9"/>
  <c r="AM128" i="9"/>
  <c r="AM129" i="9"/>
  <c r="AM130" i="9"/>
  <c r="AM131" i="9"/>
  <c r="AM132" i="9"/>
  <c r="AM133" i="9"/>
  <c r="AM134" i="9"/>
  <c r="AM135" i="9"/>
  <c r="AM136" i="9"/>
  <c r="AM137" i="9"/>
  <c r="AM138" i="9"/>
  <c r="AM139" i="9"/>
  <c r="AM140" i="9"/>
  <c r="AM141" i="9"/>
  <c r="AM142" i="9"/>
  <c r="AM143" i="9"/>
  <c r="AM144" i="9"/>
  <c r="AM145" i="9"/>
  <c r="AM146" i="9"/>
  <c r="AM147" i="9"/>
  <c r="AM148" i="9"/>
  <c r="AM149" i="9"/>
  <c r="AM150" i="9"/>
  <c r="AM151" i="9"/>
  <c r="AM152" i="9"/>
  <c r="AM153" i="9"/>
  <c r="AM154" i="9"/>
  <c r="AM155" i="9"/>
  <c r="AM156" i="9"/>
  <c r="AM157" i="9"/>
  <c r="AM158" i="9"/>
  <c r="AM159" i="9"/>
  <c r="AM160" i="9"/>
  <c r="AM161" i="9"/>
  <c r="AM162" i="9"/>
  <c r="AM163" i="9"/>
  <c r="AM164" i="9"/>
  <c r="AM165" i="9"/>
  <c r="AM166" i="9"/>
  <c r="AM167" i="9"/>
  <c r="AM168" i="9"/>
  <c r="AM169" i="9"/>
  <c r="AM170" i="9"/>
  <c r="AM171" i="9"/>
  <c r="AP171" i="9" s="1"/>
  <c r="AM172" i="9"/>
  <c r="AN172" i="9" s="1"/>
  <c r="AP172" i="9"/>
  <c r="AM173" i="9"/>
  <c r="AN173" i="9" s="1"/>
  <c r="AP173" i="9"/>
  <c r="AM174" i="9"/>
  <c r="AM175" i="9"/>
  <c r="AM176" i="9"/>
  <c r="AM177" i="9"/>
  <c r="AM178" i="9"/>
  <c r="AM179" i="9"/>
  <c r="AM180" i="9"/>
  <c r="AM181" i="9"/>
  <c r="AM182" i="9"/>
  <c r="AM183" i="9"/>
  <c r="AM184" i="9"/>
  <c r="AM185" i="9"/>
  <c r="AM186" i="9"/>
  <c r="AM187" i="9"/>
  <c r="AM188" i="9"/>
  <c r="AM189" i="9"/>
  <c r="AM190" i="9"/>
  <c r="AM191" i="9"/>
  <c r="AM192" i="9"/>
  <c r="AM193" i="9"/>
  <c r="AM194" i="9"/>
  <c r="AM195" i="9"/>
  <c r="AM196" i="9"/>
  <c r="AM197" i="9"/>
  <c r="AM198" i="9"/>
  <c r="AM199" i="9"/>
  <c r="AM200" i="9"/>
  <c r="AM201" i="9"/>
  <c r="AM202" i="9"/>
  <c r="AM203" i="9"/>
  <c r="AM204" i="9"/>
  <c r="AM205" i="9"/>
  <c r="AM206" i="9"/>
  <c r="AM207" i="9"/>
  <c r="AM208" i="9"/>
  <c r="AM209" i="9"/>
  <c r="AM210" i="9"/>
  <c r="AM211" i="9"/>
  <c r="AM212" i="9"/>
  <c r="AM213" i="9"/>
  <c r="AM214" i="9"/>
  <c r="AM215" i="9"/>
  <c r="AM216" i="9"/>
  <c r="AM217" i="9"/>
  <c r="AM218" i="9"/>
  <c r="AM219" i="9"/>
  <c r="AM220" i="9"/>
  <c r="AM221" i="9"/>
  <c r="AM222" i="9"/>
  <c r="AM223" i="9"/>
  <c r="AM224" i="9"/>
  <c r="AM225" i="9"/>
  <c r="AM226" i="9"/>
  <c r="AM227" i="9"/>
  <c r="AM228" i="9"/>
  <c r="AM229" i="9"/>
  <c r="AM230" i="9"/>
  <c r="AM231" i="9"/>
  <c r="AM232" i="9"/>
  <c r="AM233" i="9"/>
  <c r="AM234" i="9"/>
  <c r="AM235" i="9"/>
  <c r="AM236" i="9"/>
  <c r="AM237" i="9"/>
  <c r="AM238" i="9"/>
  <c r="AM239" i="9"/>
  <c r="AM240" i="9"/>
  <c r="AM241" i="9"/>
  <c r="AM242" i="9"/>
  <c r="AM243" i="9"/>
  <c r="AM244" i="9"/>
  <c r="AM245" i="9"/>
  <c r="AM246" i="9"/>
  <c r="AM247" i="9"/>
  <c r="AM248" i="9"/>
  <c r="AM249" i="9"/>
  <c r="AM250" i="9"/>
  <c r="AM251" i="9"/>
  <c r="AM252" i="9"/>
  <c r="AM253" i="9"/>
  <c r="AM254" i="9"/>
  <c r="AM255" i="9"/>
  <c r="AM256" i="9"/>
  <c r="AM257" i="9"/>
  <c r="AM258" i="9"/>
  <c r="AM259" i="9"/>
  <c r="AM260" i="9"/>
  <c r="AM261" i="9"/>
  <c r="AM262" i="9"/>
  <c r="AM263" i="9"/>
  <c r="AM264" i="9"/>
  <c r="AM265" i="9"/>
  <c r="AM266" i="9"/>
  <c r="AM267" i="9"/>
  <c r="AM268" i="9"/>
  <c r="AM269" i="9"/>
  <c r="AM270" i="9"/>
  <c r="AM271" i="9"/>
  <c r="AM272" i="9"/>
  <c r="AM273" i="9"/>
  <c r="AM274" i="9"/>
  <c r="AM275" i="9"/>
  <c r="AM276" i="9"/>
  <c r="AM277" i="9"/>
  <c r="AM278" i="9"/>
  <c r="AM279" i="9"/>
  <c r="AM280" i="9"/>
  <c r="AM281" i="9"/>
  <c r="AM282" i="9"/>
  <c r="AM283" i="9"/>
  <c r="AM284" i="9"/>
  <c r="AM285" i="9"/>
  <c r="AM286" i="9"/>
  <c r="AM287" i="9"/>
  <c r="AM288" i="9"/>
  <c r="AM289" i="9"/>
  <c r="AM290" i="9"/>
  <c r="AM291" i="9"/>
  <c r="AM292" i="9"/>
  <c r="AM293" i="9"/>
  <c r="AM294" i="9"/>
  <c r="AM295" i="9"/>
  <c r="AM296" i="9"/>
  <c r="AM297" i="9"/>
  <c r="AM298" i="9"/>
  <c r="AM299" i="9"/>
  <c r="AM300" i="9"/>
  <c r="AM301" i="9"/>
  <c r="AM302" i="9"/>
  <c r="AM303" i="9"/>
  <c r="AM304" i="9"/>
  <c r="AM305" i="9"/>
  <c r="AM306" i="9"/>
  <c r="AM307" i="9"/>
  <c r="AM308" i="9"/>
  <c r="AM309" i="9"/>
  <c r="AM310" i="9"/>
  <c r="AM311" i="9"/>
  <c r="AM312" i="9"/>
  <c r="AM313" i="9"/>
  <c r="AM314" i="9"/>
  <c r="AM315" i="9"/>
  <c r="AM316" i="9"/>
  <c r="AM317" i="9"/>
  <c r="AM318" i="9"/>
  <c r="AM319" i="9"/>
  <c r="AM320" i="9"/>
  <c r="AM321" i="9"/>
  <c r="AM322" i="9"/>
  <c r="AM323" i="9"/>
  <c r="AM324" i="9"/>
  <c r="AM325" i="9"/>
  <c r="AM326" i="9"/>
  <c r="AM327" i="9"/>
  <c r="AM328" i="9"/>
  <c r="AM329" i="9"/>
  <c r="AM330" i="9"/>
  <c r="AM331" i="9"/>
  <c r="AM332" i="9"/>
  <c r="AM333" i="9"/>
  <c r="AM334" i="9"/>
  <c r="AM335" i="9"/>
  <c r="AM336" i="9"/>
  <c r="AM337" i="9"/>
  <c r="AM338" i="9"/>
  <c r="AM339" i="9"/>
  <c r="AM340" i="9"/>
  <c r="AM341" i="9"/>
  <c r="AM342" i="9"/>
  <c r="AM343" i="9"/>
  <c r="AM344" i="9"/>
  <c r="AM345" i="9"/>
  <c r="AM346" i="9"/>
  <c r="AM347" i="9"/>
  <c r="AM348" i="9"/>
  <c r="AM349" i="9"/>
  <c r="AM350" i="9"/>
  <c r="AM351" i="9"/>
  <c r="AM352" i="9"/>
  <c r="AM353" i="9"/>
  <c r="AM354" i="9"/>
  <c r="AM355" i="9"/>
  <c r="AM356" i="9"/>
  <c r="AM357" i="9"/>
  <c r="AM358" i="9"/>
  <c r="AM359" i="9"/>
  <c r="AM360" i="9"/>
  <c r="AM361" i="9"/>
  <c r="AM362" i="9"/>
  <c r="AM363" i="9"/>
  <c r="AM364" i="9"/>
  <c r="AM365" i="9"/>
  <c r="AM366" i="9"/>
  <c r="AM367" i="9"/>
  <c r="AM368" i="9"/>
  <c r="AM369" i="9"/>
  <c r="AM370" i="9"/>
  <c r="AM371" i="9"/>
  <c r="AM372" i="9"/>
  <c r="AM373" i="9"/>
  <c r="AM374" i="9"/>
  <c r="AM375" i="9"/>
  <c r="AM376" i="9"/>
  <c r="AM377" i="9"/>
  <c r="AM378" i="9"/>
  <c r="AM379" i="9"/>
  <c r="AM380" i="9"/>
  <c r="AM381" i="9"/>
  <c r="AM382" i="9"/>
  <c r="AM383" i="9"/>
  <c r="AM384" i="9"/>
  <c r="AM385" i="9"/>
  <c r="AM386" i="9"/>
  <c r="AM387" i="9"/>
  <c r="AM388" i="9"/>
  <c r="AM389" i="9"/>
  <c r="AM390" i="9"/>
  <c r="AM391" i="9"/>
  <c r="AM392" i="9"/>
  <c r="AM393" i="9"/>
  <c r="AM394" i="9"/>
  <c r="AM395" i="9"/>
  <c r="AM396" i="9"/>
  <c r="AM397" i="9"/>
  <c r="AM398" i="9"/>
  <c r="AM399" i="9"/>
  <c r="AM400" i="9"/>
  <c r="AM401" i="9"/>
  <c r="AM402" i="9"/>
  <c r="AM403" i="9"/>
  <c r="AM404" i="9"/>
  <c r="AM405" i="9"/>
  <c r="AM406" i="9"/>
  <c r="AM407" i="9"/>
  <c r="AM408" i="9"/>
  <c r="AM409" i="9"/>
  <c r="AM410" i="9"/>
  <c r="AM411" i="9"/>
  <c r="AM412" i="9"/>
  <c r="AM413" i="9"/>
  <c r="AM414" i="9"/>
  <c r="AM415" i="9"/>
  <c r="AM416" i="9"/>
  <c r="AM417" i="9"/>
  <c r="AM418" i="9"/>
  <c r="AM419" i="9"/>
  <c r="AM420" i="9"/>
  <c r="AM421" i="9"/>
  <c r="AM422" i="9"/>
  <c r="AM423" i="9"/>
  <c r="AM424" i="9"/>
  <c r="AM425" i="9"/>
  <c r="AM426" i="9"/>
  <c r="AM427" i="9"/>
  <c r="AM428" i="9"/>
  <c r="AM429" i="9"/>
  <c r="AM430" i="9"/>
  <c r="AM431" i="9"/>
  <c r="AM432" i="9"/>
  <c r="AM433" i="9"/>
  <c r="AN433" i="9" s="1"/>
  <c r="AM434" i="9"/>
  <c r="AM435" i="9"/>
  <c r="AM436" i="9"/>
  <c r="AM437" i="9"/>
  <c r="AM438" i="9"/>
  <c r="AM439" i="9"/>
  <c r="AM440" i="9"/>
  <c r="AM441" i="9"/>
  <c r="AM442" i="9"/>
  <c r="AM443" i="9"/>
  <c r="AM444" i="9"/>
  <c r="AM445" i="9"/>
  <c r="AM446" i="9"/>
  <c r="AM447" i="9"/>
  <c r="AM448" i="9"/>
  <c r="AM449" i="9"/>
  <c r="AM450" i="9"/>
  <c r="AM451" i="9"/>
  <c r="AM452" i="9"/>
  <c r="AM453" i="9"/>
  <c r="AM454" i="9"/>
  <c r="AM455" i="9"/>
  <c r="AM456" i="9"/>
  <c r="AM457" i="9"/>
  <c r="AM458" i="9"/>
  <c r="AM459" i="9"/>
  <c r="AM460" i="9"/>
  <c r="AM461" i="9"/>
  <c r="AM462" i="9"/>
  <c r="AM463" i="9"/>
  <c r="AM464" i="9"/>
  <c r="AM465" i="9"/>
  <c r="AM466" i="9"/>
  <c r="AM467" i="9"/>
  <c r="AM468" i="9"/>
  <c r="AM469" i="9"/>
  <c r="AM470" i="9"/>
  <c r="AM471" i="9"/>
  <c r="AM472" i="9"/>
  <c r="AM473" i="9"/>
  <c r="AM474" i="9"/>
  <c r="AM475" i="9"/>
  <c r="AM476" i="9"/>
  <c r="AM477" i="9"/>
  <c r="AM478" i="9"/>
  <c r="AM479" i="9"/>
  <c r="AM480" i="9"/>
  <c r="AM481" i="9"/>
  <c r="AM482" i="9"/>
  <c r="AM483" i="9"/>
  <c r="AM484" i="9"/>
  <c r="AM485" i="9"/>
  <c r="AM486" i="9"/>
  <c r="AM487" i="9"/>
  <c r="AM488" i="9"/>
  <c r="AM489" i="9"/>
  <c r="AM490" i="9"/>
  <c r="AM491" i="9"/>
  <c r="AM493" i="9"/>
  <c r="AM108" i="9"/>
  <c r="AM109" i="9"/>
  <c r="AM110" i="9"/>
  <c r="AM111" i="9"/>
  <c r="AM112" i="9"/>
  <c r="AM113" i="9"/>
  <c r="AM114" i="9"/>
  <c r="AM115" i="9"/>
  <c r="AM116"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N235" i="9" a="1"/>
  <c r="N236" i="9" s="1"/>
  <c r="N237" i="9" s="1"/>
  <c r="N238" i="9" s="1"/>
  <c r="N239" i="9" s="1"/>
  <c r="N240" i="9" s="1"/>
  <c r="N241" i="9" s="1"/>
  <c r="N242" i="9" a="1"/>
  <c r="N243" i="9" s="1"/>
  <c r="N244" i="9" s="1"/>
  <c r="N245" i="9" s="1"/>
  <c r="N246" i="9" s="1"/>
  <c r="N247" i="9" s="1"/>
  <c r="N248" i="9" s="1"/>
  <c r="N249" i="9" a="1"/>
  <c r="N250" i="9" s="1"/>
  <c r="N251" i="9" s="1"/>
  <c r="N252" i="9" s="1"/>
  <c r="N253" i="9" s="1"/>
  <c r="N254" i="9" s="1"/>
  <c r="N255" i="9" s="1"/>
  <c r="N256" i="9" a="1"/>
  <c r="N257" i="9" s="1"/>
  <c r="N258" i="9" s="1"/>
  <c r="N259" i="9" s="1"/>
  <c r="N260" i="9" s="1"/>
  <c r="N261" i="9" s="1"/>
  <c r="N262" i="9" s="1"/>
  <c r="N263" i="9" a="1"/>
  <c r="N264" i="9" s="1"/>
  <c r="N265" i="9" s="1"/>
  <c r="N266" i="9" s="1"/>
  <c r="N267" i="9" s="1"/>
  <c r="N268" i="9" s="1"/>
  <c r="N269" i="9" s="1"/>
  <c r="N270" i="9" a="1"/>
  <c r="N271" i="9" s="1"/>
  <c r="N272" i="9" s="1"/>
  <c r="N273" i="9" s="1"/>
  <c r="N274" i="9" s="1"/>
  <c r="N275" i="9" s="1"/>
  <c r="N276" i="9" s="1"/>
  <c r="N277" i="9" a="1"/>
  <c r="N278" i="9" s="1"/>
  <c r="N279" i="9" s="1"/>
  <c r="N280" i="9" s="1"/>
  <c r="N281" i="9" s="1"/>
  <c r="N282" i="9" s="1"/>
  <c r="N283" i="9" s="1"/>
  <c r="N284" i="9" a="1"/>
  <c r="N285" i="9" s="1"/>
  <c r="N286" i="9" s="1"/>
  <c r="N287" i="9" s="1"/>
  <c r="N288" i="9" s="1"/>
  <c r="N289" i="9" s="1"/>
  <c r="N290" i="9" s="1"/>
  <c r="N228" i="9" a="1"/>
  <c r="N229" i="9" s="1"/>
  <c r="N230" i="9" s="1"/>
  <c r="N231" i="9" s="1"/>
  <c r="N232" i="9" s="1"/>
  <c r="N233" i="9" s="1"/>
  <c r="N234" i="9" s="1"/>
  <c r="E218" i="9"/>
  <c r="E219" i="9"/>
  <c r="E220" i="9"/>
  <c r="E221" i="9"/>
  <c r="E222" i="9"/>
  <c r="E223" i="9"/>
  <c r="E224" i="9"/>
  <c r="E225" i="9"/>
  <c r="E226" i="9"/>
  <c r="E227" i="9"/>
  <c r="E228" i="9"/>
  <c r="E229" i="9"/>
  <c r="E230" i="9"/>
  <c r="F230" i="9" s="1"/>
  <c r="E231" i="9"/>
  <c r="E232" i="9"/>
  <c r="F232" i="9" s="1"/>
  <c r="E233" i="9"/>
  <c r="E234" i="9"/>
  <c r="F234" i="9" s="1"/>
  <c r="E235" i="9"/>
  <c r="E236" i="9"/>
  <c r="E237" i="9"/>
  <c r="F237" i="9" s="1"/>
  <c r="H237" i="9" s="1"/>
  <c r="E238" i="9"/>
  <c r="E239" i="9"/>
  <c r="F239" i="9" s="1"/>
  <c r="H239" i="9" s="1"/>
  <c r="E240" i="9"/>
  <c r="E241" i="9"/>
  <c r="E242" i="9"/>
  <c r="E243" i="9"/>
  <c r="F243" i="9" s="1"/>
  <c r="H243" i="9" s="1"/>
  <c r="E244" i="9"/>
  <c r="E245" i="9"/>
  <c r="E246" i="9"/>
  <c r="E247" i="9"/>
  <c r="E248" i="9"/>
  <c r="F248" i="9" s="1"/>
  <c r="E249" i="9"/>
  <c r="F249" i="9"/>
  <c r="E250" i="9"/>
  <c r="F250" i="9" s="1"/>
  <c r="E251" i="9"/>
  <c r="E252" i="9"/>
  <c r="E253" i="9"/>
  <c r="E254" i="9"/>
  <c r="E255" i="9"/>
  <c r="E256" i="9"/>
  <c r="E257" i="9"/>
  <c r="E258" i="9"/>
  <c r="E259" i="9"/>
  <c r="E260" i="9"/>
  <c r="E261" i="9"/>
  <c r="E262" i="9"/>
  <c r="E263" i="9"/>
  <c r="K263" i="9" s="1"/>
  <c r="E264" i="9"/>
  <c r="K264" i="9" s="1"/>
  <c r="E265" i="9"/>
  <c r="K265" i="9" s="1"/>
  <c r="E266" i="9"/>
  <c r="E267" i="9"/>
  <c r="E268" i="9"/>
  <c r="E269" i="9"/>
  <c r="E270" i="9"/>
  <c r="K270" i="9" s="1"/>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K316" i="9" s="1"/>
  <c r="E317" i="9"/>
  <c r="E318" i="9"/>
  <c r="E319" i="9"/>
  <c r="E320" i="9"/>
  <c r="E321" i="9"/>
  <c r="E322" i="9"/>
  <c r="E323" i="9"/>
  <c r="E324" i="9"/>
  <c r="E325" i="9"/>
  <c r="E326" i="9"/>
  <c r="E327" i="9"/>
  <c r="K327" i="9" s="1"/>
  <c r="E328" i="9"/>
  <c r="E329" i="9"/>
  <c r="E330" i="9"/>
  <c r="E331" i="9"/>
  <c r="E332" i="9"/>
  <c r="E333" i="9"/>
  <c r="E334" i="9"/>
  <c r="E335" i="9"/>
  <c r="E336" i="9"/>
  <c r="E337" i="9"/>
  <c r="E338" i="9"/>
  <c r="E339" i="9"/>
  <c r="E340" i="9"/>
  <c r="E341" i="9"/>
  <c r="E342" i="9"/>
  <c r="E343" i="9"/>
  <c r="E344" i="9"/>
  <c r="E345" i="9"/>
  <c r="E346" i="9"/>
  <c r="E347" i="9"/>
  <c r="E348" i="9"/>
  <c r="E349" i="9"/>
  <c r="E350" i="9"/>
  <c r="E351" i="9"/>
  <c r="E352" i="9"/>
  <c r="E353" i="9"/>
  <c r="E354" i="9"/>
  <c r="E355" i="9"/>
  <c r="E356" i="9"/>
  <c r="E357" i="9"/>
  <c r="E358" i="9"/>
  <c r="E359" i="9"/>
  <c r="E360" i="9"/>
  <c r="E361" i="9"/>
  <c r="E362" i="9"/>
  <c r="E363" i="9"/>
  <c r="E364" i="9"/>
  <c r="E365" i="9"/>
  <c r="E366" i="9"/>
  <c r="E367" i="9"/>
  <c r="E368" i="9"/>
  <c r="E369" i="9"/>
  <c r="E370" i="9"/>
  <c r="E371" i="9"/>
  <c r="E372" i="9"/>
  <c r="E373" i="9"/>
  <c r="E374" i="9"/>
  <c r="E375" i="9"/>
  <c r="E376" i="9"/>
  <c r="E377" i="9"/>
  <c r="E378" i="9"/>
  <c r="E379" i="9"/>
  <c r="E380" i="9"/>
  <c r="E381" i="9"/>
  <c r="E382" i="9"/>
  <c r="E383" i="9"/>
  <c r="E384" i="9"/>
  <c r="E385" i="9"/>
  <c r="E386" i="9"/>
  <c r="E387" i="9"/>
  <c r="E388" i="9"/>
  <c r="E389" i="9"/>
  <c r="E390" i="9"/>
  <c r="E391" i="9"/>
  <c r="E392" i="9"/>
  <c r="E393" i="9"/>
  <c r="E394" i="9"/>
  <c r="E395" i="9"/>
  <c r="E396" i="9"/>
  <c r="E397" i="9"/>
  <c r="E398" i="9"/>
  <c r="E399" i="9"/>
  <c r="E400" i="9"/>
  <c r="F400" i="9" s="1"/>
  <c r="H400" i="9" s="1"/>
  <c r="E401" i="9"/>
  <c r="F401" i="9" s="1"/>
  <c r="H401" i="9" s="1"/>
  <c r="E402" i="9"/>
  <c r="F402" i="9" s="1"/>
  <c r="H402" i="9" s="1"/>
  <c r="E403" i="9"/>
  <c r="E404" i="9"/>
  <c r="F404" i="9" s="1"/>
  <c r="H404" i="9" s="1"/>
  <c r="E405" i="9"/>
  <c r="F405" i="9" s="1"/>
  <c r="H405" i="9" s="1"/>
  <c r="E406" i="9"/>
  <c r="E407" i="9"/>
  <c r="E408" i="9"/>
  <c r="E409" i="9"/>
  <c r="E410" i="9"/>
  <c r="E411" i="9"/>
  <c r="E412" i="9"/>
  <c r="E413" i="9"/>
  <c r="E414" i="9"/>
  <c r="E415" i="9"/>
  <c r="E416" i="9"/>
  <c r="E417" i="9"/>
  <c r="E418" i="9"/>
  <c r="E419" i="9"/>
  <c r="E420" i="9"/>
  <c r="E421" i="9"/>
  <c r="E422" i="9"/>
  <c r="E423" i="9"/>
  <c r="E424" i="9"/>
  <c r="E425" i="9"/>
  <c r="E426" i="9"/>
  <c r="E427" i="9"/>
  <c r="E428" i="9"/>
  <c r="E429" i="9"/>
  <c r="E430" i="9"/>
  <c r="E431" i="9"/>
  <c r="E432" i="9"/>
  <c r="E433" i="9"/>
  <c r="E434" i="9"/>
  <c r="E435" i="9"/>
  <c r="E436" i="9"/>
  <c r="E437" i="9"/>
  <c r="E438" i="9"/>
  <c r="E439" i="9"/>
  <c r="E440" i="9"/>
  <c r="E441" i="9"/>
  <c r="E442" i="9"/>
  <c r="E443" i="9"/>
  <c r="E444" i="9"/>
  <c r="E445" i="9"/>
  <c r="E446" i="9"/>
  <c r="E447" i="9"/>
  <c r="E448" i="9"/>
  <c r="E449" i="9"/>
  <c r="E450" i="9"/>
  <c r="E451" i="9"/>
  <c r="E452" i="9"/>
  <c r="E453" i="9"/>
  <c r="E454" i="9"/>
  <c r="E455" i="9"/>
  <c r="E456" i="9"/>
  <c r="E457" i="9"/>
  <c r="E458" i="9"/>
  <c r="E459" i="9"/>
  <c r="E460" i="9"/>
  <c r="E461" i="9"/>
  <c r="E462" i="9"/>
  <c r="E463" i="9"/>
  <c r="E464" i="9"/>
  <c r="K464" i="9" s="1"/>
  <c r="E465" i="9"/>
  <c r="E466" i="9"/>
  <c r="E467" i="9"/>
  <c r="F467" i="9" s="1"/>
  <c r="H467" i="9" s="1"/>
  <c r="E468" i="9"/>
  <c r="E469" i="9"/>
  <c r="E470" i="9"/>
  <c r="E471" i="9"/>
  <c r="E472" i="9"/>
  <c r="E473" i="9"/>
  <c r="E474" i="9"/>
  <c r="E475" i="9"/>
  <c r="E476" i="9"/>
  <c r="E477" i="9"/>
  <c r="F477" i="9" s="1"/>
  <c r="H477" i="9" s="1"/>
  <c r="E478" i="9"/>
  <c r="E479" i="9"/>
  <c r="E480" i="9"/>
  <c r="E481" i="9"/>
  <c r="E482" i="9"/>
  <c r="E483" i="9"/>
  <c r="E484" i="9"/>
  <c r="E485" i="9"/>
  <c r="F485" i="9" s="1"/>
  <c r="H485" i="9" s="1"/>
  <c r="E486" i="9"/>
  <c r="E487" i="9"/>
  <c r="E488" i="9"/>
  <c r="E489" i="9"/>
  <c r="E490" i="9"/>
  <c r="E491" i="9"/>
  <c r="E493" i="9"/>
  <c r="V273" i="9"/>
  <c r="V274" i="9"/>
  <c r="V275" i="9"/>
  <c r="V276" i="9"/>
  <c r="V277" i="9"/>
  <c r="V278" i="9"/>
  <c r="V279" i="9"/>
  <c r="V280" i="9"/>
  <c r="V281" i="9"/>
  <c r="V282" i="9"/>
  <c r="V283" i="9"/>
  <c r="V284" i="9"/>
  <c r="V285" i="9"/>
  <c r="V286" i="9"/>
  <c r="V287" i="9"/>
  <c r="V288" i="9"/>
  <c r="V289" i="9"/>
  <c r="V290" i="9"/>
  <c r="V291" i="9"/>
  <c r="V292" i="9"/>
  <c r="V293" i="9"/>
  <c r="V294" i="9"/>
  <c r="V295" i="9"/>
  <c r="V296" i="9"/>
  <c r="V297" i="9"/>
  <c r="V298" i="9"/>
  <c r="V299" i="9"/>
  <c r="V300" i="9"/>
  <c r="V301" i="9"/>
  <c r="V302" i="9"/>
  <c r="V303" i="9"/>
  <c r="V304" i="9"/>
  <c r="V305" i="9"/>
  <c r="V306" i="9"/>
  <c r="V307" i="9"/>
  <c r="V308" i="9"/>
  <c r="V309" i="9"/>
  <c r="V310" i="9"/>
  <c r="V311" i="9"/>
  <c r="V312" i="9"/>
  <c r="V313" i="9"/>
  <c r="V314" i="9"/>
  <c r="V315" i="9"/>
  <c r="V316" i="9"/>
  <c r="V317" i="9"/>
  <c r="V318" i="9"/>
  <c r="V319" i="9"/>
  <c r="V320" i="9"/>
  <c r="V321" i="9"/>
  <c r="V322" i="9"/>
  <c r="V323" i="9"/>
  <c r="V324" i="9"/>
  <c r="V325" i="9"/>
  <c r="V326" i="9"/>
  <c r="V327" i="9"/>
  <c r="V328" i="9"/>
  <c r="V329" i="9"/>
  <c r="V330" i="9"/>
  <c r="V331" i="9"/>
  <c r="V332" i="9"/>
  <c r="V333" i="9"/>
  <c r="V334" i="9"/>
  <c r="V335" i="9"/>
  <c r="V336" i="9"/>
  <c r="V337" i="9"/>
  <c r="V338" i="9"/>
  <c r="V339" i="9"/>
  <c r="V340" i="9"/>
  <c r="V341" i="9"/>
  <c r="V342" i="9"/>
  <c r="V343" i="9"/>
  <c r="V344" i="9"/>
  <c r="V345" i="9"/>
  <c r="V346" i="9"/>
  <c r="V347" i="9"/>
  <c r="V348" i="9"/>
  <c r="V349" i="9"/>
  <c r="V350" i="9"/>
  <c r="V351" i="9"/>
  <c r="V352" i="9"/>
  <c r="V353" i="9"/>
  <c r="V354" i="9"/>
  <c r="V355" i="9"/>
  <c r="V356" i="9"/>
  <c r="V357" i="9"/>
  <c r="V358" i="9"/>
  <c r="V359" i="9"/>
  <c r="V360" i="9"/>
  <c r="V361" i="9"/>
  <c r="V362" i="9"/>
  <c r="V363" i="9"/>
  <c r="V364" i="9"/>
  <c r="V365" i="9"/>
  <c r="V366" i="9"/>
  <c r="V367" i="9"/>
  <c r="V368" i="9"/>
  <c r="V369" i="9"/>
  <c r="V370" i="9"/>
  <c r="V371" i="9"/>
  <c r="V372" i="9"/>
  <c r="V373" i="9"/>
  <c r="V374" i="9"/>
  <c r="V375" i="9"/>
  <c r="V376" i="9"/>
  <c r="V377" i="9"/>
  <c r="V378" i="9"/>
  <c r="V379" i="9"/>
  <c r="V380" i="9"/>
  <c r="V381" i="9"/>
  <c r="V382" i="9"/>
  <c r="V383" i="9"/>
  <c r="V384" i="9"/>
  <c r="V385" i="9"/>
  <c r="V386" i="9"/>
  <c r="V387" i="9"/>
  <c r="V388" i="9"/>
  <c r="V389" i="9"/>
  <c r="V390" i="9"/>
  <c r="V391" i="9"/>
  <c r="V392" i="9"/>
  <c r="V393" i="9"/>
  <c r="V394" i="9"/>
  <c r="V395" i="9"/>
  <c r="V396" i="9"/>
  <c r="V397" i="9"/>
  <c r="V398" i="9"/>
  <c r="V399" i="9"/>
  <c r="V400" i="9"/>
  <c r="V401" i="9"/>
  <c r="V402" i="9"/>
  <c r="V403" i="9"/>
  <c r="V404" i="9"/>
  <c r="V405" i="9"/>
  <c r="V406" i="9"/>
  <c r="V407" i="9"/>
  <c r="V408" i="9"/>
  <c r="V409" i="9"/>
  <c r="V410" i="9"/>
  <c r="V411" i="9"/>
  <c r="V412" i="9"/>
  <c r="V413" i="9"/>
  <c r="V414" i="9"/>
  <c r="V415" i="9"/>
  <c r="V416" i="9"/>
  <c r="V417" i="9"/>
  <c r="V418" i="9"/>
  <c r="V419" i="9"/>
  <c r="V420" i="9"/>
  <c r="V421" i="9"/>
  <c r="V422" i="9"/>
  <c r="V423" i="9"/>
  <c r="V424" i="9"/>
  <c r="V425" i="9"/>
  <c r="V426" i="9"/>
  <c r="V427" i="9"/>
  <c r="V428" i="9"/>
  <c r="V429" i="9"/>
  <c r="V430" i="9"/>
  <c r="V431" i="9"/>
  <c r="V432" i="9"/>
  <c r="V433" i="9"/>
  <c r="V434" i="9"/>
  <c r="V435" i="9"/>
  <c r="V436" i="9"/>
  <c r="V437" i="9"/>
  <c r="V438" i="9"/>
  <c r="V439" i="9"/>
  <c r="V440" i="9"/>
  <c r="V441" i="9"/>
  <c r="V442" i="9"/>
  <c r="V443" i="9"/>
  <c r="V444" i="9"/>
  <c r="V445" i="9"/>
  <c r="V446" i="9"/>
  <c r="V447" i="9"/>
  <c r="V448" i="9"/>
  <c r="V449" i="9"/>
  <c r="V450" i="9"/>
  <c r="V451" i="9"/>
  <c r="V452" i="9"/>
  <c r="V453" i="9"/>
  <c r="AL273" i="9"/>
  <c r="AL274" i="9"/>
  <c r="AL275" i="9"/>
  <c r="AL276" i="9"/>
  <c r="AL277" i="9"/>
  <c r="AL278" i="9"/>
  <c r="AL279" i="9"/>
  <c r="AL280" i="9"/>
  <c r="AL281" i="9"/>
  <c r="AL282" i="9"/>
  <c r="AL283" i="9"/>
  <c r="AL284" i="9"/>
  <c r="AL285" i="9"/>
  <c r="AL286" i="9"/>
  <c r="AL287" i="9"/>
  <c r="AL288" i="9"/>
  <c r="AL289" i="9"/>
  <c r="AL290" i="9"/>
  <c r="AL291" i="9"/>
  <c r="AL292" i="9"/>
  <c r="AL293" i="9"/>
  <c r="AL294" i="9"/>
  <c r="AL295" i="9"/>
  <c r="AL296" i="9"/>
  <c r="AL297" i="9"/>
  <c r="AL298" i="9"/>
  <c r="AL299" i="9"/>
  <c r="AL300" i="9"/>
  <c r="AL301" i="9"/>
  <c r="AL302" i="9"/>
  <c r="AL303" i="9"/>
  <c r="AL304" i="9"/>
  <c r="AL305" i="9"/>
  <c r="AL306" i="9"/>
  <c r="AL307" i="9"/>
  <c r="AL308" i="9"/>
  <c r="AL309" i="9"/>
  <c r="AL310" i="9"/>
  <c r="AL311" i="9"/>
  <c r="AL312" i="9"/>
  <c r="AL313" i="9"/>
  <c r="AL314" i="9"/>
  <c r="AL315" i="9"/>
  <c r="AL316" i="9"/>
  <c r="AL317" i="9"/>
  <c r="AL318" i="9"/>
  <c r="AL319" i="9"/>
  <c r="AL320" i="9"/>
  <c r="AL321" i="9"/>
  <c r="AL322" i="9"/>
  <c r="AL323" i="9"/>
  <c r="AL324" i="9"/>
  <c r="AL325" i="9"/>
  <c r="AL326" i="9"/>
  <c r="AL327" i="9"/>
  <c r="AL328" i="9"/>
  <c r="AL329" i="9"/>
  <c r="AL330" i="9"/>
  <c r="AL331" i="9"/>
  <c r="AL332" i="9"/>
  <c r="AL333" i="9"/>
  <c r="AL334" i="9"/>
  <c r="AL335" i="9"/>
  <c r="AL336" i="9"/>
  <c r="AL337" i="9"/>
  <c r="AL338" i="9"/>
  <c r="AL339" i="9"/>
  <c r="AL340" i="9"/>
  <c r="AL341" i="9"/>
  <c r="AL342" i="9"/>
  <c r="AL343" i="9"/>
  <c r="AL344" i="9"/>
  <c r="AL345" i="9"/>
  <c r="AL346" i="9"/>
  <c r="AL347" i="9"/>
  <c r="AL348" i="9"/>
  <c r="AL349" i="9"/>
  <c r="AL350" i="9"/>
  <c r="AL351" i="9"/>
  <c r="AL352" i="9"/>
  <c r="AL353" i="9"/>
  <c r="AL354" i="9"/>
  <c r="AL355" i="9"/>
  <c r="AL356" i="9"/>
  <c r="AL357" i="9"/>
  <c r="AL358" i="9"/>
  <c r="AL359" i="9"/>
  <c r="AL360" i="9"/>
  <c r="AL361" i="9"/>
  <c r="AL362" i="9"/>
  <c r="AL363" i="9"/>
  <c r="AL364" i="9"/>
  <c r="AL365" i="9"/>
  <c r="AL366" i="9"/>
  <c r="AL367" i="9"/>
  <c r="AL368" i="9"/>
  <c r="AL369" i="9"/>
  <c r="AL370" i="9"/>
  <c r="AL371" i="9"/>
  <c r="AL372" i="9"/>
  <c r="AL373" i="9"/>
  <c r="AL374" i="9"/>
  <c r="AL375" i="9"/>
  <c r="AL376" i="9"/>
  <c r="AL377" i="9"/>
  <c r="AL378" i="9"/>
  <c r="AL379" i="9"/>
  <c r="AL380" i="9"/>
  <c r="AL381" i="9"/>
  <c r="AL382" i="9"/>
  <c r="AL383" i="9"/>
  <c r="AL384" i="9"/>
  <c r="AL385" i="9"/>
  <c r="AL386" i="9"/>
  <c r="AL387" i="9"/>
  <c r="AL388" i="9"/>
  <c r="AL389" i="9"/>
  <c r="AL390" i="9"/>
  <c r="AL391" i="9"/>
  <c r="AL392" i="9"/>
  <c r="AL393" i="9"/>
  <c r="AL394" i="9"/>
  <c r="AL395" i="9"/>
  <c r="AL396" i="9"/>
  <c r="AL397" i="9"/>
  <c r="AL398" i="9"/>
  <c r="AL399" i="9"/>
  <c r="AL400" i="9"/>
  <c r="AL401" i="9"/>
  <c r="AL402" i="9"/>
  <c r="AL403" i="9"/>
  <c r="AL404" i="9"/>
  <c r="AL405" i="9"/>
  <c r="AL406" i="9"/>
  <c r="AL407" i="9"/>
  <c r="AL408" i="9"/>
  <c r="AL409" i="9"/>
  <c r="AL410" i="9"/>
  <c r="AL411" i="9"/>
  <c r="AL412" i="9"/>
  <c r="AL413" i="9"/>
  <c r="AL414" i="9"/>
  <c r="AL415" i="9"/>
  <c r="AL416" i="9"/>
  <c r="AL417" i="9"/>
  <c r="AL418" i="9"/>
  <c r="AL419" i="9"/>
  <c r="AL420" i="9"/>
  <c r="AL421" i="9"/>
  <c r="AL422" i="9"/>
  <c r="AL423" i="9"/>
  <c r="AL424" i="9"/>
  <c r="AL425" i="9"/>
  <c r="AL426" i="9"/>
  <c r="AL427" i="9"/>
  <c r="AL428" i="9"/>
  <c r="AL429" i="9"/>
  <c r="AL430" i="9"/>
  <c r="AL431" i="9"/>
  <c r="AL432" i="9"/>
  <c r="AL433" i="9"/>
  <c r="AL434" i="9"/>
  <c r="AL435" i="9"/>
  <c r="AL436" i="9"/>
  <c r="AL437" i="9"/>
  <c r="AL438" i="9"/>
  <c r="AL439" i="9"/>
  <c r="AL440" i="9"/>
  <c r="AL441" i="9"/>
  <c r="AL442" i="9"/>
  <c r="AL443" i="9"/>
  <c r="AL444" i="9"/>
  <c r="AL445" i="9"/>
  <c r="AL446" i="9"/>
  <c r="AL447" i="9"/>
  <c r="AL448" i="9"/>
  <c r="AL449" i="9"/>
  <c r="AL450" i="9"/>
  <c r="AL451" i="9"/>
  <c r="AL452" i="9"/>
  <c r="AL453" i="9"/>
  <c r="E2" i="3" a="1"/>
  <c r="A4" i="14"/>
  <c r="H3" i="10"/>
  <c r="H4" i="10" s="1"/>
  <c r="H5" i="10" s="1"/>
  <c r="H6" i="10" s="1"/>
  <c r="H7" i="10" s="1"/>
  <c r="H8" i="10" s="1"/>
  <c r="H9" i="10" s="1"/>
  <c r="H10" i="10" s="1"/>
  <c r="N221" i="9" a="1"/>
  <c r="N222" i="9" s="1"/>
  <c r="N223" i="9" s="1"/>
  <c r="N224" i="9" s="1"/>
  <c r="N225" i="9" s="1"/>
  <c r="N226" i="9" s="1"/>
  <c r="N227" i="9" s="1"/>
  <c r="D213" i="9"/>
  <c r="D214" i="9"/>
  <c r="D215" i="9"/>
  <c r="V215" i="9" s="1"/>
  <c r="D216" i="9"/>
  <c r="V216" i="9" s="1"/>
  <c r="D217" i="9"/>
  <c r="V217" i="9" s="1"/>
  <c r="D218" i="9"/>
  <c r="D219" i="9"/>
  <c r="V219" i="9" s="1"/>
  <c r="D220" i="9"/>
  <c r="V220" i="9" s="1"/>
  <c r="D221" i="9"/>
  <c r="V221" i="9" s="1"/>
  <c r="D222" i="9"/>
  <c r="V222" i="9" s="1"/>
  <c r="D223" i="9"/>
  <c r="V223" i="9" s="1"/>
  <c r="D224" i="9"/>
  <c r="D225" i="9"/>
  <c r="D226" i="9"/>
  <c r="D227" i="9"/>
  <c r="D228" i="9"/>
  <c r="D229" i="9"/>
  <c r="D230" i="9"/>
  <c r="D231" i="9"/>
  <c r="D232" i="9"/>
  <c r="D233" i="9"/>
  <c r="D234" i="9"/>
  <c r="D235" i="9"/>
  <c r="AL235" i="9" s="1"/>
  <c r="D236" i="9"/>
  <c r="D237" i="9"/>
  <c r="D238" i="9"/>
  <c r="D239" i="9"/>
  <c r="D240" i="9"/>
  <c r="D241" i="9"/>
  <c r="D242" i="9"/>
  <c r="D243" i="9"/>
  <c r="D244" i="9"/>
  <c r="D212" i="9"/>
  <c r="AL212" i="9" s="1"/>
  <c r="E213" i="9"/>
  <c r="E214" i="9"/>
  <c r="E215" i="9"/>
  <c r="E216" i="9"/>
  <c r="K223" i="9" s="1"/>
  <c r="E217"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AL119" i="9" s="1"/>
  <c r="D120" i="9"/>
  <c r="AL120" i="9" s="1"/>
  <c r="D121" i="9"/>
  <c r="AL121" i="9" s="1"/>
  <c r="D122" i="9"/>
  <c r="AL122" i="9" s="1"/>
  <c r="D123" i="9"/>
  <c r="AL123" i="9" s="1"/>
  <c r="D124" i="9"/>
  <c r="AL124" i="9" s="1"/>
  <c r="D125" i="9"/>
  <c r="AL125" i="9" s="1"/>
  <c r="D126" i="9"/>
  <c r="AL126" i="9" s="1"/>
  <c r="D127" i="9"/>
  <c r="AL127" i="9" s="1"/>
  <c r="D128" i="9"/>
  <c r="AL128" i="9" s="1"/>
  <c r="D129" i="9"/>
  <c r="AL129" i="9" s="1"/>
  <c r="D130" i="9"/>
  <c r="AL130" i="9" s="1"/>
  <c r="D131" i="9"/>
  <c r="AL131" i="9" s="1"/>
  <c r="D132" i="9"/>
  <c r="AL132" i="9" s="1"/>
  <c r="D133" i="9"/>
  <c r="AL133" i="9" s="1"/>
  <c r="D134" i="9"/>
  <c r="AL134" i="9" s="1"/>
  <c r="D135" i="9"/>
  <c r="AL135" i="9" s="1"/>
  <c r="D136" i="9"/>
  <c r="AL136" i="9" s="1"/>
  <c r="D137" i="9"/>
  <c r="AL137" i="9" s="1"/>
  <c r="D138" i="9"/>
  <c r="AL138" i="9" s="1"/>
  <c r="D139" i="9"/>
  <c r="AL139" i="9" s="1"/>
  <c r="D140" i="9"/>
  <c r="AL140" i="9" s="1"/>
  <c r="D141" i="9"/>
  <c r="AL141" i="9" s="1"/>
  <c r="D142" i="9"/>
  <c r="AL142" i="9" s="1"/>
  <c r="D143" i="9"/>
  <c r="AL143" i="9" s="1"/>
  <c r="D144" i="9"/>
  <c r="AL144" i="9" s="1"/>
  <c r="D145" i="9"/>
  <c r="AL145" i="9" s="1"/>
  <c r="D146" i="9"/>
  <c r="AL146" i="9" s="1"/>
  <c r="D147" i="9"/>
  <c r="AL147" i="9" s="1"/>
  <c r="D148" i="9"/>
  <c r="AL148" i="9" s="1"/>
  <c r="D149" i="9"/>
  <c r="AL149" i="9" s="1"/>
  <c r="D150" i="9"/>
  <c r="AL150" i="9" s="1"/>
  <c r="D151" i="9"/>
  <c r="AL151" i="9" s="1"/>
  <c r="D152" i="9"/>
  <c r="AL152" i="9" s="1"/>
  <c r="D153" i="9"/>
  <c r="AL153" i="9" s="1"/>
  <c r="D154" i="9"/>
  <c r="AL154" i="9" s="1"/>
  <c r="D155" i="9"/>
  <c r="AL155" i="9" s="1"/>
  <c r="D156" i="9"/>
  <c r="AL156" i="9" s="1"/>
  <c r="D157" i="9"/>
  <c r="AL157" i="9" s="1"/>
  <c r="D158" i="9"/>
  <c r="AL158" i="9" s="1"/>
  <c r="D159" i="9"/>
  <c r="AL159" i="9" s="1"/>
  <c r="D160" i="9"/>
  <c r="AL160" i="9" s="1"/>
  <c r="D161" i="9"/>
  <c r="AL161" i="9" s="1"/>
  <c r="D162" i="9"/>
  <c r="AL162" i="9" s="1"/>
  <c r="D163" i="9"/>
  <c r="AL163" i="9" s="1"/>
  <c r="D164" i="9"/>
  <c r="AL164" i="9" s="1"/>
  <c r="D165" i="9"/>
  <c r="AL165" i="9" s="1"/>
  <c r="D166" i="9"/>
  <c r="AL166" i="9" s="1"/>
  <c r="D167" i="9"/>
  <c r="AL167" i="9" s="1"/>
  <c r="D168" i="9"/>
  <c r="AL168" i="9" s="1"/>
  <c r="D169" i="9"/>
  <c r="AL169" i="9" s="1"/>
  <c r="D170" i="9"/>
  <c r="AL170" i="9" s="1"/>
  <c r="D171" i="9"/>
  <c r="AL171" i="9" s="1"/>
  <c r="D172" i="9"/>
  <c r="AL172" i="9" s="1"/>
  <c r="D173" i="9"/>
  <c r="AL173" i="9" s="1"/>
  <c r="D174" i="9"/>
  <c r="AL174" i="9" s="1"/>
  <c r="D175" i="9"/>
  <c r="D176" i="9"/>
  <c r="AL176" i="9" s="1"/>
  <c r="D177" i="9"/>
  <c r="AL177" i="9" s="1"/>
  <c r="D178" i="9"/>
  <c r="AL178" i="9" s="1"/>
  <c r="D179" i="9"/>
  <c r="AL179" i="9" s="1"/>
  <c r="D180" i="9"/>
  <c r="AL180" i="9" s="1"/>
  <c r="D181" i="9"/>
  <c r="AL181" i="9" s="1"/>
  <c r="D182" i="9"/>
  <c r="AL182" i="9" s="1"/>
  <c r="D183" i="9"/>
  <c r="AL183" i="9" s="1"/>
  <c r="D184" i="9"/>
  <c r="AL184" i="9" s="1"/>
  <c r="D185" i="9"/>
  <c r="AL185" i="9" s="1"/>
  <c r="D186" i="9"/>
  <c r="AL186" i="9" s="1"/>
  <c r="D187" i="9"/>
  <c r="AL187" i="9" s="1"/>
  <c r="D188" i="9"/>
  <c r="AL188" i="9" s="1"/>
  <c r="D189" i="9"/>
  <c r="AL189" i="9" s="1"/>
  <c r="D190" i="9"/>
  <c r="AL190" i="9" s="1"/>
  <c r="D191" i="9"/>
  <c r="AL191" i="9" s="1"/>
  <c r="D192" i="9"/>
  <c r="AL192" i="9" s="1"/>
  <c r="D193" i="9"/>
  <c r="AL193" i="9" s="1"/>
  <c r="D194" i="9"/>
  <c r="AL194" i="9" s="1"/>
  <c r="D195" i="9"/>
  <c r="AL195" i="9" s="1"/>
  <c r="D196" i="9"/>
  <c r="AL196" i="9" s="1"/>
  <c r="D197" i="9"/>
  <c r="AL197" i="9" s="1"/>
  <c r="D198" i="9"/>
  <c r="AL198" i="9" s="1"/>
  <c r="D199" i="9"/>
  <c r="AL199" i="9" s="1"/>
  <c r="D200" i="9"/>
  <c r="AL200" i="9" s="1"/>
  <c r="D201" i="9"/>
  <c r="AL201" i="9" s="1"/>
  <c r="D202" i="9"/>
  <c r="AL202" i="9" s="1"/>
  <c r="D203" i="9"/>
  <c r="AL203" i="9" s="1"/>
  <c r="D204" i="9"/>
  <c r="AL204" i="9" s="1"/>
  <c r="D205" i="9"/>
  <c r="AL205" i="9" s="1"/>
  <c r="D206" i="9"/>
  <c r="AL206" i="9" s="1"/>
  <c r="D207" i="9"/>
  <c r="AL207" i="9" s="1"/>
  <c r="D208" i="9"/>
  <c r="AL208" i="9" s="1"/>
  <c r="D209" i="9"/>
  <c r="AL209" i="9" s="1"/>
  <c r="D210" i="9"/>
  <c r="AL210" i="9" s="1"/>
  <c r="D211" i="9"/>
  <c r="AL211" i="9" s="1"/>
  <c r="D245" i="9"/>
  <c r="D246" i="9"/>
  <c r="D247" i="9"/>
  <c r="D248" i="9"/>
  <c r="D249" i="9"/>
  <c r="D250" i="9"/>
  <c r="D251" i="9"/>
  <c r="D252" i="9"/>
  <c r="D253" i="9"/>
  <c r="D254" i="9"/>
  <c r="D255" i="9"/>
  <c r="D256" i="9"/>
  <c r="D257" i="9"/>
  <c r="D258" i="9"/>
  <c r="D259" i="9"/>
  <c r="D260" i="9"/>
  <c r="D261" i="9"/>
  <c r="D262" i="9"/>
  <c r="D263" i="9"/>
  <c r="D17" i="9"/>
  <c r="D18" i="9"/>
  <c r="N214" i="9" a="1"/>
  <c r="N215" i="9" s="1"/>
  <c r="N216" i="9" s="1"/>
  <c r="N217" i="9" s="1"/>
  <c r="N218" i="9" s="1"/>
  <c r="N219" i="9" s="1"/>
  <c r="N220" i="9" s="1"/>
  <c r="I16" i="3"/>
  <c r="H2" i="3" s="1"/>
  <c r="H16" i="3"/>
  <c r="N207" i="9" a="1"/>
  <c r="N208" i="9" s="1"/>
  <c r="N209" i="9" s="1"/>
  <c r="N210" i="9" s="1"/>
  <c r="N211" i="9" s="1"/>
  <c r="N212" i="9" s="1"/>
  <c r="N213" i="9" s="1"/>
  <c r="N200" i="9" a="1"/>
  <c r="N201" i="9" s="1"/>
  <c r="N202" i="9" s="1"/>
  <c r="N203" i="9" s="1"/>
  <c r="N204" i="9" s="1"/>
  <c r="N205" i="9" s="1"/>
  <c r="N206" i="9" s="1"/>
  <c r="N193" i="9" a="1"/>
  <c r="N194" i="9" s="1"/>
  <c r="N195" i="9" s="1"/>
  <c r="N196" i="9" s="1"/>
  <c r="N197" i="9" s="1"/>
  <c r="N198" i="9" s="1"/>
  <c r="N199" i="9" s="1"/>
  <c r="AP492" i="9" l="1"/>
  <c r="AO492" i="9"/>
  <c r="AN492" i="9"/>
  <c r="X492" i="9"/>
  <c r="Z492" i="9"/>
  <c r="Y492" i="9"/>
  <c r="R5" i="10"/>
  <c r="Z476" i="9"/>
  <c r="X459" i="9"/>
  <c r="Z459" i="9"/>
  <c r="X460" i="9"/>
  <c r="Z460" i="9"/>
  <c r="X461" i="9"/>
  <c r="Z461" i="9"/>
  <c r="X462" i="9"/>
  <c r="Z462" i="9"/>
  <c r="X463" i="9"/>
  <c r="Z463" i="9"/>
  <c r="X464" i="9"/>
  <c r="Z464" i="9"/>
  <c r="X465" i="9"/>
  <c r="Z465" i="9"/>
  <c r="Z466" i="9"/>
  <c r="X466" i="9"/>
  <c r="X467" i="9"/>
  <c r="Z467" i="9"/>
  <c r="X468" i="9"/>
  <c r="Z468" i="9"/>
  <c r="X469" i="9"/>
  <c r="Z469" i="9"/>
  <c r="F480" i="9"/>
  <c r="H480" i="9" s="1"/>
  <c r="F245" i="9"/>
  <c r="H245" i="9" s="1"/>
  <c r="F246" i="9"/>
  <c r="F240" i="9"/>
  <c r="H240" i="9" s="1"/>
  <c r="X224" i="9"/>
  <c r="Z224" i="9"/>
  <c r="X225" i="9"/>
  <c r="Z225" i="9"/>
  <c r="X281" i="9"/>
  <c r="Z281" i="9"/>
  <c r="X283" i="9"/>
  <c r="Z283" i="9"/>
  <c r="X285" i="9"/>
  <c r="Z285" i="9"/>
  <c r="X286" i="9"/>
  <c r="Z286" i="9"/>
  <c r="X287" i="9"/>
  <c r="Z287" i="9"/>
  <c r="X288" i="9"/>
  <c r="Z288" i="9"/>
  <c r="X289" i="9"/>
  <c r="Z289" i="9"/>
  <c r="X292" i="9"/>
  <c r="Z292" i="9"/>
  <c r="Z470" i="9"/>
  <c r="X470" i="9"/>
  <c r="X471" i="9"/>
  <c r="Z471" i="9"/>
  <c r="Z472" i="9"/>
  <c r="X472" i="9"/>
  <c r="Z473" i="9"/>
  <c r="X473" i="9"/>
  <c r="X474" i="9"/>
  <c r="Z474" i="9"/>
  <c r="J16" i="3"/>
  <c r="F470" i="9"/>
  <c r="H470" i="9" s="1"/>
  <c r="X296" i="9"/>
  <c r="F478" i="9"/>
  <c r="H478" i="9" s="1"/>
  <c r="AP430" i="9"/>
  <c r="X351" i="9"/>
  <c r="Z351" i="9"/>
  <c r="X355" i="9"/>
  <c r="Z355" i="9"/>
  <c r="AN174" i="9"/>
  <c r="AP174" i="9"/>
  <c r="AN175" i="9"/>
  <c r="AP175" i="9"/>
  <c r="AN176" i="9"/>
  <c r="AP176" i="9"/>
  <c r="AN334" i="9"/>
  <c r="AP334" i="9"/>
  <c r="F471" i="9"/>
  <c r="H471" i="9" s="1"/>
  <c r="F476" i="9"/>
  <c r="H476" i="9" s="1"/>
  <c r="F236" i="9"/>
  <c r="H236" i="9" s="1"/>
  <c r="AP371" i="9"/>
  <c r="F475" i="9"/>
  <c r="H475" i="9" s="1"/>
  <c r="X298" i="9"/>
  <c r="Z298" i="9"/>
  <c r="AG3" i="10"/>
  <c r="U2" i="10"/>
  <c r="Z483" i="9"/>
  <c r="F233" i="9"/>
  <c r="Z296" i="9"/>
  <c r="X297" i="9"/>
  <c r="Z297" i="9"/>
  <c r="AP336" i="9"/>
  <c r="AN336" i="9"/>
  <c r="J2" i="10"/>
  <c r="F479" i="9"/>
  <c r="H479" i="9" s="1"/>
  <c r="G11" i="10"/>
  <c r="F219" i="9"/>
  <c r="F466" i="9"/>
  <c r="H466" i="9" s="1"/>
  <c r="F484" i="9"/>
  <c r="H484" i="9" s="1"/>
  <c r="F220" i="9"/>
  <c r="H220" i="9" s="1"/>
  <c r="K338" i="9"/>
  <c r="K341" i="9"/>
  <c r="X290" i="9"/>
  <c r="Z290" i="9"/>
  <c r="X291" i="9"/>
  <c r="Z291" i="9"/>
  <c r="Z475" i="9"/>
  <c r="X475" i="9"/>
  <c r="AP329" i="9"/>
  <c r="AN329" i="9"/>
  <c r="AP330" i="9"/>
  <c r="AN330" i="9"/>
  <c r="AP331" i="9"/>
  <c r="AN331" i="9"/>
  <c r="AN332" i="9"/>
  <c r="AP332" i="9"/>
  <c r="AN333" i="9"/>
  <c r="AP333" i="9"/>
  <c r="AP335" i="9"/>
  <c r="AN335" i="9"/>
  <c r="AN337" i="9"/>
  <c r="AP337" i="9"/>
  <c r="AP338" i="9"/>
  <c r="AN338" i="9"/>
  <c r="AN339" i="9"/>
  <c r="AP339" i="9"/>
  <c r="AN489" i="9"/>
  <c r="AP489" i="9"/>
  <c r="H11" i="10"/>
  <c r="F256" i="9"/>
  <c r="H256" i="9" s="1"/>
  <c r="X294" i="9"/>
  <c r="Z294" i="9"/>
  <c r="X295" i="9"/>
  <c r="Z295" i="9"/>
  <c r="AN118" i="9"/>
  <c r="AP118" i="9"/>
  <c r="D7" i="3"/>
  <c r="D39" i="12"/>
  <c r="E39" i="12"/>
  <c r="I39" i="12"/>
  <c r="D40" i="12"/>
  <c r="E40" i="12"/>
  <c r="G40" i="12"/>
  <c r="I40" i="12"/>
  <c r="K483" i="9"/>
  <c r="F483" i="9"/>
  <c r="H483" i="9" s="1"/>
  <c r="K260" i="9"/>
  <c r="K261" i="9"/>
  <c r="K262" i="9"/>
  <c r="X231" i="9"/>
  <c r="Z231" i="9"/>
  <c r="X406" i="9"/>
  <c r="Z406" i="9"/>
  <c r="K254" i="9"/>
  <c r="K255" i="9"/>
  <c r="K256" i="9"/>
  <c r="K257" i="9"/>
  <c r="K258" i="9"/>
  <c r="K259" i="9"/>
  <c r="K385" i="9"/>
  <c r="X232" i="9"/>
  <c r="Z232" i="9"/>
  <c r="X233" i="9"/>
  <c r="Z233" i="9"/>
  <c r="X396" i="9"/>
  <c r="Z396" i="9"/>
  <c r="X409" i="9"/>
  <c r="Z409" i="9"/>
  <c r="X410" i="9"/>
  <c r="Z410" i="9"/>
  <c r="X411" i="9"/>
  <c r="Z411" i="9"/>
  <c r="X412" i="9"/>
  <c r="Z412" i="9"/>
  <c r="X413" i="9"/>
  <c r="Z413" i="9"/>
  <c r="AN117" i="9"/>
  <c r="AP117" i="9"/>
  <c r="F251" i="9"/>
  <c r="H251" i="9" s="1"/>
  <c r="K251" i="9"/>
  <c r="F252" i="9"/>
  <c r="H252" i="9" s="1"/>
  <c r="K252" i="9"/>
  <c r="K481" i="9"/>
  <c r="F481" i="9"/>
  <c r="H481" i="9" s="1"/>
  <c r="K482" i="9"/>
  <c r="F482" i="9"/>
  <c r="H482" i="9" s="1"/>
  <c r="F487" i="9"/>
  <c r="H487" i="9" s="1"/>
  <c r="F488" i="9"/>
  <c r="H488" i="9" s="1"/>
  <c r="AC236" i="9"/>
  <c r="F231" i="9"/>
  <c r="H231" i="9" s="1"/>
  <c r="K236" i="9"/>
  <c r="I459" i="9"/>
  <c r="K474" i="9"/>
  <c r="K475" i="9"/>
  <c r="K476" i="9"/>
  <c r="K477" i="9"/>
  <c r="K478" i="9"/>
  <c r="K479" i="9"/>
  <c r="K480" i="9"/>
  <c r="F218" i="9"/>
  <c r="X235" i="9"/>
  <c r="Z235" i="9"/>
  <c r="X330" i="9"/>
  <c r="Z329" i="9"/>
  <c r="AN279" i="9"/>
  <c r="AP279" i="9"/>
  <c r="AP280" i="9"/>
  <c r="AN280" i="9"/>
  <c r="AN281" i="9"/>
  <c r="AP281" i="9"/>
  <c r="AP282" i="9"/>
  <c r="AN282" i="9"/>
  <c r="AN283" i="9"/>
  <c r="AP283" i="9"/>
  <c r="AN284" i="9"/>
  <c r="AP284" i="9"/>
  <c r="AP285" i="9"/>
  <c r="AN285" i="9"/>
  <c r="AN286" i="9"/>
  <c r="AP286" i="9"/>
  <c r="AN287" i="9"/>
  <c r="AP287" i="9"/>
  <c r="AN388" i="9"/>
  <c r="AP388" i="9"/>
  <c r="AP389" i="9"/>
  <c r="AN389" i="9"/>
  <c r="AP390" i="9"/>
  <c r="AN390" i="9"/>
  <c r="AP391" i="9"/>
  <c r="AN391" i="9"/>
  <c r="AN392" i="9"/>
  <c r="AP392" i="9"/>
  <c r="AN393" i="9"/>
  <c r="AP393" i="9"/>
  <c r="AN394" i="9"/>
  <c r="AP394" i="9"/>
  <c r="AN395" i="9"/>
  <c r="AP395" i="9"/>
  <c r="AP396" i="9"/>
  <c r="AN396" i="9"/>
  <c r="AN397" i="9"/>
  <c r="AP397" i="9"/>
  <c r="AN398" i="9"/>
  <c r="AP398" i="9"/>
  <c r="AP399" i="9"/>
  <c r="AN399" i="9"/>
  <c r="AP400" i="9"/>
  <c r="AN400" i="9"/>
  <c r="AN435" i="9"/>
  <c r="AP435" i="9"/>
  <c r="AN436" i="9"/>
  <c r="AP436" i="9"/>
  <c r="AP437" i="9"/>
  <c r="AN437" i="9"/>
  <c r="AP438" i="9"/>
  <c r="AN438" i="9"/>
  <c r="AN439" i="9"/>
  <c r="AP439" i="9"/>
  <c r="AP440" i="9"/>
  <c r="AN440" i="9"/>
  <c r="AP441" i="9"/>
  <c r="AN441" i="9"/>
  <c r="AN442" i="9"/>
  <c r="AP442" i="9"/>
  <c r="AN443" i="9"/>
  <c r="AP443" i="9"/>
  <c r="AP444" i="9"/>
  <c r="AN444" i="9"/>
  <c r="AN445" i="9"/>
  <c r="AP445" i="9"/>
  <c r="AN446" i="9"/>
  <c r="AP446" i="9"/>
  <c r="AN447" i="9"/>
  <c r="AP447" i="9"/>
  <c r="AP448" i="9"/>
  <c r="AN448" i="9"/>
  <c r="AN449" i="9"/>
  <c r="AP449" i="9"/>
  <c r="AP450" i="9"/>
  <c r="AN450" i="9"/>
  <c r="AN451" i="9"/>
  <c r="AP451" i="9"/>
  <c r="AP452" i="9"/>
  <c r="AN452" i="9"/>
  <c r="AN453" i="9"/>
  <c r="AP453" i="9"/>
  <c r="AN454" i="9"/>
  <c r="AP454" i="9"/>
  <c r="AP455" i="9"/>
  <c r="AN455" i="9"/>
  <c r="AN456" i="9"/>
  <c r="AP456" i="9"/>
  <c r="AN457" i="9"/>
  <c r="AP457" i="9"/>
  <c r="AP458" i="9"/>
  <c r="AN458" i="9"/>
  <c r="AN459" i="9"/>
  <c r="AP459" i="9"/>
  <c r="AN488" i="9"/>
  <c r="AP488" i="9"/>
  <c r="AN490" i="9"/>
  <c r="AP490" i="9"/>
  <c r="AN491" i="9"/>
  <c r="AP491" i="9"/>
  <c r="AN493" i="9"/>
  <c r="AP493" i="9"/>
  <c r="F468" i="9"/>
  <c r="H468" i="9" s="1"/>
  <c r="F469" i="9"/>
  <c r="H469" i="9" s="1"/>
  <c r="K472" i="9"/>
  <c r="F472" i="9"/>
  <c r="H472" i="9" s="1"/>
  <c r="F473" i="9"/>
  <c r="H473" i="9" s="1"/>
  <c r="F474" i="9"/>
  <c r="H474" i="9" s="1"/>
  <c r="K325" i="9"/>
  <c r="K465" i="9"/>
  <c r="K467" i="9"/>
  <c r="K468" i="9"/>
  <c r="K469" i="9"/>
  <c r="K470" i="9"/>
  <c r="K471" i="9"/>
  <c r="X109" i="9"/>
  <c r="Z109" i="9"/>
  <c r="Z110" i="9"/>
  <c r="X110" i="9"/>
  <c r="X111" i="9"/>
  <c r="Z111" i="9"/>
  <c r="X112" i="9"/>
  <c r="Z112" i="9"/>
  <c r="Z113" i="9"/>
  <c r="X113" i="9"/>
  <c r="X114" i="9"/>
  <c r="Z114" i="9"/>
  <c r="X115" i="9"/>
  <c r="Z115" i="9"/>
  <c r="Z116" i="9"/>
  <c r="X116" i="9"/>
  <c r="Z117" i="9"/>
  <c r="X117" i="9"/>
  <c r="Z118" i="9"/>
  <c r="X118" i="9"/>
  <c r="Z119" i="9"/>
  <c r="X119" i="9"/>
  <c r="X120" i="9"/>
  <c r="Z120" i="9"/>
  <c r="Z167" i="9"/>
  <c r="X167" i="9"/>
  <c r="X168" i="9"/>
  <c r="Z168" i="9"/>
  <c r="X169" i="9"/>
  <c r="Z169" i="9"/>
  <c r="Z170" i="9"/>
  <c r="X170" i="9"/>
  <c r="X171" i="9"/>
  <c r="Z171" i="9"/>
  <c r="X172" i="9"/>
  <c r="Z172" i="9"/>
  <c r="X173" i="9"/>
  <c r="Z173" i="9"/>
  <c r="Z174" i="9"/>
  <c r="X174" i="9"/>
  <c r="Z175" i="9"/>
  <c r="X175" i="9"/>
  <c r="X176" i="9"/>
  <c r="Z176" i="9"/>
  <c r="Z177" i="9"/>
  <c r="X177" i="9"/>
  <c r="Z178" i="9"/>
  <c r="X178" i="9"/>
  <c r="Z179" i="9"/>
  <c r="X179" i="9"/>
  <c r="Z180" i="9"/>
  <c r="X180" i="9"/>
  <c r="Z293" i="9"/>
  <c r="X293" i="9"/>
  <c r="AN277" i="9"/>
  <c r="AN278" i="9"/>
  <c r="AP277" i="9"/>
  <c r="AP278" i="9"/>
  <c r="AN382" i="9"/>
  <c r="AP382" i="9"/>
  <c r="AP383" i="9"/>
  <c r="AN383" i="9"/>
  <c r="AP384" i="9"/>
  <c r="AN384" i="9"/>
  <c r="AP385" i="9"/>
  <c r="AN385" i="9"/>
  <c r="AN386" i="9"/>
  <c r="AN387" i="9"/>
  <c r="AP387" i="9"/>
  <c r="AP386" i="9"/>
  <c r="AL175" i="9"/>
  <c r="K292" i="9"/>
  <c r="AC299" i="9"/>
  <c r="Z300" i="9"/>
  <c r="X397" i="9"/>
  <c r="Z397" i="9"/>
  <c r="X398" i="9"/>
  <c r="Z398" i="9"/>
  <c r="X399" i="9"/>
  <c r="Z399" i="9"/>
  <c r="Z400" i="9"/>
  <c r="X400" i="9"/>
  <c r="X401" i="9"/>
  <c r="Z401" i="9"/>
  <c r="Z402" i="9"/>
  <c r="X402" i="9"/>
  <c r="X403" i="9"/>
  <c r="Z403" i="9"/>
  <c r="Z404" i="9"/>
  <c r="X404" i="9"/>
  <c r="X405" i="9"/>
  <c r="Z405" i="9"/>
  <c r="Z407" i="9"/>
  <c r="X408" i="9"/>
  <c r="Z408" i="9"/>
  <c r="X407" i="9"/>
  <c r="AN224" i="9"/>
  <c r="AP224" i="9"/>
  <c r="AN225" i="9"/>
  <c r="AP225" i="9"/>
  <c r="AN226" i="9"/>
  <c r="AP226" i="9"/>
  <c r="AP227" i="9"/>
  <c r="AN227" i="9"/>
  <c r="AP228" i="9"/>
  <c r="AN228" i="9"/>
  <c r="AP229" i="9"/>
  <c r="AN229" i="9"/>
  <c r="AP230" i="9"/>
  <c r="AN230" i="9"/>
  <c r="AN231" i="9"/>
  <c r="AP231" i="9"/>
  <c r="AP232" i="9"/>
  <c r="AN232" i="9"/>
  <c r="AN233" i="9"/>
  <c r="AP233" i="9"/>
  <c r="AN234" i="9"/>
  <c r="AP234" i="9"/>
  <c r="AN340" i="9"/>
  <c r="AP340" i="9"/>
  <c r="AP341" i="9"/>
  <c r="AN341" i="9"/>
  <c r="AN342" i="9"/>
  <c r="AP342" i="9"/>
  <c r="AN343" i="9"/>
  <c r="AP343" i="9"/>
  <c r="AN344" i="9"/>
  <c r="AP344" i="9"/>
  <c r="K235" i="9"/>
  <c r="F235" i="9"/>
  <c r="H235" i="9" s="1"/>
  <c r="I235" i="9"/>
  <c r="F238" i="9"/>
  <c r="H238" i="9" s="1"/>
  <c r="F241" i="9"/>
  <c r="H241" i="9" s="1"/>
  <c r="F242" i="9"/>
  <c r="H242" i="9" s="1"/>
  <c r="V213" i="9"/>
  <c r="AL213" i="9"/>
  <c r="V214" i="9"/>
  <c r="AL214" i="9"/>
  <c r="Z121" i="9"/>
  <c r="X121" i="9"/>
  <c r="Z122" i="9"/>
  <c r="X122" i="9"/>
  <c r="Z123" i="9"/>
  <c r="X123" i="9"/>
  <c r="X124" i="9"/>
  <c r="Z124" i="9"/>
  <c r="X125" i="9"/>
  <c r="Z125" i="9"/>
  <c r="X126" i="9"/>
  <c r="Z126" i="9"/>
  <c r="X127" i="9"/>
  <c r="Z127" i="9"/>
  <c r="Z128" i="9"/>
  <c r="X128" i="9"/>
  <c r="X129" i="9"/>
  <c r="Z129" i="9"/>
  <c r="Z130" i="9"/>
  <c r="X130" i="9"/>
  <c r="X131" i="9"/>
  <c r="Z131" i="9"/>
  <c r="Z132" i="9"/>
  <c r="X132" i="9"/>
  <c r="Z133" i="9"/>
  <c r="X133" i="9"/>
  <c r="Z134" i="9"/>
  <c r="X134" i="9"/>
  <c r="X135" i="9"/>
  <c r="Z135" i="9"/>
  <c r="Z136" i="9"/>
  <c r="X136" i="9"/>
  <c r="X137" i="9"/>
  <c r="Z137" i="9"/>
  <c r="X138" i="9"/>
  <c r="Z138" i="9"/>
  <c r="X139" i="9"/>
  <c r="Z139" i="9"/>
  <c r="Z140" i="9"/>
  <c r="X140" i="9"/>
  <c r="Z141" i="9"/>
  <c r="X141" i="9"/>
  <c r="X142" i="9"/>
  <c r="Z142" i="9"/>
  <c r="Z143" i="9"/>
  <c r="X143" i="9"/>
  <c r="Z144" i="9"/>
  <c r="X144" i="9"/>
  <c r="Z145" i="9"/>
  <c r="X145" i="9"/>
  <c r="X146" i="9"/>
  <c r="Z146" i="9"/>
  <c r="Z147" i="9"/>
  <c r="X147" i="9"/>
  <c r="Z148" i="9"/>
  <c r="X148" i="9"/>
  <c r="Z149" i="9"/>
  <c r="X149" i="9"/>
  <c r="X150" i="9"/>
  <c r="Z150" i="9"/>
  <c r="X151" i="9"/>
  <c r="Z151" i="9"/>
  <c r="X152" i="9"/>
  <c r="Z152" i="9"/>
  <c r="X153" i="9"/>
  <c r="Z153" i="9"/>
  <c r="X154" i="9"/>
  <c r="Z154" i="9"/>
  <c r="Z155" i="9"/>
  <c r="X155" i="9"/>
  <c r="Z156" i="9"/>
  <c r="X156" i="9"/>
  <c r="X157" i="9"/>
  <c r="Z157" i="9"/>
  <c r="Z158" i="9"/>
  <c r="X158" i="9"/>
  <c r="X159" i="9"/>
  <c r="Z159" i="9"/>
  <c r="Z160" i="9"/>
  <c r="X160" i="9"/>
  <c r="Z161" i="9"/>
  <c r="X161" i="9"/>
  <c r="Z162" i="9"/>
  <c r="X162" i="9"/>
  <c r="X163" i="9"/>
  <c r="Z163" i="9"/>
  <c r="Z164" i="9"/>
  <c r="X164" i="9"/>
  <c r="Z166" i="9"/>
  <c r="Z165" i="9"/>
  <c r="X166" i="9"/>
  <c r="X165" i="9"/>
  <c r="X181" i="9"/>
  <c r="Z181" i="9"/>
  <c r="X182" i="9"/>
  <c r="Z182" i="9"/>
  <c r="X183" i="9"/>
  <c r="Z183" i="9"/>
  <c r="X184" i="9"/>
  <c r="Z184" i="9"/>
  <c r="X185" i="9"/>
  <c r="Z186" i="9"/>
  <c r="X186" i="9"/>
  <c r="X187" i="9"/>
  <c r="Z187" i="9"/>
  <c r="X188" i="9"/>
  <c r="Z188" i="9"/>
  <c r="X189" i="9"/>
  <c r="Z189" i="9"/>
  <c r="Z190" i="9"/>
  <c r="X190" i="9"/>
  <c r="Z191" i="9"/>
  <c r="X191" i="9"/>
  <c r="X192" i="9"/>
  <c r="Z192" i="9"/>
  <c r="Z193" i="9"/>
  <c r="X193" i="9"/>
  <c r="Z194" i="9"/>
  <c r="X194" i="9"/>
  <c r="Z195" i="9"/>
  <c r="X195" i="9"/>
  <c r="Z196" i="9"/>
  <c r="X196" i="9"/>
  <c r="Z197" i="9"/>
  <c r="X197" i="9"/>
  <c r="X198" i="9"/>
  <c r="Z198" i="9"/>
  <c r="Z199" i="9"/>
  <c r="X199" i="9"/>
  <c r="X200" i="9"/>
  <c r="Z200" i="9"/>
  <c r="Z201" i="9"/>
  <c r="X201" i="9"/>
  <c r="X202" i="9"/>
  <c r="Z202" i="9"/>
  <c r="Z203" i="9"/>
  <c r="X203" i="9"/>
  <c r="X204" i="9"/>
  <c r="Z204" i="9"/>
  <c r="Z205" i="9"/>
  <c r="X205" i="9"/>
  <c r="Z206" i="9"/>
  <c r="X206" i="9"/>
  <c r="Z207" i="9"/>
  <c r="X207" i="9"/>
  <c r="X208" i="9"/>
  <c r="Z208" i="9"/>
  <c r="Z209" i="9"/>
  <c r="X209" i="9"/>
  <c r="Z210" i="9"/>
  <c r="X210" i="9"/>
  <c r="X211" i="9"/>
  <c r="Z211" i="9"/>
  <c r="Z212" i="9"/>
  <c r="X212" i="9"/>
  <c r="Z213" i="9"/>
  <c r="X213" i="9"/>
  <c r="Z214" i="9"/>
  <c r="X214" i="9"/>
  <c r="Z215" i="9"/>
  <c r="X215" i="9"/>
  <c r="X216" i="9"/>
  <c r="Z216" i="9"/>
  <c r="AC223" i="9"/>
  <c r="Z217" i="9"/>
  <c r="X217" i="9"/>
  <c r="Z218" i="9"/>
  <c r="X218" i="9"/>
  <c r="Z219" i="9"/>
  <c r="X219" i="9"/>
  <c r="Z220" i="9"/>
  <c r="X220" i="9"/>
  <c r="X221" i="9"/>
  <c r="Z221" i="9"/>
  <c r="Z222" i="9"/>
  <c r="X223" i="9"/>
  <c r="Z223" i="9"/>
  <c r="X222" i="9"/>
  <c r="X247" i="9"/>
  <c r="Z247" i="9"/>
  <c r="Z248" i="9"/>
  <c r="X248" i="9"/>
  <c r="Z249" i="9"/>
  <c r="X249" i="9"/>
  <c r="Z250" i="9"/>
  <c r="X250" i="9"/>
  <c r="Z251" i="9"/>
  <c r="X251" i="9"/>
  <c r="Z252" i="9"/>
  <c r="X252" i="9"/>
  <c r="Z253" i="9"/>
  <c r="X253" i="9"/>
  <c r="X254" i="9"/>
  <c r="Z254" i="9"/>
  <c r="X255" i="9"/>
  <c r="Z255" i="9"/>
  <c r="X256" i="9"/>
  <c r="Z256" i="9"/>
  <c r="X257" i="9"/>
  <c r="Z257" i="9"/>
  <c r="X258" i="9"/>
  <c r="X259" i="9"/>
  <c r="Z259" i="9"/>
  <c r="X260" i="9"/>
  <c r="Z260" i="9"/>
  <c r="X261" i="9"/>
  <c r="Z261" i="9"/>
  <c r="Z262" i="9"/>
  <c r="X262" i="9"/>
  <c r="X263" i="9"/>
  <c r="Z263" i="9"/>
  <c r="X264" i="9"/>
  <c r="Z264" i="9"/>
  <c r="X265" i="9"/>
  <c r="Z265" i="9"/>
  <c r="X266" i="9"/>
  <c r="Z266" i="9"/>
  <c r="X267" i="9"/>
  <c r="Z267" i="9"/>
  <c r="Z268" i="9"/>
  <c r="X268" i="9"/>
  <c r="X269" i="9"/>
  <c r="Z269" i="9"/>
  <c r="X270" i="9"/>
  <c r="Z270" i="9"/>
  <c r="Z271" i="9"/>
  <c r="X271" i="9"/>
  <c r="X272" i="9"/>
  <c r="Z272" i="9"/>
  <c r="Z273" i="9"/>
  <c r="X273" i="9"/>
  <c r="Z274" i="9"/>
  <c r="X274" i="9"/>
  <c r="X275" i="9"/>
  <c r="Z275" i="9"/>
  <c r="X276" i="9"/>
  <c r="Z276" i="9"/>
  <c r="Z277" i="9"/>
  <c r="X277" i="9"/>
  <c r="AC284" i="9"/>
  <c r="Z278" i="9"/>
  <c r="X278" i="9"/>
  <c r="AC278" i="9"/>
  <c r="AC285" i="9"/>
  <c r="AC279" i="9"/>
  <c r="AC286" i="9"/>
  <c r="X279" i="9"/>
  <c r="X280" i="9"/>
  <c r="Z280" i="9"/>
  <c r="Z279" i="9"/>
  <c r="AC298" i="9"/>
  <c r="AA298" i="9"/>
  <c r="AC300" i="9"/>
  <c r="X300" i="9"/>
  <c r="X301" i="9"/>
  <c r="Z301" i="9"/>
  <c r="X302" i="9"/>
  <c r="Z302" i="9"/>
  <c r="Z303" i="9"/>
  <c r="X303" i="9"/>
  <c r="X304" i="9"/>
  <c r="Z304" i="9"/>
  <c r="AC305" i="9"/>
  <c r="Z305" i="9"/>
  <c r="X305" i="9"/>
  <c r="X306" i="9"/>
  <c r="Z306" i="9"/>
  <c r="AC307" i="9"/>
  <c r="Z307" i="9"/>
  <c r="X307" i="9"/>
  <c r="Z308" i="9"/>
  <c r="X308" i="9"/>
  <c r="X309" i="9"/>
  <c r="Z309" i="9"/>
  <c r="X310" i="9"/>
  <c r="Z310" i="9"/>
  <c r="X311" i="9"/>
  <c r="Z311" i="9"/>
  <c r="X312" i="9"/>
  <c r="Z312" i="9"/>
  <c r="X313" i="9"/>
  <c r="Z313" i="9"/>
  <c r="X314" i="9"/>
  <c r="Z314" i="9"/>
  <c r="Z315" i="9"/>
  <c r="X315" i="9"/>
  <c r="Z316" i="9"/>
  <c r="X316" i="9"/>
  <c r="X317" i="9"/>
  <c r="Z317" i="9"/>
  <c r="X318" i="9"/>
  <c r="Z318" i="9"/>
  <c r="X319" i="9"/>
  <c r="Z319" i="9"/>
  <c r="Z320" i="9"/>
  <c r="X320" i="9"/>
  <c r="AC320" i="9"/>
  <c r="AC321" i="9"/>
  <c r="X321" i="9"/>
  <c r="Z321" i="9"/>
  <c r="X322" i="9"/>
  <c r="Z322" i="9"/>
  <c r="X323" i="9"/>
  <c r="Z323" i="9"/>
  <c r="X324" i="9"/>
  <c r="Z324" i="9"/>
  <c r="X325" i="9"/>
  <c r="Z325" i="9"/>
  <c r="Z326" i="9"/>
  <c r="X326" i="9"/>
  <c r="X327" i="9"/>
  <c r="AC327" i="9"/>
  <c r="Z327" i="9"/>
  <c r="AC328" i="9"/>
  <c r="X328" i="9"/>
  <c r="Z328" i="9"/>
  <c r="X329" i="9"/>
  <c r="Z330" i="9"/>
  <c r="Z331" i="9"/>
  <c r="X331" i="9"/>
  <c r="Z332" i="9"/>
  <c r="X332" i="9"/>
  <c r="AC340" i="9"/>
  <c r="AC333" i="9"/>
  <c r="Z333" i="9"/>
  <c r="X333" i="9"/>
  <c r="Z334" i="9"/>
  <c r="AC334" i="9"/>
  <c r="X334" i="9"/>
  <c r="Z335" i="9"/>
  <c r="X335" i="9"/>
  <c r="Z336" i="9"/>
  <c r="X336" i="9"/>
  <c r="Z338" i="9"/>
  <c r="X337" i="9"/>
  <c r="X338" i="9"/>
  <c r="Z337" i="9"/>
  <c r="X356" i="9"/>
  <c r="Z356" i="9"/>
  <c r="Z357" i="9"/>
  <c r="X357" i="9"/>
  <c r="Z358" i="9"/>
  <c r="X358" i="9"/>
  <c r="Z359" i="9"/>
  <c r="X359" i="9"/>
  <c r="X360" i="9"/>
  <c r="Z360" i="9"/>
  <c r="X361" i="9"/>
  <c r="Z361" i="9"/>
  <c r="Z362" i="9"/>
  <c r="X362" i="9"/>
  <c r="X363" i="9"/>
  <c r="Z363" i="9"/>
  <c r="Z364" i="9"/>
  <c r="X364" i="9"/>
  <c r="X365" i="9"/>
  <c r="Z365" i="9"/>
  <c r="Z366" i="9"/>
  <c r="X366" i="9"/>
  <c r="Z367" i="9"/>
  <c r="X367" i="9"/>
  <c r="Z368" i="9"/>
  <c r="X368" i="9"/>
  <c r="Z369" i="9"/>
  <c r="X369" i="9"/>
  <c r="X370" i="9"/>
  <c r="Z370" i="9"/>
  <c r="Z371" i="9"/>
  <c r="X371" i="9"/>
  <c r="Z372" i="9"/>
  <c r="X372" i="9"/>
  <c r="X373" i="9"/>
  <c r="Z373" i="9"/>
  <c r="Z374" i="9"/>
  <c r="X374" i="9"/>
  <c r="Z375" i="9"/>
  <c r="X375" i="9"/>
  <c r="Z376" i="9"/>
  <c r="X376" i="9"/>
  <c r="Z377" i="9"/>
  <c r="X377" i="9"/>
  <c r="X378" i="9"/>
  <c r="Z378" i="9"/>
  <c r="Z379" i="9"/>
  <c r="X379" i="9"/>
  <c r="Z380" i="9"/>
  <c r="X380" i="9"/>
  <c r="X381" i="9"/>
  <c r="Z381" i="9"/>
  <c r="Z382" i="9"/>
  <c r="X382" i="9"/>
  <c r="X383" i="9"/>
  <c r="Z383" i="9"/>
  <c r="X384" i="9"/>
  <c r="Z384" i="9"/>
  <c r="Z385" i="9"/>
  <c r="X385" i="9"/>
  <c r="Z386" i="9"/>
  <c r="X386" i="9"/>
  <c r="X387" i="9"/>
  <c r="Z387" i="9"/>
  <c r="Z388" i="9"/>
  <c r="X388" i="9"/>
  <c r="Z389" i="9"/>
  <c r="X389" i="9"/>
  <c r="Z390" i="9"/>
  <c r="X390" i="9"/>
  <c r="X391" i="9"/>
  <c r="Z391" i="9"/>
  <c r="Z392" i="9"/>
  <c r="X392" i="9"/>
  <c r="Z393" i="9"/>
  <c r="X393" i="9"/>
  <c r="X394" i="9"/>
  <c r="X395" i="9"/>
  <c r="Z395" i="9"/>
  <c r="Z394" i="9"/>
  <c r="X414" i="9"/>
  <c r="Z414" i="9"/>
  <c r="X415" i="9"/>
  <c r="Z415" i="9"/>
  <c r="X416" i="9"/>
  <c r="Z417" i="9"/>
  <c r="X417" i="9"/>
  <c r="Z418" i="9"/>
  <c r="X418" i="9"/>
  <c r="X419" i="9"/>
  <c r="Z419" i="9"/>
  <c r="X420" i="9"/>
  <c r="Z420" i="9"/>
  <c r="Z421" i="9"/>
  <c r="X421" i="9"/>
  <c r="X422" i="9"/>
  <c r="Z422" i="9"/>
  <c r="Z423" i="9"/>
  <c r="X423" i="9"/>
  <c r="Z424" i="9"/>
  <c r="X424" i="9"/>
  <c r="AC425" i="9"/>
  <c r="Z425" i="9"/>
  <c r="X425" i="9"/>
  <c r="AC426" i="9"/>
  <c r="X426" i="9"/>
  <c r="Z426" i="9"/>
  <c r="Z427" i="9"/>
  <c r="X427" i="9"/>
  <c r="X428" i="9"/>
  <c r="Z428" i="9"/>
  <c r="X429" i="9"/>
  <c r="Z429" i="9"/>
  <c r="Z430" i="9"/>
  <c r="X430" i="9"/>
  <c r="Z431" i="9"/>
  <c r="X431" i="9"/>
  <c r="Z432" i="9"/>
  <c r="X432" i="9"/>
  <c r="X433" i="9"/>
  <c r="Z433" i="9"/>
  <c r="X434" i="9"/>
  <c r="Z434" i="9"/>
  <c r="Z435" i="9"/>
  <c r="X435" i="9"/>
  <c r="Z436" i="9"/>
  <c r="X436" i="9"/>
  <c r="Z437" i="9"/>
  <c r="X437" i="9"/>
  <c r="X438" i="9"/>
  <c r="Z438" i="9"/>
  <c r="Z439" i="9"/>
  <c r="X439" i="9"/>
  <c r="X440" i="9"/>
  <c r="Z440" i="9"/>
  <c r="Z441" i="9"/>
  <c r="X441" i="9"/>
  <c r="Z442" i="9"/>
  <c r="X442" i="9"/>
  <c r="X443" i="9"/>
  <c r="Z443" i="9"/>
  <c r="Z444" i="9"/>
  <c r="X444" i="9"/>
  <c r="Z445" i="9"/>
  <c r="X445" i="9"/>
  <c r="X446" i="9"/>
  <c r="Z446" i="9"/>
  <c r="X447" i="9"/>
  <c r="Z447" i="9"/>
  <c r="Z448" i="9"/>
  <c r="X448" i="9"/>
  <c r="Z449" i="9"/>
  <c r="X449" i="9"/>
  <c r="X450" i="9"/>
  <c r="Z450" i="9"/>
  <c r="Z451" i="9"/>
  <c r="X451" i="9"/>
  <c r="Z453" i="9"/>
  <c r="X453" i="9"/>
  <c r="Z452" i="9"/>
  <c r="X452" i="9"/>
  <c r="X476" i="9"/>
  <c r="X477" i="9"/>
  <c r="Z477" i="9"/>
  <c r="Z478" i="9"/>
  <c r="X478" i="9"/>
  <c r="X479" i="9"/>
  <c r="Z479" i="9"/>
  <c r="Z480" i="9"/>
  <c r="X480" i="9"/>
  <c r="X481" i="9"/>
  <c r="Z481" i="9"/>
  <c r="X482" i="9"/>
  <c r="Z482" i="9"/>
  <c r="X483" i="9"/>
  <c r="X484" i="9"/>
  <c r="Z484" i="9"/>
  <c r="X485" i="9"/>
  <c r="Z485" i="9"/>
  <c r="Z486" i="9"/>
  <c r="X486" i="9"/>
  <c r="X487" i="9"/>
  <c r="Z487" i="9"/>
  <c r="Z488" i="9"/>
  <c r="X488" i="9"/>
  <c r="X489" i="9"/>
  <c r="Z489" i="9"/>
  <c r="X490" i="9"/>
  <c r="Z490" i="9"/>
  <c r="X491" i="9"/>
  <c r="Z491" i="9"/>
  <c r="Z493" i="9"/>
  <c r="X493" i="9"/>
  <c r="AN171" i="9"/>
  <c r="AP121" i="9"/>
  <c r="AN121" i="9"/>
  <c r="AP122" i="9"/>
  <c r="AN122" i="9"/>
  <c r="AP123" i="9"/>
  <c r="AN123" i="9"/>
  <c r="AP124" i="9"/>
  <c r="AN124" i="9"/>
  <c r="AN125" i="9"/>
  <c r="AN126" i="9"/>
  <c r="AP126" i="9"/>
  <c r="AP127" i="9"/>
  <c r="AN127" i="9"/>
  <c r="AN128" i="9"/>
  <c r="AP128" i="9"/>
  <c r="AN129" i="9"/>
  <c r="AP129" i="9"/>
  <c r="AP130" i="9"/>
  <c r="AN130" i="9"/>
  <c r="AP131" i="9"/>
  <c r="AN131" i="9"/>
  <c r="AP132" i="9"/>
  <c r="AN132" i="9"/>
  <c r="AP133" i="9"/>
  <c r="AN133" i="9"/>
  <c r="AP134" i="9"/>
  <c r="AN134" i="9"/>
  <c r="AP135" i="9"/>
  <c r="AN135" i="9"/>
  <c r="AN136" i="9"/>
  <c r="AP136" i="9"/>
  <c r="AP137" i="9"/>
  <c r="AN137" i="9"/>
  <c r="AN138" i="9"/>
  <c r="AP138" i="9"/>
  <c r="AP139" i="9"/>
  <c r="AN139" i="9"/>
  <c r="AN140" i="9"/>
  <c r="AP140" i="9"/>
  <c r="AP141" i="9"/>
  <c r="AN141" i="9"/>
  <c r="AP142" i="9"/>
  <c r="AN142" i="9"/>
  <c r="AN143" i="9"/>
  <c r="AP143" i="9"/>
  <c r="AN144" i="9"/>
  <c r="AP144" i="9"/>
  <c r="AN145" i="9"/>
  <c r="AP145" i="9"/>
  <c r="AN146" i="9"/>
  <c r="AP146" i="9"/>
  <c r="AP147" i="9"/>
  <c r="AN147" i="9"/>
  <c r="AN148" i="9"/>
  <c r="AP148" i="9"/>
  <c r="AN149" i="9"/>
  <c r="AP149" i="9"/>
  <c r="AN150" i="9"/>
  <c r="AP150" i="9"/>
  <c r="AP151" i="9"/>
  <c r="AN151" i="9"/>
  <c r="AN152" i="9"/>
  <c r="AP152" i="9"/>
  <c r="AP153" i="9"/>
  <c r="AN153" i="9"/>
  <c r="AP154" i="9"/>
  <c r="AN154" i="9"/>
  <c r="AN155" i="9"/>
  <c r="AP155" i="9"/>
  <c r="AN156" i="9"/>
  <c r="AP156" i="9"/>
  <c r="AP157" i="9"/>
  <c r="AN157" i="9"/>
  <c r="AP158" i="9"/>
  <c r="AN158" i="9"/>
  <c r="AP159" i="9"/>
  <c r="AN159" i="9"/>
  <c r="AN160" i="9"/>
  <c r="AP160" i="9"/>
  <c r="AP161" i="9"/>
  <c r="AN161" i="9"/>
  <c r="AN162" i="9"/>
  <c r="AP162" i="9"/>
  <c r="AP163" i="9"/>
  <c r="AN163" i="9"/>
  <c r="AN164" i="9"/>
  <c r="AP164" i="9"/>
  <c r="AP165" i="9"/>
  <c r="AN165" i="9"/>
  <c r="AP166" i="9"/>
  <c r="AN166" i="9"/>
  <c r="AN167" i="9"/>
  <c r="AP167" i="9"/>
  <c r="AN168" i="9"/>
  <c r="AP168" i="9"/>
  <c r="AP169" i="9"/>
  <c r="AP170" i="9"/>
  <c r="AN170" i="9"/>
  <c r="AN169" i="9"/>
  <c r="AP177" i="9"/>
  <c r="AN177" i="9"/>
  <c r="AN178" i="9"/>
  <c r="AP178" i="9"/>
  <c r="AP179" i="9"/>
  <c r="AN179" i="9"/>
  <c r="AN180" i="9"/>
  <c r="AP180" i="9"/>
  <c r="AN181" i="9"/>
  <c r="AP181" i="9"/>
  <c r="AP182" i="9"/>
  <c r="AN182" i="9"/>
  <c r="AN183" i="9"/>
  <c r="AP183" i="9"/>
  <c r="AN184" i="9"/>
  <c r="AP184" i="9"/>
  <c r="AN185" i="9"/>
  <c r="AP185" i="9"/>
  <c r="AP186" i="9"/>
  <c r="AN186" i="9"/>
  <c r="AP187" i="9"/>
  <c r="AN187" i="9"/>
  <c r="AN188" i="9"/>
  <c r="AP188" i="9"/>
  <c r="AN189" i="9"/>
  <c r="AP189" i="9"/>
  <c r="AN190" i="9"/>
  <c r="AP190" i="9"/>
  <c r="AN191" i="9"/>
  <c r="AP191" i="9"/>
  <c r="AN192" i="9"/>
  <c r="AP192" i="9"/>
  <c r="AN193" i="9"/>
  <c r="AP193" i="9"/>
  <c r="AN194" i="9"/>
  <c r="AP194" i="9"/>
  <c r="AP195" i="9"/>
  <c r="AN195" i="9"/>
  <c r="AN196" i="9"/>
  <c r="AP196" i="9"/>
  <c r="AN197" i="9"/>
  <c r="AP197" i="9"/>
  <c r="AP198" i="9"/>
  <c r="AN198" i="9"/>
  <c r="AN199" i="9"/>
  <c r="AP199" i="9"/>
  <c r="AP200" i="9"/>
  <c r="AN200" i="9"/>
  <c r="AN201" i="9"/>
  <c r="AP201" i="9"/>
  <c r="AN202" i="9"/>
  <c r="AP202" i="9"/>
  <c r="AP203" i="9"/>
  <c r="AN203" i="9"/>
  <c r="AP204" i="9"/>
  <c r="AN204" i="9"/>
  <c r="AP205" i="9"/>
  <c r="AN205" i="9"/>
  <c r="AP206" i="9"/>
  <c r="AN206" i="9"/>
  <c r="AN207" i="9"/>
  <c r="AP207" i="9"/>
  <c r="AP208" i="9"/>
  <c r="AN208" i="9"/>
  <c r="AP209" i="9"/>
  <c r="AN209" i="9"/>
  <c r="AP210" i="9"/>
  <c r="AN210" i="9"/>
  <c r="AP211" i="9"/>
  <c r="AN211" i="9"/>
  <c r="AN212" i="9"/>
  <c r="AP212" i="9"/>
  <c r="AP213" i="9"/>
  <c r="AN213" i="9"/>
  <c r="AP214" i="9"/>
  <c r="AN214" i="9"/>
  <c r="AN215" i="9"/>
  <c r="AP215" i="9"/>
  <c r="AP216" i="9"/>
  <c r="AN216" i="9"/>
  <c r="AP217" i="9"/>
  <c r="AN217" i="9"/>
  <c r="AN218" i="9"/>
  <c r="AP218" i="9"/>
  <c r="AP219" i="9"/>
  <c r="AN219" i="9"/>
  <c r="AN220" i="9"/>
  <c r="AP220" i="9"/>
  <c r="AP221" i="9"/>
  <c r="AN221" i="9"/>
  <c r="AP223" i="9"/>
  <c r="AN222" i="9"/>
  <c r="AP222" i="9"/>
  <c r="AN223" i="9"/>
  <c r="AN235" i="9"/>
  <c r="AP235" i="9"/>
  <c r="AN236" i="9"/>
  <c r="AP236" i="9"/>
  <c r="AP237" i="9"/>
  <c r="AN237" i="9"/>
  <c r="AN238" i="9"/>
  <c r="AP238" i="9"/>
  <c r="AN239" i="9"/>
  <c r="AP239" i="9"/>
  <c r="AN240" i="9"/>
  <c r="AP240" i="9"/>
  <c r="AP241" i="9"/>
  <c r="AN241" i="9"/>
  <c r="AN242" i="9"/>
  <c r="AP242" i="9"/>
  <c r="AN243" i="9"/>
  <c r="AP243" i="9"/>
  <c r="AN244" i="9"/>
  <c r="AP244" i="9"/>
  <c r="AP245" i="9"/>
  <c r="AN245" i="9"/>
  <c r="AP246" i="9"/>
  <c r="AN246" i="9"/>
  <c r="AP247" i="9"/>
  <c r="AN247" i="9"/>
  <c r="AP248" i="9"/>
  <c r="AN248" i="9"/>
  <c r="AP249" i="9"/>
  <c r="AN249" i="9"/>
  <c r="AP250" i="9"/>
  <c r="AN250" i="9"/>
  <c r="AN251" i="9"/>
  <c r="AP251" i="9"/>
  <c r="AP252" i="9"/>
  <c r="AN252" i="9"/>
  <c r="AP253" i="9"/>
  <c r="AN253" i="9"/>
  <c r="AN254" i="9"/>
  <c r="AP254" i="9"/>
  <c r="AN255" i="9"/>
  <c r="AP255" i="9"/>
  <c r="AP256" i="9"/>
  <c r="AN256" i="9"/>
  <c r="AN257" i="9"/>
  <c r="AP257" i="9"/>
  <c r="AP258" i="9"/>
  <c r="AN258" i="9"/>
  <c r="AN259" i="9"/>
  <c r="AP259" i="9"/>
  <c r="AP260" i="9"/>
  <c r="AN260" i="9"/>
  <c r="AP261" i="9"/>
  <c r="AN261" i="9"/>
  <c r="AN262" i="9"/>
  <c r="AP262" i="9"/>
  <c r="AP263" i="9"/>
  <c r="AN263" i="9"/>
  <c r="AN264" i="9"/>
  <c r="AP264" i="9"/>
  <c r="AN265" i="9"/>
  <c r="AP265" i="9"/>
  <c r="AP266" i="9"/>
  <c r="AN266" i="9"/>
  <c r="AN267" i="9"/>
  <c r="AP267" i="9"/>
  <c r="AN268" i="9"/>
  <c r="AP268" i="9"/>
  <c r="AP269" i="9"/>
  <c r="AN269" i="9"/>
  <c r="AN270" i="9"/>
  <c r="AP270" i="9"/>
  <c r="AN271" i="9"/>
  <c r="AP271" i="9"/>
  <c r="AN272" i="9"/>
  <c r="AP272" i="9"/>
  <c r="AN273" i="9"/>
  <c r="AP273" i="9"/>
  <c r="AP274" i="9"/>
  <c r="AN274" i="9"/>
  <c r="AP276" i="9"/>
  <c r="AN276" i="9"/>
  <c r="AN275" i="9"/>
  <c r="AP275" i="9"/>
  <c r="AN288" i="9"/>
  <c r="AP288" i="9"/>
  <c r="AN289" i="9"/>
  <c r="AP289" i="9"/>
  <c r="AP290" i="9"/>
  <c r="AN290" i="9"/>
  <c r="AN291" i="9"/>
  <c r="AP291" i="9"/>
  <c r="AP292" i="9"/>
  <c r="AN292" i="9"/>
  <c r="AN293" i="9"/>
  <c r="AP293" i="9"/>
  <c r="AP294" i="9"/>
  <c r="AN294" i="9"/>
  <c r="AN295" i="9"/>
  <c r="AP295" i="9"/>
  <c r="AP296" i="9"/>
  <c r="AN296" i="9"/>
  <c r="AN297" i="9"/>
  <c r="AP297" i="9"/>
  <c r="AN298" i="9"/>
  <c r="AP298" i="9"/>
  <c r="AN299" i="9"/>
  <c r="AP299" i="9"/>
  <c r="AP300" i="9"/>
  <c r="AN300" i="9"/>
  <c r="AP301" i="9"/>
  <c r="AN301" i="9"/>
  <c r="AP302" i="9"/>
  <c r="AN302" i="9"/>
  <c r="AP303" i="9"/>
  <c r="AN303" i="9"/>
  <c r="AN304" i="9"/>
  <c r="AP304" i="9"/>
  <c r="AP305" i="9"/>
  <c r="AN305" i="9"/>
  <c r="AP306" i="9"/>
  <c r="AN306" i="9"/>
  <c r="AN307" i="9"/>
  <c r="AP307" i="9"/>
  <c r="AP308" i="9"/>
  <c r="AN308" i="9"/>
  <c r="AP309" i="9"/>
  <c r="AN309" i="9"/>
  <c r="AN310" i="9"/>
  <c r="AP310" i="9"/>
  <c r="AN311" i="9"/>
  <c r="AP311" i="9"/>
  <c r="AN312" i="9"/>
  <c r="AP312" i="9"/>
  <c r="AN313" i="9"/>
  <c r="AP313" i="9"/>
  <c r="AN314" i="9"/>
  <c r="AP314" i="9"/>
  <c r="AP315" i="9"/>
  <c r="AN315" i="9"/>
  <c r="AN316" i="9"/>
  <c r="AP316" i="9"/>
  <c r="AN317" i="9"/>
  <c r="AP317" i="9"/>
  <c r="AN318" i="9"/>
  <c r="AP318" i="9"/>
  <c r="AN319" i="9"/>
  <c r="AP319" i="9"/>
  <c r="AN320" i="9"/>
  <c r="AP320" i="9"/>
  <c r="AN321" i="9"/>
  <c r="AP321" i="9"/>
  <c r="AN322" i="9"/>
  <c r="AP322" i="9"/>
  <c r="AN323" i="9"/>
  <c r="AP323" i="9"/>
  <c r="AN324" i="9"/>
  <c r="AP324" i="9"/>
  <c r="AN325" i="9"/>
  <c r="AP325" i="9"/>
  <c r="AN326" i="9"/>
  <c r="AP326" i="9"/>
  <c r="AN327" i="9"/>
  <c r="AP328" i="9"/>
  <c r="AP327" i="9"/>
  <c r="AN328" i="9"/>
  <c r="AN345" i="9"/>
  <c r="AP345" i="9"/>
  <c r="AN346" i="9"/>
  <c r="AP346" i="9"/>
  <c r="AN347" i="9"/>
  <c r="AP347" i="9"/>
  <c r="AP348" i="9"/>
  <c r="AN348" i="9"/>
  <c r="AP349" i="9"/>
  <c r="AN349" i="9"/>
  <c r="AN350" i="9"/>
  <c r="AP350" i="9"/>
  <c r="AN351" i="9"/>
  <c r="AP351" i="9"/>
  <c r="AN352" i="9"/>
  <c r="AP352" i="9"/>
  <c r="AN353" i="9"/>
  <c r="AP353" i="9"/>
  <c r="AP354" i="9"/>
  <c r="AN354" i="9"/>
  <c r="AP355" i="9"/>
  <c r="AN355" i="9"/>
  <c r="AP356" i="9"/>
  <c r="AN356" i="9"/>
  <c r="AP357" i="9"/>
  <c r="AN357" i="9"/>
  <c r="AP358" i="9"/>
  <c r="AN358" i="9"/>
  <c r="AP359" i="9"/>
  <c r="AN359" i="9"/>
  <c r="AP360" i="9"/>
  <c r="AN360" i="9"/>
  <c r="AP361" i="9"/>
  <c r="AN361" i="9"/>
  <c r="AN362" i="9"/>
  <c r="AP362" i="9"/>
  <c r="AN363" i="9"/>
  <c r="AP363" i="9"/>
  <c r="AP364" i="9"/>
  <c r="AN364" i="9"/>
  <c r="AP365" i="9"/>
  <c r="AN365" i="9"/>
  <c r="AN366" i="9"/>
  <c r="AP366" i="9"/>
  <c r="AN367" i="9"/>
  <c r="AP367" i="9"/>
  <c r="AP368" i="9"/>
  <c r="AN368" i="9"/>
  <c r="AN369" i="9"/>
  <c r="AP369" i="9"/>
  <c r="AP370" i="9"/>
  <c r="AN370" i="9"/>
  <c r="AN371" i="9"/>
  <c r="AN372" i="9"/>
  <c r="AP372" i="9"/>
  <c r="AN373" i="9"/>
  <c r="AP373" i="9"/>
  <c r="AN374" i="9"/>
  <c r="AP374" i="9"/>
  <c r="AN375" i="9"/>
  <c r="AP375" i="9"/>
  <c r="AN376" i="9"/>
  <c r="AP376" i="9"/>
  <c r="AP377" i="9"/>
  <c r="AN377" i="9"/>
  <c r="AN378" i="9"/>
  <c r="AP378" i="9"/>
  <c r="AN379" i="9"/>
  <c r="AP379" i="9"/>
  <c r="AP381" i="9"/>
  <c r="AN381" i="9"/>
  <c r="AP380" i="9"/>
  <c r="AN380" i="9"/>
  <c r="AN401" i="9"/>
  <c r="AP401" i="9"/>
  <c r="AN402" i="9"/>
  <c r="AP402" i="9"/>
  <c r="AN403" i="9"/>
  <c r="AP403" i="9"/>
  <c r="AP404" i="9"/>
  <c r="AN404" i="9"/>
  <c r="AN405" i="9"/>
  <c r="AP405" i="9"/>
  <c r="AN406" i="9"/>
  <c r="AP406" i="9"/>
  <c r="AP407" i="9"/>
  <c r="AN407" i="9"/>
  <c r="AP408" i="9"/>
  <c r="AN408" i="9"/>
  <c r="AN409" i="9"/>
  <c r="AP409" i="9"/>
  <c r="AN410" i="9"/>
  <c r="AP410" i="9"/>
  <c r="AP411" i="9"/>
  <c r="AN411" i="9"/>
  <c r="AP412" i="9"/>
  <c r="AN412" i="9"/>
  <c r="AN413" i="9"/>
  <c r="AP413" i="9"/>
  <c r="AP414" i="9"/>
  <c r="AN414" i="9"/>
  <c r="AN415" i="9"/>
  <c r="AP415" i="9"/>
  <c r="AN416" i="9"/>
  <c r="AP416" i="9"/>
  <c r="AP417" i="9"/>
  <c r="AN417" i="9"/>
  <c r="AN418" i="9"/>
  <c r="AP418" i="9"/>
  <c r="AN419" i="9"/>
  <c r="AP419" i="9"/>
  <c r="AP420" i="9"/>
  <c r="AN420" i="9"/>
  <c r="AP421" i="9"/>
  <c r="AN421" i="9"/>
  <c r="AN422" i="9"/>
  <c r="AP422" i="9"/>
  <c r="AP423" i="9"/>
  <c r="AN423" i="9"/>
  <c r="AN424" i="9"/>
  <c r="AP424" i="9"/>
  <c r="AP425" i="9"/>
  <c r="AN425" i="9"/>
  <c r="AN426" i="9"/>
  <c r="AP426" i="9"/>
  <c r="AP427" i="9"/>
  <c r="AN427" i="9"/>
  <c r="AN428" i="9"/>
  <c r="AP428" i="9"/>
  <c r="AN429" i="9"/>
  <c r="AP429" i="9"/>
  <c r="AN430" i="9"/>
  <c r="AN431" i="9"/>
  <c r="AP431" i="9"/>
  <c r="AN432" i="9"/>
  <c r="AP432" i="9"/>
  <c r="AN434" i="9"/>
  <c r="AP434" i="9"/>
  <c r="AP433" i="9"/>
  <c r="AP460" i="9"/>
  <c r="AN460" i="9"/>
  <c r="AP461" i="9"/>
  <c r="AN461" i="9"/>
  <c r="AP462" i="9"/>
  <c r="AN462" i="9"/>
  <c r="AN463" i="9"/>
  <c r="AP463" i="9"/>
  <c r="AN464" i="9"/>
  <c r="AP464" i="9"/>
  <c r="AP465" i="9"/>
  <c r="AN465" i="9"/>
  <c r="AN466" i="9"/>
  <c r="AP466" i="9"/>
  <c r="AP467" i="9"/>
  <c r="AN467" i="9"/>
  <c r="AN468" i="9"/>
  <c r="AP468" i="9"/>
  <c r="AP469" i="9"/>
  <c r="AN469" i="9"/>
  <c r="AN470" i="9"/>
  <c r="AP470" i="9"/>
  <c r="AN471" i="9"/>
  <c r="AP471" i="9"/>
  <c r="AN472" i="9"/>
  <c r="AP472" i="9"/>
  <c r="AN473" i="9"/>
  <c r="AP473" i="9"/>
  <c r="AN474" i="9"/>
  <c r="AP474" i="9"/>
  <c r="AP475" i="9"/>
  <c r="AN475" i="9"/>
  <c r="AP476" i="9"/>
  <c r="AN476" i="9"/>
  <c r="AN477" i="9"/>
  <c r="AP477" i="9"/>
  <c r="AN478" i="9"/>
  <c r="AP478" i="9"/>
  <c r="AP479" i="9"/>
  <c r="AN479" i="9"/>
  <c r="AP480" i="9"/>
  <c r="AN480" i="9"/>
  <c r="AN481" i="9"/>
  <c r="AP481" i="9"/>
  <c r="AN482" i="9"/>
  <c r="AP482" i="9"/>
  <c r="AP483" i="9"/>
  <c r="AN483" i="9"/>
  <c r="AP484" i="9"/>
  <c r="AN484" i="9"/>
  <c r="AN485" i="9"/>
  <c r="AP485" i="9"/>
  <c r="AP487" i="9"/>
  <c r="AN487" i="9"/>
  <c r="AP486" i="9"/>
  <c r="AN486" i="9"/>
  <c r="AN109" i="9"/>
  <c r="AP109" i="9"/>
  <c r="AP110" i="9"/>
  <c r="AN110" i="9"/>
  <c r="AP111" i="9"/>
  <c r="AN111" i="9"/>
  <c r="AP112" i="9"/>
  <c r="AN112" i="9"/>
  <c r="AN113" i="9"/>
  <c r="AP113" i="9"/>
  <c r="AP114" i="9"/>
  <c r="AN114" i="9"/>
  <c r="AN115" i="9"/>
  <c r="AP115" i="9"/>
  <c r="AN116" i="9"/>
  <c r="AP116" i="9"/>
  <c r="AS184" i="9"/>
  <c r="AS223" i="9"/>
  <c r="AC271" i="9"/>
  <c r="AC272" i="9"/>
  <c r="K302" i="9"/>
  <c r="K486" i="9"/>
  <c r="K488" i="9"/>
  <c r="K466" i="9"/>
  <c r="I466" i="9"/>
  <c r="K473" i="9"/>
  <c r="I473" i="9"/>
  <c r="K485" i="9"/>
  <c r="F486" i="9"/>
  <c r="AC293" i="9"/>
  <c r="F223" i="9"/>
  <c r="H223" i="9" s="1"/>
  <c r="I291" i="9"/>
  <c r="K230" i="9"/>
  <c r="I256" i="9"/>
  <c r="I263" i="9"/>
  <c r="I277" i="9"/>
  <c r="I284" i="9"/>
  <c r="I298" i="9"/>
  <c r="K307" i="9"/>
  <c r="I452" i="9"/>
  <c r="F253" i="9"/>
  <c r="H253" i="9" s="1"/>
  <c r="K253" i="9"/>
  <c r="F266" i="9"/>
  <c r="H266" i="9" s="1"/>
  <c r="K266" i="9"/>
  <c r="F267" i="9"/>
  <c r="H267" i="9" s="1"/>
  <c r="K267" i="9"/>
  <c r="F268" i="9"/>
  <c r="H268" i="9" s="1"/>
  <c r="K268" i="9"/>
  <c r="F269" i="9"/>
  <c r="H269" i="9" s="1"/>
  <c r="K269" i="9"/>
  <c r="F271" i="9"/>
  <c r="H271" i="9" s="1"/>
  <c r="K271" i="9"/>
  <c r="F272" i="9"/>
  <c r="H272" i="9" s="1"/>
  <c r="K272" i="9"/>
  <c r="F273" i="9"/>
  <c r="H273" i="9" s="1"/>
  <c r="K273" i="9"/>
  <c r="AC222" i="9"/>
  <c r="AC313" i="9"/>
  <c r="AC314" i="9"/>
  <c r="AC418" i="9"/>
  <c r="AC419" i="9"/>
  <c r="K229" i="9"/>
  <c r="F446" i="9"/>
  <c r="H446" i="9" s="1"/>
  <c r="AC270" i="9"/>
  <c r="AA270" i="9"/>
  <c r="AC277" i="9"/>
  <c r="AA277" i="9"/>
  <c r="AC291" i="9"/>
  <c r="AA291" i="9"/>
  <c r="K237" i="9"/>
  <c r="K244" i="9"/>
  <c r="K238" i="9"/>
  <c r="K245" i="9"/>
  <c r="K239" i="9"/>
  <c r="K246" i="9"/>
  <c r="K240" i="9"/>
  <c r="K247" i="9"/>
  <c r="K241" i="9"/>
  <c r="K248" i="9"/>
  <c r="K242" i="9"/>
  <c r="K249" i="9"/>
  <c r="K250" i="9"/>
  <c r="K243" i="9"/>
  <c r="F244" i="9"/>
  <c r="H244" i="9" s="1"/>
  <c r="F270" i="9"/>
  <c r="H270" i="9" s="1"/>
  <c r="I270" i="9"/>
  <c r="F403" i="9"/>
  <c r="I403" i="9"/>
  <c r="F406" i="9"/>
  <c r="H406" i="9" s="1"/>
  <c r="K406" i="9"/>
  <c r="F407" i="9"/>
  <c r="H407" i="9" s="1"/>
  <c r="K407" i="9"/>
  <c r="F408" i="9"/>
  <c r="H408" i="9" s="1"/>
  <c r="K408" i="9"/>
  <c r="F409" i="9"/>
  <c r="H409" i="9" s="1"/>
  <c r="K409" i="9"/>
  <c r="F410" i="9"/>
  <c r="K410" i="9"/>
  <c r="I410" i="9"/>
  <c r="F411" i="9"/>
  <c r="H411" i="9" s="1"/>
  <c r="K411" i="9"/>
  <c r="F412" i="9"/>
  <c r="H412" i="9" s="1"/>
  <c r="K412" i="9"/>
  <c r="F413" i="9"/>
  <c r="H413" i="9" s="1"/>
  <c r="K413" i="9"/>
  <c r="F414" i="9"/>
  <c r="H414" i="9" s="1"/>
  <c r="K414" i="9"/>
  <c r="F415" i="9"/>
  <c r="H415" i="9" s="1"/>
  <c r="K415" i="9"/>
  <c r="F416" i="9"/>
  <c r="H416" i="9" s="1"/>
  <c r="K416" i="9"/>
  <c r="F417" i="9"/>
  <c r="K417" i="9"/>
  <c r="I417" i="9"/>
  <c r="F418" i="9"/>
  <c r="H418" i="9" s="1"/>
  <c r="K418" i="9"/>
  <c r="F419" i="9"/>
  <c r="H419" i="9" s="1"/>
  <c r="K419" i="9"/>
  <c r="F420" i="9"/>
  <c r="H420" i="9" s="1"/>
  <c r="K420" i="9"/>
  <c r="F421" i="9"/>
  <c r="H421" i="9" s="1"/>
  <c r="K421" i="9"/>
  <c r="F422" i="9"/>
  <c r="H422" i="9" s="1"/>
  <c r="K422" i="9"/>
  <c r="F423" i="9"/>
  <c r="H423" i="9" s="1"/>
  <c r="K423" i="9"/>
  <c r="F424" i="9"/>
  <c r="K424" i="9"/>
  <c r="I424" i="9"/>
  <c r="F425" i="9"/>
  <c r="H425" i="9" s="1"/>
  <c r="K425" i="9"/>
  <c r="F426" i="9"/>
  <c r="H426" i="9" s="1"/>
  <c r="K426" i="9"/>
  <c r="F427" i="9"/>
  <c r="H427" i="9" s="1"/>
  <c r="K427" i="9"/>
  <c r="F428" i="9"/>
  <c r="H428" i="9" s="1"/>
  <c r="K428" i="9"/>
  <c r="F429" i="9"/>
  <c r="H429" i="9" s="1"/>
  <c r="K429" i="9"/>
  <c r="F430" i="9"/>
  <c r="H430" i="9" s="1"/>
  <c r="K430" i="9"/>
  <c r="F431" i="9"/>
  <c r="K431" i="9"/>
  <c r="I431" i="9"/>
  <c r="F432" i="9"/>
  <c r="H432" i="9" s="1"/>
  <c r="K432" i="9"/>
  <c r="F433" i="9"/>
  <c r="H433" i="9" s="1"/>
  <c r="K433" i="9"/>
  <c r="F434" i="9"/>
  <c r="H434" i="9" s="1"/>
  <c r="K434" i="9"/>
  <c r="F435" i="9"/>
  <c r="H435" i="9" s="1"/>
  <c r="K435" i="9"/>
  <c r="F436" i="9"/>
  <c r="H436" i="9" s="1"/>
  <c r="K436" i="9"/>
  <c r="F437" i="9"/>
  <c r="H437" i="9" s="1"/>
  <c r="K437" i="9"/>
  <c r="F438" i="9"/>
  <c r="H438" i="9" s="1"/>
  <c r="I438" i="9"/>
  <c r="K438" i="9"/>
  <c r="F439" i="9"/>
  <c r="H439" i="9" s="1"/>
  <c r="K446" i="9"/>
  <c r="K439" i="9"/>
  <c r="F440" i="9"/>
  <c r="H440" i="9" s="1"/>
  <c r="K440" i="9"/>
  <c r="F441" i="9"/>
  <c r="H441" i="9" s="1"/>
  <c r="K441" i="9"/>
  <c r="F442" i="9"/>
  <c r="H442" i="9" s="1"/>
  <c r="K442" i="9"/>
  <c r="F443" i="9"/>
  <c r="H443" i="9" s="1"/>
  <c r="K443" i="9"/>
  <c r="F444" i="9"/>
  <c r="H444" i="9" s="1"/>
  <c r="K444" i="9"/>
  <c r="F445" i="9"/>
  <c r="H445" i="9" s="1"/>
  <c r="I445" i="9"/>
  <c r="K445" i="9"/>
  <c r="AA417" i="9"/>
  <c r="AC432" i="9"/>
  <c r="AC433" i="9"/>
  <c r="F307" i="9"/>
  <c r="H307" i="9" s="1"/>
  <c r="F327" i="9"/>
  <c r="H327" i="9" s="1"/>
  <c r="F338" i="9"/>
  <c r="H338" i="9" s="1"/>
  <c r="F396" i="9"/>
  <c r="F325" i="9"/>
  <c r="H325" i="9" s="1"/>
  <c r="I249" i="9"/>
  <c r="F292" i="9"/>
  <c r="H292" i="9" s="1"/>
  <c r="F302" i="9"/>
  <c r="H302" i="9" s="1"/>
  <c r="F316" i="9"/>
  <c r="H316" i="9" s="1"/>
  <c r="F333" i="9"/>
  <c r="F385" i="9"/>
  <c r="H385" i="9" s="1"/>
  <c r="K202" i="9"/>
  <c r="F399" i="9"/>
  <c r="H399" i="9" s="1"/>
  <c r="AA305" i="9"/>
  <c r="AC306" i="9"/>
  <c r="AA312" i="9"/>
  <c r="AC312" i="9"/>
  <c r="AC319" i="9"/>
  <c r="AA319" i="9"/>
  <c r="AC326" i="9"/>
  <c r="AA326" i="9"/>
  <c r="AC431" i="9"/>
  <c r="F221" i="9"/>
  <c r="H221" i="9" s="1"/>
  <c r="F222" i="9"/>
  <c r="H222" i="9" s="1"/>
  <c r="I221" i="9"/>
  <c r="F224" i="9"/>
  <c r="H224" i="9" s="1"/>
  <c r="K231" i="9"/>
  <c r="F225" i="9"/>
  <c r="H225" i="9" s="1"/>
  <c r="K232" i="9"/>
  <c r="K233" i="9"/>
  <c r="F226" i="9"/>
  <c r="H226" i="9" s="1"/>
  <c r="F227" i="9"/>
  <c r="H227" i="9" s="1"/>
  <c r="K234" i="9"/>
  <c r="F229" i="9"/>
  <c r="H229" i="9" s="1"/>
  <c r="K228" i="9"/>
  <c r="F228" i="9"/>
  <c r="F274" i="9"/>
  <c r="K274" i="9"/>
  <c r="F275" i="9"/>
  <c r="H275" i="9" s="1"/>
  <c r="K275" i="9"/>
  <c r="F276" i="9"/>
  <c r="H276" i="9" s="1"/>
  <c r="K276" i="9"/>
  <c r="F277" i="9"/>
  <c r="K277" i="9"/>
  <c r="F278" i="9"/>
  <c r="H278" i="9" s="1"/>
  <c r="K278" i="9"/>
  <c r="F279" i="9"/>
  <c r="H279" i="9" s="1"/>
  <c r="K279" i="9"/>
  <c r="F280" i="9"/>
  <c r="H280" i="9" s="1"/>
  <c r="K280" i="9"/>
  <c r="F281" i="9"/>
  <c r="H281" i="9" s="1"/>
  <c r="K281" i="9"/>
  <c r="F282" i="9"/>
  <c r="H282" i="9" s="1"/>
  <c r="K282" i="9"/>
  <c r="F283" i="9"/>
  <c r="H283" i="9" s="1"/>
  <c r="K283" i="9"/>
  <c r="F284" i="9"/>
  <c r="K284" i="9"/>
  <c r="F285" i="9"/>
  <c r="H285" i="9" s="1"/>
  <c r="K285" i="9"/>
  <c r="F286" i="9"/>
  <c r="H286" i="9" s="1"/>
  <c r="K286" i="9"/>
  <c r="F287" i="9"/>
  <c r="H287" i="9" s="1"/>
  <c r="K287" i="9"/>
  <c r="F288" i="9"/>
  <c r="H288" i="9" s="1"/>
  <c r="K288" i="9"/>
  <c r="F289" i="9"/>
  <c r="H289" i="9" s="1"/>
  <c r="K289" i="9"/>
  <c r="F290" i="9"/>
  <c r="H290" i="9" s="1"/>
  <c r="K290" i="9"/>
  <c r="F291" i="9"/>
  <c r="K291" i="9"/>
  <c r="F293" i="9"/>
  <c r="H293" i="9" s="1"/>
  <c r="K293" i="9"/>
  <c r="F294" i="9"/>
  <c r="H294" i="9" s="1"/>
  <c r="K294" i="9"/>
  <c r="F295" i="9"/>
  <c r="H295" i="9" s="1"/>
  <c r="K295" i="9"/>
  <c r="F296" i="9"/>
  <c r="H296" i="9" s="1"/>
  <c r="K296" i="9"/>
  <c r="F297" i="9"/>
  <c r="H297" i="9" s="1"/>
  <c r="K297" i="9"/>
  <c r="F298" i="9"/>
  <c r="K298" i="9"/>
  <c r="F299" i="9"/>
  <c r="H299" i="9" s="1"/>
  <c r="K299" i="9"/>
  <c r="F300" i="9"/>
  <c r="H300" i="9" s="1"/>
  <c r="K300" i="9"/>
  <c r="F301" i="9"/>
  <c r="H301" i="9" s="1"/>
  <c r="K301" i="9"/>
  <c r="F303" i="9"/>
  <c r="H303" i="9" s="1"/>
  <c r="K303" i="9"/>
  <c r="F304" i="9"/>
  <c r="H304" i="9" s="1"/>
  <c r="K304" i="9"/>
  <c r="F305" i="9"/>
  <c r="K305" i="9"/>
  <c r="F306" i="9"/>
  <c r="H306" i="9" s="1"/>
  <c r="K306" i="9"/>
  <c r="F308" i="9"/>
  <c r="H308" i="9" s="1"/>
  <c r="K308" i="9"/>
  <c r="F309" i="9"/>
  <c r="H309" i="9" s="1"/>
  <c r="I305" i="9"/>
  <c r="K309" i="9"/>
  <c r="F310" i="9"/>
  <c r="H310" i="9" s="1"/>
  <c r="K310" i="9"/>
  <c r="F311" i="9"/>
  <c r="H311" i="9" s="1"/>
  <c r="K311" i="9"/>
  <c r="F312" i="9"/>
  <c r="I312" i="9"/>
  <c r="K312" i="9"/>
  <c r="F313" i="9"/>
  <c r="H313" i="9" s="1"/>
  <c r="K313" i="9"/>
  <c r="F314" i="9"/>
  <c r="H314" i="9" s="1"/>
  <c r="K314" i="9"/>
  <c r="F315" i="9"/>
  <c r="H315" i="9" s="1"/>
  <c r="K315" i="9"/>
  <c r="F317" i="9"/>
  <c r="H317" i="9" s="1"/>
  <c r="K317" i="9"/>
  <c r="F318" i="9"/>
  <c r="H318" i="9" s="1"/>
  <c r="K318" i="9"/>
  <c r="F319" i="9"/>
  <c r="K319" i="9"/>
  <c r="I319" i="9"/>
  <c r="F320" i="9"/>
  <c r="H320" i="9" s="1"/>
  <c r="K320" i="9"/>
  <c r="F321" i="9"/>
  <c r="H321" i="9" s="1"/>
  <c r="K321" i="9"/>
  <c r="F322" i="9"/>
  <c r="H322" i="9" s="1"/>
  <c r="K322" i="9"/>
  <c r="F323" i="9"/>
  <c r="H323" i="9" s="1"/>
  <c r="K323" i="9"/>
  <c r="F324" i="9"/>
  <c r="H324" i="9" s="1"/>
  <c r="K324" i="9"/>
  <c r="F326" i="9"/>
  <c r="I326" i="9"/>
  <c r="K326" i="9"/>
  <c r="F328" i="9"/>
  <c r="H328" i="9" s="1"/>
  <c r="K328" i="9"/>
  <c r="F329" i="9"/>
  <c r="H329" i="9" s="1"/>
  <c r="K329" i="9"/>
  <c r="F330" i="9"/>
  <c r="H330" i="9" s="1"/>
  <c r="K330" i="9"/>
  <c r="F331" i="9"/>
  <c r="H331" i="9" s="1"/>
  <c r="K331" i="9"/>
  <c r="F332" i="9"/>
  <c r="H332" i="9" s="1"/>
  <c r="K332" i="9"/>
  <c r="K333" i="9"/>
  <c r="I333" i="9"/>
  <c r="L333" i="9" s="1"/>
  <c r="L334" i="9" s="1"/>
  <c r="L335" i="9" s="1"/>
  <c r="L336" i="9" s="1"/>
  <c r="L337" i="9" s="1"/>
  <c r="L338" i="9" s="1"/>
  <c r="F334" i="9"/>
  <c r="H334" i="9" s="1"/>
  <c r="K334" i="9"/>
  <c r="F335" i="9"/>
  <c r="H335" i="9" s="1"/>
  <c r="K335" i="9"/>
  <c r="F336" i="9"/>
  <c r="H336" i="9" s="1"/>
  <c r="K336" i="9"/>
  <c r="F337" i="9"/>
  <c r="H337" i="9" s="1"/>
  <c r="K337" i="9"/>
  <c r="F339" i="9"/>
  <c r="H339" i="9" s="1"/>
  <c r="K339" i="9"/>
  <c r="I340" i="9"/>
  <c r="K340" i="9"/>
  <c r="F342" i="9"/>
  <c r="H342" i="9" s="1"/>
  <c r="K342" i="9"/>
  <c r="F343" i="9"/>
  <c r="H343" i="9" s="1"/>
  <c r="K343" i="9"/>
  <c r="F344" i="9"/>
  <c r="H344" i="9" s="1"/>
  <c r="K344" i="9"/>
  <c r="F345" i="9"/>
  <c r="H345" i="9" s="1"/>
  <c r="K345" i="9"/>
  <c r="F346" i="9"/>
  <c r="H346" i="9" s="1"/>
  <c r="K346" i="9"/>
  <c r="I347" i="9"/>
  <c r="F347" i="9"/>
  <c r="K347" i="9"/>
  <c r="F348" i="9"/>
  <c r="H348" i="9" s="1"/>
  <c r="K348" i="9"/>
  <c r="K349" i="9"/>
  <c r="F349" i="9"/>
  <c r="H349" i="9" s="1"/>
  <c r="K350" i="9"/>
  <c r="F350" i="9"/>
  <c r="H350" i="9" s="1"/>
  <c r="F351" i="9"/>
  <c r="H351" i="9" s="1"/>
  <c r="K351" i="9"/>
  <c r="F352" i="9"/>
  <c r="H352" i="9" s="1"/>
  <c r="K352" i="9"/>
  <c r="F353" i="9"/>
  <c r="H353" i="9" s="1"/>
  <c r="K353" i="9"/>
  <c r="I354" i="9"/>
  <c r="F354" i="9"/>
  <c r="K354" i="9"/>
  <c r="F355" i="9"/>
  <c r="H355" i="9" s="1"/>
  <c r="K355" i="9"/>
  <c r="F356" i="9"/>
  <c r="H356" i="9" s="1"/>
  <c r="K356" i="9"/>
  <c r="F357" i="9"/>
  <c r="H357" i="9" s="1"/>
  <c r="K357" i="9"/>
  <c r="F358" i="9"/>
  <c r="H358" i="9" s="1"/>
  <c r="K358" i="9"/>
  <c r="F359" i="9"/>
  <c r="H359" i="9" s="1"/>
  <c r="K359" i="9"/>
  <c r="F360" i="9"/>
  <c r="H360" i="9" s="1"/>
  <c r="K360" i="9"/>
  <c r="I361" i="9"/>
  <c r="F361" i="9"/>
  <c r="K361" i="9"/>
  <c r="K362" i="9"/>
  <c r="F362" i="9"/>
  <c r="H362" i="9" s="1"/>
  <c r="F363" i="9"/>
  <c r="H363" i="9" s="1"/>
  <c r="K363" i="9"/>
  <c r="F364" i="9"/>
  <c r="H364" i="9" s="1"/>
  <c r="K364" i="9"/>
  <c r="F365" i="9"/>
  <c r="H365" i="9" s="1"/>
  <c r="K365" i="9"/>
  <c r="K366" i="9"/>
  <c r="F366" i="9"/>
  <c r="H366" i="9" s="1"/>
  <c r="F367" i="9"/>
  <c r="H367" i="9" s="1"/>
  <c r="K367" i="9"/>
  <c r="I368" i="9"/>
  <c r="F368" i="9"/>
  <c r="K368" i="9"/>
  <c r="F369" i="9"/>
  <c r="H369" i="9" s="1"/>
  <c r="K369" i="9"/>
  <c r="K370" i="9"/>
  <c r="F370" i="9"/>
  <c r="H370" i="9" s="1"/>
  <c r="K371" i="9"/>
  <c r="F371" i="9"/>
  <c r="H371" i="9" s="1"/>
  <c r="F372" i="9"/>
  <c r="H372" i="9" s="1"/>
  <c r="K372" i="9"/>
  <c r="K373" i="9"/>
  <c r="F373" i="9"/>
  <c r="H373" i="9" s="1"/>
  <c r="K374" i="9"/>
  <c r="F374" i="9"/>
  <c r="H374" i="9" s="1"/>
  <c r="F375" i="9"/>
  <c r="K375" i="9"/>
  <c r="I375" i="9"/>
  <c r="F376" i="9"/>
  <c r="H376" i="9" s="1"/>
  <c r="K376" i="9"/>
  <c r="F377" i="9"/>
  <c r="H377" i="9" s="1"/>
  <c r="K377" i="9"/>
  <c r="F378" i="9"/>
  <c r="H378" i="9" s="1"/>
  <c r="K378" i="9"/>
  <c r="F379" i="9"/>
  <c r="H379" i="9" s="1"/>
  <c r="K379" i="9"/>
  <c r="F380" i="9"/>
  <c r="H380" i="9" s="1"/>
  <c r="K380" i="9"/>
  <c r="F381" i="9"/>
  <c r="H381" i="9" s="1"/>
  <c r="K381" i="9"/>
  <c r="F382" i="9"/>
  <c r="K382" i="9"/>
  <c r="I382" i="9"/>
  <c r="F383" i="9"/>
  <c r="H383" i="9" s="1"/>
  <c r="K383" i="9"/>
  <c r="F384" i="9"/>
  <c r="H384" i="9" s="1"/>
  <c r="K384" i="9"/>
  <c r="F386" i="9"/>
  <c r="H386" i="9" s="1"/>
  <c r="K386" i="9"/>
  <c r="F387" i="9"/>
  <c r="H387" i="9" s="1"/>
  <c r="K387" i="9"/>
  <c r="F388" i="9"/>
  <c r="H388" i="9" s="1"/>
  <c r="K388" i="9"/>
  <c r="F389" i="9"/>
  <c r="H389" i="9" s="1"/>
  <c r="I389" i="9"/>
  <c r="K389" i="9"/>
  <c r="F390" i="9"/>
  <c r="H390" i="9" s="1"/>
  <c r="K390" i="9"/>
  <c r="F391" i="9"/>
  <c r="H391" i="9" s="1"/>
  <c r="K391" i="9"/>
  <c r="F392" i="9"/>
  <c r="H392" i="9" s="1"/>
  <c r="K392" i="9"/>
  <c r="K399" i="9"/>
  <c r="F393" i="9"/>
  <c r="H393" i="9" s="1"/>
  <c r="K400" i="9"/>
  <c r="K393" i="9"/>
  <c r="F394" i="9"/>
  <c r="H394" i="9" s="1"/>
  <c r="K401" i="9"/>
  <c r="K394" i="9"/>
  <c r="F395" i="9"/>
  <c r="H395" i="9" s="1"/>
  <c r="K402" i="9"/>
  <c r="K395" i="9"/>
  <c r="K396" i="9"/>
  <c r="K403" i="9"/>
  <c r="I396" i="9"/>
  <c r="F397" i="9"/>
  <c r="H397" i="9" s="1"/>
  <c r="K397" i="9"/>
  <c r="K404" i="9"/>
  <c r="F398" i="9"/>
  <c r="H398" i="9" s="1"/>
  <c r="K405" i="9"/>
  <c r="K398" i="9"/>
  <c r="F447" i="9"/>
  <c r="K447" i="9"/>
  <c r="F448" i="9"/>
  <c r="H448" i="9" s="1"/>
  <c r="K448" i="9"/>
  <c r="F449" i="9"/>
  <c r="H449" i="9" s="1"/>
  <c r="K449" i="9"/>
  <c r="F450" i="9"/>
  <c r="H450" i="9" s="1"/>
  <c r="K450" i="9"/>
  <c r="F451" i="9"/>
  <c r="H451" i="9" s="1"/>
  <c r="K451" i="9"/>
  <c r="F452" i="9"/>
  <c r="K452" i="9"/>
  <c r="F453" i="9"/>
  <c r="H453" i="9" s="1"/>
  <c r="K453" i="9"/>
  <c r="F454" i="9"/>
  <c r="H454" i="9" s="1"/>
  <c r="K454" i="9"/>
  <c r="F455" i="9"/>
  <c r="H455" i="9" s="1"/>
  <c r="K455" i="9"/>
  <c r="F456" i="9"/>
  <c r="H456" i="9" s="1"/>
  <c r="K456" i="9"/>
  <c r="F457" i="9"/>
  <c r="H457" i="9" s="1"/>
  <c r="K457" i="9"/>
  <c r="F458" i="9"/>
  <c r="H458" i="9" s="1"/>
  <c r="K458" i="9"/>
  <c r="F459" i="9"/>
  <c r="K459" i="9"/>
  <c r="F460" i="9"/>
  <c r="H460" i="9" s="1"/>
  <c r="K460" i="9"/>
  <c r="F461" i="9"/>
  <c r="H461" i="9" s="1"/>
  <c r="K461" i="9"/>
  <c r="F462" i="9"/>
  <c r="H462" i="9" s="1"/>
  <c r="K462" i="9"/>
  <c r="F463" i="9"/>
  <c r="H463" i="9" s="1"/>
  <c r="K463" i="9"/>
  <c r="K484" i="9"/>
  <c r="I480" i="9"/>
  <c r="K487" i="9"/>
  <c r="K489" i="9"/>
  <c r="F489" i="9"/>
  <c r="F490" i="9"/>
  <c r="H490" i="9" s="1"/>
  <c r="K490" i="9"/>
  <c r="F491" i="9"/>
  <c r="H491" i="9" s="1"/>
  <c r="K491" i="9"/>
  <c r="F492" i="9"/>
  <c r="H492" i="9" s="1"/>
  <c r="K492" i="9"/>
  <c r="F493" i="9"/>
  <c r="H493" i="9" s="1"/>
  <c r="K493" i="9"/>
  <c r="AQ228" i="9"/>
  <c r="AS228" i="9"/>
  <c r="AS229" i="9"/>
  <c r="AS230" i="9"/>
  <c r="AS231" i="9"/>
  <c r="AS232" i="9"/>
  <c r="AS233" i="9"/>
  <c r="AS234" i="9"/>
  <c r="AQ235" i="9"/>
  <c r="AS235" i="9"/>
  <c r="AS236" i="9"/>
  <c r="AS237" i="9"/>
  <c r="AS238" i="9"/>
  <c r="AS239" i="9"/>
  <c r="AS240" i="9"/>
  <c r="AS241" i="9"/>
  <c r="AS242" i="9"/>
  <c r="AQ242" i="9"/>
  <c r="AS243" i="9"/>
  <c r="AS244" i="9"/>
  <c r="AS245" i="9"/>
  <c r="AS246" i="9"/>
  <c r="AS247" i="9"/>
  <c r="AS248" i="9"/>
  <c r="AS249" i="9"/>
  <c r="AQ249" i="9"/>
  <c r="AS250" i="9"/>
  <c r="AS251" i="9"/>
  <c r="AS252" i="9"/>
  <c r="AS253" i="9"/>
  <c r="AS254" i="9"/>
  <c r="AS255" i="9"/>
  <c r="AQ256" i="9"/>
  <c r="AS256" i="9"/>
  <c r="AS257" i="9"/>
  <c r="AS258" i="9"/>
  <c r="AS259" i="9"/>
  <c r="AS260" i="9"/>
  <c r="AS261" i="9"/>
  <c r="AS262" i="9"/>
  <c r="AS263" i="9"/>
  <c r="AQ263" i="9"/>
  <c r="AS264" i="9"/>
  <c r="AS265" i="9"/>
  <c r="AS266" i="9"/>
  <c r="AS267" i="9"/>
  <c r="AS268" i="9"/>
  <c r="AS269" i="9"/>
  <c r="AQ270" i="9"/>
  <c r="AT270" i="9" s="1"/>
  <c r="AT271" i="9" s="1"/>
  <c r="AT272" i="9" s="1"/>
  <c r="AT273" i="9" s="1"/>
  <c r="AT274" i="9" s="1"/>
  <c r="AT275" i="9" s="1"/>
  <c r="AT276" i="9" s="1"/>
  <c r="AS270" i="9"/>
  <c r="AS271" i="9"/>
  <c r="AS272" i="9"/>
  <c r="AS273" i="9"/>
  <c r="AS274" i="9"/>
  <c r="AS275" i="9"/>
  <c r="AS276" i="9"/>
  <c r="AS277" i="9"/>
  <c r="AQ277" i="9"/>
  <c r="AS278" i="9"/>
  <c r="AS279" i="9"/>
  <c r="AS280" i="9"/>
  <c r="AS281" i="9"/>
  <c r="AS282" i="9"/>
  <c r="AS283" i="9"/>
  <c r="AS284" i="9"/>
  <c r="AQ284" i="9"/>
  <c r="AT284" i="9" s="1"/>
  <c r="AT285" i="9" s="1"/>
  <c r="AT286" i="9" s="1"/>
  <c r="AT287" i="9" s="1"/>
  <c r="AT288" i="9" s="1"/>
  <c r="AT289" i="9" s="1"/>
  <c r="AT290" i="9" s="1"/>
  <c r="AS285" i="9"/>
  <c r="AS286" i="9"/>
  <c r="AS287" i="9"/>
  <c r="AS288" i="9"/>
  <c r="AS289" i="9"/>
  <c r="AS290" i="9"/>
  <c r="AQ291" i="9"/>
  <c r="AS291" i="9"/>
  <c r="AS292" i="9"/>
  <c r="AS293" i="9"/>
  <c r="AS294" i="9"/>
  <c r="AS295" i="9"/>
  <c r="AS296" i="9"/>
  <c r="AS297" i="9"/>
  <c r="AS298" i="9"/>
  <c r="AQ298" i="9"/>
  <c r="AS299" i="9"/>
  <c r="AS300" i="9"/>
  <c r="AS301" i="9"/>
  <c r="AS302" i="9"/>
  <c r="AS303" i="9"/>
  <c r="AS304" i="9"/>
  <c r="AQ305" i="9"/>
  <c r="AS305" i="9"/>
  <c r="AS306" i="9"/>
  <c r="AS307" i="9"/>
  <c r="AS308" i="9"/>
  <c r="AS309" i="9"/>
  <c r="AS310" i="9"/>
  <c r="AS311" i="9"/>
  <c r="AQ312" i="9"/>
  <c r="AS312" i="9"/>
  <c r="AS313" i="9"/>
  <c r="AS314" i="9"/>
  <c r="AS315" i="9"/>
  <c r="AS316" i="9"/>
  <c r="AS317" i="9"/>
  <c r="AS318" i="9"/>
  <c r="AQ319" i="9"/>
  <c r="AT319" i="9" s="1"/>
  <c r="AT320" i="9" s="1"/>
  <c r="AT321" i="9" s="1"/>
  <c r="AT322" i="9" s="1"/>
  <c r="AT323" i="9" s="1"/>
  <c r="AT324" i="9" s="1"/>
  <c r="AT325" i="9" s="1"/>
  <c r="AS319" i="9"/>
  <c r="AS320" i="9"/>
  <c r="AS321" i="9"/>
  <c r="AS322" i="9"/>
  <c r="AS323" i="9"/>
  <c r="AS324" i="9"/>
  <c r="AS325" i="9"/>
  <c r="AS326" i="9"/>
  <c r="AQ326" i="9"/>
  <c r="AS327" i="9"/>
  <c r="AS328" i="9"/>
  <c r="AS329" i="9"/>
  <c r="AS330" i="9"/>
  <c r="AS331" i="9"/>
  <c r="AS332" i="9"/>
  <c r="AS333" i="9"/>
  <c r="AQ333" i="9"/>
  <c r="AS334" i="9"/>
  <c r="AS335" i="9"/>
  <c r="AS336" i="9"/>
  <c r="AS337" i="9"/>
  <c r="AS338" i="9"/>
  <c r="AS339" i="9"/>
  <c r="AS340" i="9"/>
  <c r="AQ340" i="9"/>
  <c r="AS341" i="9"/>
  <c r="AS342" i="9"/>
  <c r="AS343" i="9"/>
  <c r="AS344" i="9"/>
  <c r="AS345" i="9"/>
  <c r="AS346" i="9"/>
  <c r="AQ347" i="9"/>
  <c r="AS347" i="9"/>
  <c r="AS348" i="9"/>
  <c r="AS349" i="9"/>
  <c r="AS350" i="9"/>
  <c r="AS351" i="9"/>
  <c r="AS352" i="9"/>
  <c r="AS353" i="9"/>
  <c r="AS354" i="9"/>
  <c r="AQ354" i="9"/>
  <c r="AS355" i="9"/>
  <c r="AS356" i="9"/>
  <c r="AS357" i="9"/>
  <c r="AS358" i="9"/>
  <c r="AS359" i="9"/>
  <c r="AS360" i="9"/>
  <c r="AS361" i="9"/>
  <c r="AQ361" i="9"/>
  <c r="AS362" i="9"/>
  <c r="AS363" i="9"/>
  <c r="AS364" i="9"/>
  <c r="AS365" i="9"/>
  <c r="AS366" i="9"/>
  <c r="AS367" i="9"/>
  <c r="AQ368" i="9"/>
  <c r="AS368" i="9"/>
  <c r="AS369" i="9"/>
  <c r="AS370" i="9"/>
  <c r="AS371" i="9"/>
  <c r="AS372" i="9"/>
  <c r="AS373" i="9"/>
  <c r="AS374" i="9"/>
  <c r="AS375" i="9"/>
  <c r="AQ375" i="9"/>
  <c r="AS376" i="9"/>
  <c r="AS377" i="9"/>
  <c r="AS378" i="9"/>
  <c r="AS379" i="9"/>
  <c r="AS380" i="9"/>
  <c r="AS381" i="9"/>
  <c r="AQ382" i="9"/>
  <c r="AS382" i="9"/>
  <c r="AS383" i="9"/>
  <c r="AS384" i="9"/>
  <c r="AS385" i="9"/>
  <c r="AS386" i="9"/>
  <c r="AS387" i="9"/>
  <c r="AS388" i="9"/>
  <c r="AS389" i="9"/>
  <c r="AQ389" i="9"/>
  <c r="AS390" i="9"/>
  <c r="AS391" i="9"/>
  <c r="AS392" i="9"/>
  <c r="AS393" i="9"/>
  <c r="AS394" i="9"/>
  <c r="AS395" i="9"/>
  <c r="AS396" i="9"/>
  <c r="AQ396" i="9"/>
  <c r="AS397" i="9"/>
  <c r="AS398" i="9"/>
  <c r="AS399" i="9"/>
  <c r="AS400" i="9"/>
  <c r="AS401" i="9"/>
  <c r="AS402" i="9"/>
  <c r="AQ403" i="9"/>
  <c r="AS403" i="9"/>
  <c r="AS404" i="9"/>
  <c r="AS405" i="9"/>
  <c r="AS406" i="9"/>
  <c r="AS407" i="9"/>
  <c r="AS408" i="9"/>
  <c r="AS409" i="9"/>
  <c r="AS410" i="9"/>
  <c r="AQ410" i="9"/>
  <c r="AT410" i="9" s="1"/>
  <c r="AT411" i="9" s="1"/>
  <c r="AT412" i="9" s="1"/>
  <c r="AT413" i="9" s="1"/>
  <c r="AT414" i="9" s="1"/>
  <c r="AT415" i="9" s="1"/>
  <c r="AT416" i="9" s="1"/>
  <c r="AS411" i="9"/>
  <c r="AS412" i="9"/>
  <c r="AS413" i="9"/>
  <c r="AS414" i="9"/>
  <c r="AS415" i="9"/>
  <c r="AS416" i="9"/>
  <c r="AS417" i="9"/>
  <c r="AQ417" i="9"/>
  <c r="AS418" i="9"/>
  <c r="AS419" i="9"/>
  <c r="AS420" i="9"/>
  <c r="AS421" i="9"/>
  <c r="AS422" i="9"/>
  <c r="AS423" i="9"/>
  <c r="AS424" i="9"/>
  <c r="AQ424" i="9"/>
  <c r="AS425" i="9"/>
  <c r="AS426" i="9"/>
  <c r="AS427" i="9"/>
  <c r="AS428" i="9"/>
  <c r="AS429" i="9"/>
  <c r="AS430" i="9"/>
  <c r="AQ431" i="9"/>
  <c r="AS431" i="9"/>
  <c r="AS432" i="9"/>
  <c r="AS433" i="9"/>
  <c r="AS434" i="9"/>
  <c r="AS435" i="9"/>
  <c r="AS436" i="9"/>
  <c r="AS437" i="9"/>
  <c r="AS438" i="9"/>
  <c r="AQ438" i="9"/>
  <c r="AS439" i="9"/>
  <c r="AS440" i="9"/>
  <c r="AS441" i="9"/>
  <c r="AS442" i="9"/>
  <c r="AS443" i="9"/>
  <c r="AS444" i="9"/>
  <c r="AS445" i="9"/>
  <c r="AQ445" i="9"/>
  <c r="AT445" i="9" s="1"/>
  <c r="AT446" i="9" s="1"/>
  <c r="AT447" i="9" s="1"/>
  <c r="AT448" i="9" s="1"/>
  <c r="AT449" i="9" s="1"/>
  <c r="AT450" i="9" s="1"/>
  <c r="AT451" i="9" s="1"/>
  <c r="AS446" i="9"/>
  <c r="AS447" i="9"/>
  <c r="AS448" i="9"/>
  <c r="AS449" i="9"/>
  <c r="AS450" i="9"/>
  <c r="AS451" i="9"/>
  <c r="AQ452" i="9"/>
  <c r="AT452" i="9" s="1"/>
  <c r="AT453" i="9" s="1"/>
  <c r="AT454" i="9" s="1"/>
  <c r="AT455" i="9" s="1"/>
  <c r="AT456" i="9" s="1"/>
  <c r="AT457" i="9" s="1"/>
  <c r="AT458" i="9" s="1"/>
  <c r="AS452" i="9"/>
  <c r="AS453" i="9"/>
  <c r="AS454" i="9"/>
  <c r="AS455" i="9"/>
  <c r="AS456" i="9"/>
  <c r="AS457" i="9"/>
  <c r="AS458" i="9"/>
  <c r="AS459" i="9"/>
  <c r="AQ459" i="9"/>
  <c r="AT459" i="9" s="1"/>
  <c r="AT460" i="9" s="1"/>
  <c r="AT461" i="9" s="1"/>
  <c r="AT462" i="9" s="1"/>
  <c r="AT463" i="9" s="1"/>
  <c r="AT464" i="9" s="1"/>
  <c r="AT465" i="9" s="1"/>
  <c r="AS460" i="9"/>
  <c r="AS461" i="9"/>
  <c r="AS462" i="9"/>
  <c r="AS463" i="9"/>
  <c r="AS464" i="9"/>
  <c r="AS465" i="9"/>
  <c r="AS466" i="9"/>
  <c r="AQ466" i="9"/>
  <c r="AS467" i="9"/>
  <c r="AS468" i="9"/>
  <c r="AS469" i="9"/>
  <c r="AS470" i="9"/>
  <c r="AS471" i="9"/>
  <c r="AS472" i="9"/>
  <c r="AQ473" i="9"/>
  <c r="AT473" i="9" s="1"/>
  <c r="AT474" i="9" s="1"/>
  <c r="AT475" i="9" s="1"/>
  <c r="AT476" i="9" s="1"/>
  <c r="AT477" i="9" s="1"/>
  <c r="AT478" i="9" s="1"/>
  <c r="AT479" i="9" s="1"/>
  <c r="AS473" i="9"/>
  <c r="AS474" i="9"/>
  <c r="AS475" i="9"/>
  <c r="AS476" i="9"/>
  <c r="AS477" i="9"/>
  <c r="AS478" i="9"/>
  <c r="AS479" i="9"/>
  <c r="AQ480" i="9"/>
  <c r="AS480" i="9"/>
  <c r="AS481" i="9"/>
  <c r="AS482" i="9"/>
  <c r="AS483" i="9"/>
  <c r="AS484" i="9"/>
  <c r="AS485" i="9"/>
  <c r="AS486" i="9"/>
  <c r="AQ487" i="9"/>
  <c r="AS487" i="9"/>
  <c r="AS488" i="9"/>
  <c r="AS489" i="9"/>
  <c r="AS490" i="9"/>
  <c r="AS491" i="9"/>
  <c r="AS492" i="9"/>
  <c r="AS493" i="9"/>
  <c r="AS214" i="9"/>
  <c r="AC221" i="9"/>
  <c r="AC228" i="9"/>
  <c r="V212" i="9"/>
  <c r="AC335" i="9"/>
  <c r="AA340" i="9"/>
  <c r="AC342" i="9"/>
  <c r="AA347" i="9"/>
  <c r="AC347" i="9"/>
  <c r="AC348" i="9"/>
  <c r="AC349" i="9"/>
  <c r="AC350" i="9"/>
  <c r="AC351" i="9"/>
  <c r="AC354" i="9"/>
  <c r="AA354" i="9"/>
  <c r="AC355" i="9"/>
  <c r="AC356" i="9"/>
  <c r="AC357" i="9"/>
  <c r="AC358" i="9"/>
  <c r="AC361" i="9"/>
  <c r="AA361" i="9"/>
  <c r="AC362" i="9"/>
  <c r="AC363" i="9"/>
  <c r="AA368" i="9"/>
  <c r="AC368" i="9"/>
  <c r="AC369" i="9"/>
  <c r="AC370" i="9"/>
  <c r="AA375" i="9"/>
  <c r="AC375" i="9"/>
  <c r="AC376" i="9"/>
  <c r="AC377" i="9"/>
  <c r="AC382" i="9"/>
  <c r="AC383" i="9"/>
  <c r="AC384" i="9"/>
  <c r="AA389" i="9"/>
  <c r="AC389" i="9"/>
  <c r="AC391" i="9"/>
  <c r="AC392" i="9"/>
  <c r="AC393" i="9"/>
  <c r="AC396" i="9"/>
  <c r="AA396" i="9"/>
  <c r="AC397" i="9"/>
  <c r="AC398" i="9"/>
  <c r="AC399" i="9"/>
  <c r="AC400" i="9"/>
  <c r="AC401" i="9"/>
  <c r="AA403" i="9"/>
  <c r="AC403" i="9"/>
  <c r="AC411" i="9"/>
  <c r="AC404" i="9"/>
  <c r="AC412" i="9"/>
  <c r="AC405" i="9"/>
  <c r="AC417" i="9"/>
  <c r="AC410" i="9"/>
  <c r="AA410" i="9"/>
  <c r="AC424" i="9"/>
  <c r="AA424" i="9"/>
  <c r="AA438" i="9"/>
  <c r="AC438" i="9"/>
  <c r="AC440" i="9"/>
  <c r="AC444" i="9"/>
  <c r="AC445" i="9"/>
  <c r="AA445" i="9"/>
  <c r="AD445" i="9" s="1"/>
  <c r="AC446" i="9"/>
  <c r="AC447" i="9"/>
  <c r="AC448" i="9"/>
  <c r="AC449" i="9"/>
  <c r="AA452" i="9"/>
  <c r="AC452" i="9"/>
  <c r="AC453" i="9"/>
  <c r="AC454" i="9"/>
  <c r="AC455" i="9"/>
  <c r="AC456" i="9"/>
  <c r="AA459" i="9"/>
  <c r="AD459" i="9" s="1"/>
  <c r="AC459" i="9"/>
  <c r="AC460" i="9"/>
  <c r="AC461" i="9"/>
  <c r="AA466" i="9"/>
  <c r="AD466" i="9" s="1"/>
  <c r="AC466" i="9"/>
  <c r="AC467" i="9"/>
  <c r="AC468" i="9"/>
  <c r="AC473" i="9"/>
  <c r="AA473" i="9"/>
  <c r="AD473" i="9" s="1"/>
  <c r="AC474" i="9"/>
  <c r="AC475" i="9"/>
  <c r="AC480" i="9"/>
  <c r="AC481" i="9"/>
  <c r="AC482" i="9"/>
  <c r="AA487" i="9"/>
  <c r="AC487" i="9"/>
  <c r="AC489" i="9"/>
  <c r="AC490" i="9"/>
  <c r="AC491" i="9"/>
  <c r="AC493" i="9"/>
  <c r="AA242" i="9"/>
  <c r="AC243" i="9"/>
  <c r="AC244" i="9"/>
  <c r="AC245" i="9"/>
  <c r="AC246" i="9"/>
  <c r="AC247" i="9"/>
  <c r="AC248" i="9"/>
  <c r="AC249" i="9"/>
  <c r="AC250" i="9"/>
  <c r="AA249" i="9"/>
  <c r="AC251" i="9"/>
  <c r="AC252" i="9"/>
  <c r="AC253" i="9"/>
  <c r="AC254" i="9"/>
  <c r="AC255" i="9"/>
  <c r="AC256" i="9"/>
  <c r="AC257" i="9"/>
  <c r="AC258" i="9"/>
  <c r="AC259" i="9"/>
  <c r="AC260" i="9"/>
  <c r="AA256" i="9"/>
  <c r="AC261" i="9"/>
  <c r="AC262" i="9"/>
  <c r="AA263" i="9"/>
  <c r="AC263" i="9"/>
  <c r="AC264" i="9"/>
  <c r="AC265" i="9"/>
  <c r="AC266" i="9"/>
  <c r="AC273" i="9"/>
  <c r="AC267" i="9"/>
  <c r="AC274" i="9"/>
  <c r="AC268" i="9"/>
  <c r="AC275" i="9"/>
  <c r="AC269" i="9"/>
  <c r="AC276" i="9"/>
  <c r="AC287" i="9"/>
  <c r="AC280" i="9"/>
  <c r="AC281" i="9"/>
  <c r="AC288" i="9"/>
  <c r="AC289" i="9"/>
  <c r="AC282" i="9"/>
  <c r="AC283" i="9"/>
  <c r="AC290" i="9"/>
  <c r="AC292" i="9"/>
  <c r="AA284" i="9"/>
  <c r="AC301" i="9"/>
  <c r="AC294" i="9"/>
  <c r="AC295" i="9"/>
  <c r="AC302" i="9"/>
  <c r="AC296" i="9"/>
  <c r="AC303" i="9"/>
  <c r="AC297" i="9"/>
  <c r="AC304" i="9"/>
  <c r="AC315" i="9"/>
  <c r="AC308" i="9"/>
  <c r="AC309" i="9"/>
  <c r="AC316" i="9"/>
  <c r="AC317" i="9"/>
  <c r="AC310" i="9"/>
  <c r="AC311" i="9"/>
  <c r="AC318" i="9"/>
  <c r="AC322" i="9"/>
  <c r="AC329" i="9"/>
  <c r="AC330" i="9"/>
  <c r="AC323" i="9"/>
  <c r="AC324" i="9"/>
  <c r="AC331" i="9"/>
  <c r="AC332" i="9"/>
  <c r="AC325" i="9"/>
  <c r="AA333" i="9"/>
  <c r="AC341" i="9"/>
  <c r="AC343" i="9"/>
  <c r="AC336" i="9"/>
  <c r="AC337" i="9"/>
  <c r="AC344" i="9"/>
  <c r="AC338" i="9"/>
  <c r="AC345" i="9"/>
  <c r="AC339" i="9"/>
  <c r="AC346" i="9"/>
  <c r="AC352" i="9"/>
  <c r="AC359" i="9"/>
  <c r="AC353" i="9"/>
  <c r="AC360" i="9"/>
  <c r="AC364" i="9"/>
  <c r="AC371" i="9"/>
  <c r="AC372" i="9"/>
  <c r="AC365" i="9"/>
  <c r="AC373" i="9"/>
  <c r="AC366" i="9"/>
  <c r="AC374" i="9"/>
  <c r="AC367" i="9"/>
  <c r="AC378" i="9"/>
  <c r="AC385" i="9"/>
  <c r="AC386" i="9"/>
  <c r="AC379" i="9"/>
  <c r="AC387" i="9"/>
  <c r="AC380" i="9"/>
  <c r="AC388" i="9"/>
  <c r="AC381" i="9"/>
  <c r="AC390" i="9"/>
  <c r="AA382" i="9"/>
  <c r="AC394" i="9"/>
  <c r="AC395" i="9"/>
  <c r="AC402" i="9"/>
  <c r="AC413" i="9"/>
  <c r="AC406" i="9"/>
  <c r="AC407" i="9"/>
  <c r="AC414" i="9"/>
  <c r="AC408" i="9"/>
  <c r="AC415" i="9"/>
  <c r="AC416" i="9"/>
  <c r="AC409" i="9"/>
  <c r="AC420" i="9"/>
  <c r="AC427" i="9"/>
  <c r="AC421" i="9"/>
  <c r="AC422" i="9"/>
  <c r="AC429" i="9"/>
  <c r="AC423" i="9"/>
  <c r="AC430" i="9"/>
  <c r="AC428" i="9"/>
  <c r="AC437" i="9"/>
  <c r="AA431" i="9"/>
  <c r="AC439" i="9"/>
  <c r="AC434" i="9"/>
  <c r="AC441" i="9"/>
  <c r="AC442" i="9"/>
  <c r="AC435" i="9"/>
  <c r="AC436" i="9"/>
  <c r="AC443" i="9"/>
  <c r="AC457" i="9"/>
  <c r="AC450" i="9"/>
  <c r="AC458" i="9"/>
  <c r="AC451" i="9"/>
  <c r="AC469" i="9"/>
  <c r="AC462" i="9"/>
  <c r="AC463" i="9"/>
  <c r="AC470" i="9"/>
  <c r="AC464" i="9"/>
  <c r="AC471" i="9"/>
  <c r="AC465" i="9"/>
  <c r="AC472" i="9"/>
  <c r="AC483" i="9"/>
  <c r="AC476" i="9"/>
  <c r="AC484" i="9"/>
  <c r="AC477" i="9"/>
  <c r="AC478" i="9"/>
  <c r="AC479" i="9"/>
  <c r="AC486" i="9"/>
  <c r="AA480" i="9"/>
  <c r="AC488" i="9"/>
  <c r="AC485" i="9"/>
  <c r="AC492" i="9"/>
  <c r="AA228" i="9"/>
  <c r="AC229" i="9"/>
  <c r="AC230" i="9"/>
  <c r="AC235" i="9"/>
  <c r="AA235" i="9"/>
  <c r="AC237" i="9"/>
  <c r="AC238" i="9"/>
  <c r="AC239" i="9"/>
  <c r="AC240" i="9"/>
  <c r="AC241" i="9"/>
  <c r="F247" i="9"/>
  <c r="H247" i="9" s="1"/>
  <c r="I242" i="9"/>
  <c r="F254" i="9"/>
  <c r="F255" i="9"/>
  <c r="H255" i="9" s="1"/>
  <c r="F257" i="9"/>
  <c r="F258" i="9"/>
  <c r="H258" i="9" s="1"/>
  <c r="F259" i="9"/>
  <c r="H259" i="9" s="1"/>
  <c r="F260" i="9"/>
  <c r="H260" i="9" s="1"/>
  <c r="F261" i="9"/>
  <c r="H261" i="9" s="1"/>
  <c r="F262" i="9"/>
  <c r="H262" i="9" s="1"/>
  <c r="F263" i="9"/>
  <c r="F264" i="9"/>
  <c r="H264" i="9" s="1"/>
  <c r="F265" i="9"/>
  <c r="H265" i="9" s="1"/>
  <c r="F341" i="9"/>
  <c r="H341" i="9" s="1"/>
  <c r="F340" i="9"/>
  <c r="F464" i="9"/>
  <c r="H464" i="9" s="1"/>
  <c r="F465" i="9"/>
  <c r="H465" i="9" s="1"/>
  <c r="K220" i="9"/>
  <c r="K221" i="9"/>
  <c r="K222" i="9"/>
  <c r="K225" i="9"/>
  <c r="K226" i="9"/>
  <c r="H234" i="9"/>
  <c r="H246" i="9"/>
  <c r="H248" i="9"/>
  <c r="H249" i="9"/>
  <c r="H250" i="9"/>
  <c r="G10" i="10"/>
  <c r="V218" i="9"/>
  <c r="V224" i="9"/>
  <c r="H233" i="9"/>
  <c r="H232" i="9"/>
  <c r="K227" i="9"/>
  <c r="I228" i="9"/>
  <c r="H230" i="9"/>
  <c r="K224" i="9"/>
  <c r="AS207" i="9"/>
  <c r="AA200" i="9"/>
  <c r="F204" i="9"/>
  <c r="H204" i="9" s="1"/>
  <c r="K203" i="9"/>
  <c r="K207" i="9"/>
  <c r="AC202" i="9"/>
  <c r="F200" i="9"/>
  <c r="H200" i="9" s="1"/>
  <c r="K206" i="9"/>
  <c r="K205" i="9"/>
  <c r="F199" i="9"/>
  <c r="H199" i="9" s="1"/>
  <c r="K201" i="9"/>
  <c r="K208" i="9"/>
  <c r="F206" i="9"/>
  <c r="H206" i="9" s="1"/>
  <c r="F205" i="9"/>
  <c r="H205" i="9" s="1"/>
  <c r="F196" i="9"/>
  <c r="H196" i="9" s="1"/>
  <c r="K204" i="9"/>
  <c r="F197" i="9"/>
  <c r="H197" i="9" s="1"/>
  <c r="F198" i="9"/>
  <c r="H198" i="9" s="1"/>
  <c r="K200" i="9"/>
  <c r="AS208" i="9"/>
  <c r="F207" i="9"/>
  <c r="H207" i="9" s="1"/>
  <c r="AC206" i="9"/>
  <c r="AC205" i="9"/>
  <c r="F208" i="9"/>
  <c r="H208" i="9" s="1"/>
  <c r="I200" i="9"/>
  <c r="AC207" i="9"/>
  <c r="AC204" i="9"/>
  <c r="AC208" i="9"/>
  <c r="F203" i="9"/>
  <c r="H203" i="9" s="1"/>
  <c r="AC203" i="9"/>
  <c r="F201" i="9"/>
  <c r="H201" i="9" s="1"/>
  <c r="F202" i="9"/>
  <c r="H202" i="9" s="1"/>
  <c r="V225" i="9"/>
  <c r="V226" i="9"/>
  <c r="V227" i="9"/>
  <c r="V228" i="9"/>
  <c r="V229" i="9"/>
  <c r="V230" i="9"/>
  <c r="V231" i="9"/>
  <c r="V232" i="9"/>
  <c r="V233" i="9"/>
  <c r="V234" i="9"/>
  <c r="V235" i="9"/>
  <c r="V236" i="9"/>
  <c r="V237" i="9"/>
  <c r="V238" i="9"/>
  <c r="V239" i="9"/>
  <c r="V240" i="9"/>
  <c r="V241" i="9"/>
  <c r="V242" i="9"/>
  <c r="V243" i="9"/>
  <c r="V244" i="9"/>
  <c r="V245" i="9"/>
  <c r="V246" i="9"/>
  <c r="V247" i="9"/>
  <c r="V248" i="9"/>
  <c r="V249" i="9"/>
  <c r="V250" i="9"/>
  <c r="V251" i="9"/>
  <c r="V252" i="9"/>
  <c r="V253" i="9"/>
  <c r="V254" i="9"/>
  <c r="V255" i="9"/>
  <c r="V256" i="9"/>
  <c r="V257" i="9"/>
  <c r="V258" i="9"/>
  <c r="V259" i="9"/>
  <c r="V260" i="9"/>
  <c r="V261" i="9"/>
  <c r="V262" i="9"/>
  <c r="V263" i="9"/>
  <c r="V264" i="9"/>
  <c r="V265" i="9"/>
  <c r="V266" i="9"/>
  <c r="V267" i="9"/>
  <c r="V268" i="9"/>
  <c r="V269" i="9"/>
  <c r="V270" i="9"/>
  <c r="V271" i="9"/>
  <c r="V272" i="9"/>
  <c r="AL218" i="9"/>
  <c r="AL219" i="9"/>
  <c r="AS226" i="9" s="1"/>
  <c r="AL220" i="9"/>
  <c r="AS220" i="9" s="1"/>
  <c r="AL221" i="9"/>
  <c r="AL222" i="9"/>
  <c r="AL223" i="9"/>
  <c r="AL224" i="9"/>
  <c r="AL225" i="9"/>
  <c r="AL226" i="9"/>
  <c r="AL227" i="9"/>
  <c r="AL228" i="9"/>
  <c r="AL229" i="9"/>
  <c r="AL230" i="9"/>
  <c r="AL231" i="9"/>
  <c r="AL232" i="9"/>
  <c r="AL233" i="9"/>
  <c r="AL234" i="9"/>
  <c r="AL236" i="9"/>
  <c r="AL237" i="9"/>
  <c r="AL238" i="9"/>
  <c r="AL239" i="9"/>
  <c r="AL240" i="9"/>
  <c r="AL241" i="9"/>
  <c r="AL242" i="9"/>
  <c r="AL243" i="9"/>
  <c r="AL244" i="9"/>
  <c r="AL245" i="9"/>
  <c r="AL246" i="9"/>
  <c r="AL247" i="9"/>
  <c r="AL248" i="9"/>
  <c r="AL249" i="9"/>
  <c r="AL250" i="9"/>
  <c r="AL251" i="9"/>
  <c r="AL252" i="9"/>
  <c r="AL253" i="9"/>
  <c r="AL254" i="9"/>
  <c r="AL255" i="9"/>
  <c r="AL256" i="9"/>
  <c r="AL257" i="9"/>
  <c r="AL258" i="9"/>
  <c r="AL259" i="9"/>
  <c r="AL260" i="9"/>
  <c r="AL261" i="9"/>
  <c r="AL262" i="9"/>
  <c r="AL263" i="9"/>
  <c r="AL264" i="9"/>
  <c r="AL265" i="9"/>
  <c r="AL266" i="9"/>
  <c r="AL267" i="9"/>
  <c r="AL268" i="9"/>
  <c r="AL269" i="9"/>
  <c r="AL270" i="9"/>
  <c r="AL271" i="9"/>
  <c r="AL272" i="9"/>
  <c r="K214" i="9"/>
  <c r="K215" i="9"/>
  <c r="K216" i="9"/>
  <c r="AV186" i="9" a="1"/>
  <c r="AF186" i="9" a="1"/>
  <c r="AF187" i="9" s="1"/>
  <c r="AF188" i="9" s="1"/>
  <c r="N186" i="9" a="1"/>
  <c r="AC220" i="9"/>
  <c r="V201" i="9"/>
  <c r="V202" i="9"/>
  <c r="V203" i="9"/>
  <c r="V204" i="9"/>
  <c r="V205" i="9"/>
  <c r="V206" i="9"/>
  <c r="V207" i="9"/>
  <c r="V208" i="9"/>
  <c r="V209" i="9"/>
  <c r="V210" i="9"/>
  <c r="V211" i="9"/>
  <c r="AC214" i="9"/>
  <c r="AC215" i="9"/>
  <c r="AS216" i="9"/>
  <c r="AL215" i="9"/>
  <c r="AS215" i="9" s="1"/>
  <c r="AL216" i="9"/>
  <c r="AL217" i="9"/>
  <c r="V187" i="9"/>
  <c r="V188" i="9"/>
  <c r="V189" i="9"/>
  <c r="V190" i="9"/>
  <c r="V191" i="9"/>
  <c r="V192" i="9"/>
  <c r="V193" i="9"/>
  <c r="V194" i="9"/>
  <c r="V195" i="9"/>
  <c r="V196" i="9"/>
  <c r="V197" i="9"/>
  <c r="V198" i="9"/>
  <c r="V199" i="9"/>
  <c r="V200" i="9"/>
  <c r="V186" i="9"/>
  <c r="AS125" i="9"/>
  <c r="V128" i="9"/>
  <c r="V129" i="9"/>
  <c r="V130" i="9"/>
  <c r="V131" i="9"/>
  <c r="V132" i="9"/>
  <c r="V133" i="9"/>
  <c r="V134" i="9"/>
  <c r="V135" i="9"/>
  <c r="V136" i="9"/>
  <c r="V137" i="9"/>
  <c r="V138" i="9"/>
  <c r="V139" i="9"/>
  <c r="V140" i="9"/>
  <c r="V141" i="9"/>
  <c r="V142" i="9"/>
  <c r="V143" i="9"/>
  <c r="V144" i="9"/>
  <c r="V145" i="9"/>
  <c r="V146" i="9"/>
  <c r="V147" i="9"/>
  <c r="V148" i="9"/>
  <c r="V149" i="9"/>
  <c r="V150" i="9"/>
  <c r="V151" i="9"/>
  <c r="V152" i="9"/>
  <c r="V153" i="9"/>
  <c r="V154" i="9"/>
  <c r="V155" i="9"/>
  <c r="V156" i="9"/>
  <c r="V157" i="9"/>
  <c r="V158" i="9"/>
  <c r="V159" i="9"/>
  <c r="V160" i="9"/>
  <c r="V161" i="9"/>
  <c r="V162" i="9"/>
  <c r="V163" i="9"/>
  <c r="V164" i="9"/>
  <c r="V165" i="9"/>
  <c r="V166" i="9"/>
  <c r="V167" i="9"/>
  <c r="V168" i="9"/>
  <c r="V169" i="9"/>
  <c r="V170" i="9"/>
  <c r="V171" i="9"/>
  <c r="V172" i="9"/>
  <c r="V173" i="9"/>
  <c r="V174" i="9"/>
  <c r="V175" i="9"/>
  <c r="V176" i="9"/>
  <c r="V177" i="9"/>
  <c r="V178" i="9"/>
  <c r="V179" i="9"/>
  <c r="V180" i="9"/>
  <c r="V181" i="9"/>
  <c r="V182" i="9"/>
  <c r="V183" i="9"/>
  <c r="V184" i="9"/>
  <c r="V185" i="9"/>
  <c r="N109" i="9"/>
  <c r="N110" i="9" s="1"/>
  <c r="N111" i="9" s="1"/>
  <c r="N112" i="9" s="1"/>
  <c r="N113" i="9" s="1"/>
  <c r="N114" i="9" s="1"/>
  <c r="N115" i="9" s="1"/>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V122" i="9"/>
  <c r="V123" i="9"/>
  <c r="V124" i="9"/>
  <c r="V125" i="9"/>
  <c r="V126" i="9"/>
  <c r="V127" i="9"/>
  <c r="C2" i="3"/>
  <c r="G1" i="3"/>
  <c r="AT354" i="9" l="1"/>
  <c r="AT355" i="9" s="1"/>
  <c r="AT424" i="9"/>
  <c r="AT305" i="9"/>
  <c r="L298" i="9"/>
  <c r="O334" i="9"/>
  <c r="L347" i="9"/>
  <c r="AD235" i="9"/>
  <c r="AT368" i="9"/>
  <c r="AD347" i="9"/>
  <c r="AG347" i="9" s="1"/>
  <c r="AD319" i="9"/>
  <c r="AD277" i="9"/>
  <c r="AG277" i="9" s="1"/>
  <c r="L263" i="9"/>
  <c r="L361" i="9"/>
  <c r="L362" i="9" s="1"/>
  <c r="L363" i="9" s="1"/>
  <c r="AT235" i="9"/>
  <c r="L410" i="9"/>
  <c r="AT347" i="9"/>
  <c r="O361" i="9"/>
  <c r="L368" i="9"/>
  <c r="L369" i="9" s="1"/>
  <c r="L424" i="9"/>
  <c r="O362" i="9"/>
  <c r="AW455" i="9"/>
  <c r="AW457" i="9"/>
  <c r="AW456" i="9"/>
  <c r="AW458" i="9"/>
  <c r="AT263" i="9"/>
  <c r="O368" i="9"/>
  <c r="L431" i="9"/>
  <c r="AT277" i="9"/>
  <c r="AT396" i="9"/>
  <c r="AT397" i="9" s="1"/>
  <c r="AT398" i="9" s="1"/>
  <c r="AT399" i="9" s="1"/>
  <c r="AT400" i="9" s="1"/>
  <c r="AT401" i="9" s="1"/>
  <c r="AT402" i="9" s="1"/>
  <c r="AD375" i="9"/>
  <c r="AD312" i="9"/>
  <c r="L403" i="9"/>
  <c r="O335" i="9"/>
  <c r="O336" i="9"/>
  <c r="O337" i="9"/>
  <c r="L340" i="9"/>
  <c r="AT417" i="9"/>
  <c r="L242" i="9"/>
  <c r="L264" i="9"/>
  <c r="O263" i="9"/>
  <c r="M235" i="9" a="1"/>
  <c r="M236" i="9" s="1"/>
  <c r="M237" i="9" s="1"/>
  <c r="M238" i="9" s="1"/>
  <c r="L284" i="9"/>
  <c r="AG312" i="9"/>
  <c r="L417" i="9"/>
  <c r="L305" i="9"/>
  <c r="L354" i="9"/>
  <c r="AW321" i="9"/>
  <c r="AW322" i="9"/>
  <c r="AW323" i="9"/>
  <c r="AW324" i="9"/>
  <c r="AW325" i="9"/>
  <c r="AT326" i="9"/>
  <c r="AT431" i="9"/>
  <c r="AD298" i="9"/>
  <c r="AD305" i="9"/>
  <c r="AG466" i="9"/>
  <c r="AW399" i="9"/>
  <c r="AW453" i="9"/>
  <c r="AW454" i="9"/>
  <c r="AT361" i="9"/>
  <c r="AW397" i="9"/>
  <c r="AW398" i="9"/>
  <c r="AW400" i="9"/>
  <c r="AW401" i="9"/>
  <c r="AW402" i="9"/>
  <c r="AT403" i="9"/>
  <c r="AW451" i="9"/>
  <c r="AW460" i="9"/>
  <c r="AW461" i="9"/>
  <c r="AW462" i="9"/>
  <c r="AW463" i="9"/>
  <c r="AW464" i="9"/>
  <c r="AW465" i="9"/>
  <c r="AT466" i="9"/>
  <c r="AW319" i="9"/>
  <c r="AW320" i="9"/>
  <c r="AT375" i="9"/>
  <c r="AT256" i="9"/>
  <c r="AW272" i="9"/>
  <c r="AW273" i="9"/>
  <c r="AW274" i="9"/>
  <c r="AW275" i="9"/>
  <c r="AW276" i="9"/>
  <c r="AT382" i="9"/>
  <c r="AT312" i="9"/>
  <c r="L319" i="9"/>
  <c r="L382" i="9"/>
  <c r="AW474" i="9"/>
  <c r="AW476" i="9"/>
  <c r="AT242" i="9"/>
  <c r="AW473" i="9"/>
  <c r="AW477" i="9"/>
  <c r="AW475" i="9"/>
  <c r="AW478" i="9"/>
  <c r="AW479" i="9"/>
  <c r="AT480" i="9"/>
  <c r="AT481" i="9" s="1"/>
  <c r="AT482" i="9" s="1"/>
  <c r="AT483" i="9" s="1"/>
  <c r="AT484" i="9" s="1"/>
  <c r="AT485" i="9" s="1"/>
  <c r="AT486" i="9" s="1"/>
  <c r="AW486" i="9" s="1"/>
  <c r="AE270" i="9" a="1"/>
  <c r="AE312" i="9" a="1"/>
  <c r="L466" i="9"/>
  <c r="M466" i="9" a="1"/>
  <c r="M467" i="9" s="1"/>
  <c r="M468" i="9" s="1"/>
  <c r="M469" i="9" s="1"/>
  <c r="M470" i="9" s="1"/>
  <c r="M471" i="9" s="1"/>
  <c r="M472" i="9" s="1"/>
  <c r="L480" i="9"/>
  <c r="M473" i="9" a="1"/>
  <c r="M474" i="9" s="1"/>
  <c r="M475" i="9" s="1"/>
  <c r="M476" i="9" s="1"/>
  <c r="M477" i="9" s="1"/>
  <c r="M478" i="9" s="1"/>
  <c r="M479" i="9" s="1"/>
  <c r="L473" i="9"/>
  <c r="H486" i="9"/>
  <c r="M480" i="9" a="1"/>
  <c r="M481" i="9" s="1"/>
  <c r="M482" i="9" s="1"/>
  <c r="M483" i="9" s="1"/>
  <c r="M484" i="9" s="1"/>
  <c r="M485" i="9" s="1"/>
  <c r="M486" i="9" s="1"/>
  <c r="L291" i="9"/>
  <c r="L445" i="9"/>
  <c r="L312" i="9"/>
  <c r="AW270" i="9"/>
  <c r="AW271" i="9"/>
  <c r="L375" i="9"/>
  <c r="AW290" i="9"/>
  <c r="AT291" i="9"/>
  <c r="AT333" i="9"/>
  <c r="AW415" i="9"/>
  <c r="AW446" i="9"/>
  <c r="AW447" i="9"/>
  <c r="AW449" i="9"/>
  <c r="AW450" i="9"/>
  <c r="AW452" i="9"/>
  <c r="AW448" i="9"/>
  <c r="AE298" i="9" a="1"/>
  <c r="AD249" i="9"/>
  <c r="L459" i="9"/>
  <c r="L452" i="9"/>
  <c r="AD281" i="9"/>
  <c r="AG281" i="9" s="1"/>
  <c r="AD283" i="9"/>
  <c r="AG283" i="9" s="1"/>
  <c r="AD282" i="9"/>
  <c r="AG282" i="9" s="1"/>
  <c r="AD280" i="9"/>
  <c r="AG280" i="9" s="1"/>
  <c r="AD279" i="9"/>
  <c r="AG279" i="9" s="1"/>
  <c r="AD278" i="9"/>
  <c r="AG278" i="9" s="1"/>
  <c r="AD302" i="9"/>
  <c r="AG302" i="9" s="1"/>
  <c r="H403" i="9"/>
  <c r="M403" i="9" a="1"/>
  <c r="M404" i="9" s="1"/>
  <c r="M405" i="9" s="1"/>
  <c r="M406" i="9" s="1"/>
  <c r="M407" i="9" s="1"/>
  <c r="M408" i="9" s="1"/>
  <c r="M409" i="9" s="1"/>
  <c r="H410" i="9"/>
  <c r="M410" i="9" a="1"/>
  <c r="M411" i="9" s="1"/>
  <c r="M412" i="9" s="1"/>
  <c r="M413" i="9" s="1"/>
  <c r="M414" i="9" s="1"/>
  <c r="M415" i="9" s="1"/>
  <c r="M416" i="9" s="1"/>
  <c r="H417" i="9"/>
  <c r="M417" i="9" a="1"/>
  <c r="M418" i="9" s="1"/>
  <c r="M419" i="9" s="1"/>
  <c r="M420" i="9" s="1"/>
  <c r="M421" i="9" s="1"/>
  <c r="M422" i="9" s="1"/>
  <c r="M423" i="9" s="1"/>
  <c r="H424" i="9"/>
  <c r="M424" i="9" a="1"/>
  <c r="M425" i="9" s="1"/>
  <c r="M426" i="9" s="1"/>
  <c r="M427" i="9" s="1"/>
  <c r="M428" i="9" s="1"/>
  <c r="M429" i="9" s="1"/>
  <c r="M430" i="9" s="1"/>
  <c r="H431" i="9"/>
  <c r="M431" i="9" a="1"/>
  <c r="M432" i="9" s="1"/>
  <c r="M433" i="9" s="1"/>
  <c r="M434" i="9" s="1"/>
  <c r="M435" i="9" s="1"/>
  <c r="M436" i="9" s="1"/>
  <c r="M437" i="9" s="1"/>
  <c r="H396" i="9"/>
  <c r="M396" i="9" a="1"/>
  <c r="M397" i="9" s="1"/>
  <c r="M398" i="9" s="1"/>
  <c r="M399" i="9" s="1"/>
  <c r="M400" i="9" s="1"/>
  <c r="M401" i="9" s="1"/>
  <c r="M402" i="9" s="1"/>
  <c r="L277" i="9"/>
  <c r="L270" i="9"/>
  <c r="AD326" i="9"/>
  <c r="AW285" i="9"/>
  <c r="AW287" i="9"/>
  <c r="AW286" i="9"/>
  <c r="AW288" i="9"/>
  <c r="AW289" i="9"/>
  <c r="AU431" i="9" a="1"/>
  <c r="AE396" i="9" a="1"/>
  <c r="AD403" i="9"/>
  <c r="AD424" i="9"/>
  <c r="AG424" i="9" s="1"/>
  <c r="AE452" i="9" a="1"/>
  <c r="AE242" i="9" a="1"/>
  <c r="AD256" i="9"/>
  <c r="AG256" i="9" s="1"/>
  <c r="M242" i="9" a="1"/>
  <c r="M243" i="9" s="1"/>
  <c r="M244" i="9" s="1"/>
  <c r="M245" i="9" s="1"/>
  <c r="L438" i="9"/>
  <c r="M438" i="9" a="1"/>
  <c r="M439" i="9" s="1"/>
  <c r="M440" i="9" s="1"/>
  <c r="M441" i="9" s="1"/>
  <c r="M442" i="9" s="1"/>
  <c r="M443" i="9" s="1"/>
  <c r="M444" i="9" s="1"/>
  <c r="H274" i="9"/>
  <c r="M270" i="9" a="1"/>
  <c r="M271" i="9" s="1"/>
  <c r="M272" i="9" s="1"/>
  <c r="M273" i="9" s="1"/>
  <c r="L249" i="9"/>
  <c r="L256" i="9"/>
  <c r="H333" i="9"/>
  <c r="M333" i="9" a="1"/>
  <c r="M334" i="9" s="1"/>
  <c r="M335" i="9" s="1"/>
  <c r="M336" i="9" s="1"/>
  <c r="M337" i="9" s="1"/>
  <c r="M338" i="9" s="1"/>
  <c r="M339" i="9" s="1"/>
  <c r="M277" i="9" a="1"/>
  <c r="M278" i="9" s="1"/>
  <c r="M279" i="9" s="1"/>
  <c r="M280" i="9" s="1"/>
  <c r="H277" i="9"/>
  <c r="H284" i="9"/>
  <c r="M284" i="9" a="1"/>
  <c r="M285" i="9" s="1"/>
  <c r="M286" i="9" s="1"/>
  <c r="M287" i="9" s="1"/>
  <c r="M291" i="9" a="1"/>
  <c r="M292" i="9" s="1"/>
  <c r="M293" i="9" s="1"/>
  <c r="M294" i="9" s="1"/>
  <c r="H291" i="9"/>
  <c r="H298" i="9"/>
  <c r="M298" i="9" a="1"/>
  <c r="M299" i="9" s="1"/>
  <c r="M300" i="9" s="1"/>
  <c r="M301" i="9" s="1"/>
  <c r="M305" i="9" a="1"/>
  <c r="M306" i="9" s="1"/>
  <c r="M307" i="9" s="1"/>
  <c r="M308" i="9" s="1"/>
  <c r="H305" i="9"/>
  <c r="M312" i="9" a="1"/>
  <c r="M313" i="9" s="1"/>
  <c r="M314" i="9" s="1"/>
  <c r="M315" i="9" s="1"/>
  <c r="M316" i="9" s="1"/>
  <c r="M317" i="9" s="1"/>
  <c r="M318" i="9" s="1"/>
  <c r="H312" i="9"/>
  <c r="M319" i="9" a="1"/>
  <c r="M320" i="9" s="1"/>
  <c r="M321" i="9" s="1"/>
  <c r="M322" i="9" s="1"/>
  <c r="M323" i="9" s="1"/>
  <c r="M324" i="9" s="1"/>
  <c r="M325" i="9" s="1"/>
  <c r="H319" i="9"/>
  <c r="M326" i="9" a="1"/>
  <c r="M327" i="9" s="1"/>
  <c r="M328" i="9" s="1"/>
  <c r="M329" i="9" s="1"/>
  <c r="M330" i="9" s="1"/>
  <c r="M331" i="9" s="1"/>
  <c r="M332" i="9" s="1"/>
  <c r="H326" i="9"/>
  <c r="O338" i="9"/>
  <c r="L339" i="9"/>
  <c r="O339" i="9" s="1"/>
  <c r="M347" i="9" a="1"/>
  <c r="M348" i="9" s="1"/>
  <c r="M349" i="9" s="1"/>
  <c r="M350" i="9" s="1"/>
  <c r="M351" i="9" s="1"/>
  <c r="M352" i="9" s="1"/>
  <c r="M353" i="9" s="1"/>
  <c r="H347" i="9"/>
  <c r="M354" i="9" a="1"/>
  <c r="M355" i="9" s="1"/>
  <c r="M356" i="9" s="1"/>
  <c r="M357" i="9" s="1"/>
  <c r="M358" i="9" s="1"/>
  <c r="M359" i="9" s="1"/>
  <c r="M360" i="9" s="1"/>
  <c r="H354" i="9"/>
  <c r="M361" i="9" a="1"/>
  <c r="M362" i="9" s="1"/>
  <c r="M363" i="9" s="1"/>
  <c r="M364" i="9" s="1"/>
  <c r="M365" i="9" s="1"/>
  <c r="M366" i="9" s="1"/>
  <c r="M367" i="9" s="1"/>
  <c r="H361" i="9"/>
  <c r="M368" i="9" a="1"/>
  <c r="M369" i="9" s="1"/>
  <c r="M370" i="9" s="1"/>
  <c r="M371" i="9" s="1"/>
  <c r="M372" i="9" s="1"/>
  <c r="M373" i="9" s="1"/>
  <c r="M374" i="9" s="1"/>
  <c r="H368" i="9"/>
  <c r="H375" i="9"/>
  <c r="M375" i="9" a="1"/>
  <c r="M376" i="9" s="1"/>
  <c r="M377" i="9" s="1"/>
  <c r="M378" i="9" s="1"/>
  <c r="M379" i="9" s="1"/>
  <c r="M380" i="9" s="1"/>
  <c r="M381" i="9" s="1"/>
  <c r="H382" i="9"/>
  <c r="M382" i="9" a="1"/>
  <c r="M383" i="9" s="1"/>
  <c r="M384" i="9" s="1"/>
  <c r="M385" i="9" s="1"/>
  <c r="M386" i="9" s="1"/>
  <c r="M387" i="9" s="1"/>
  <c r="M388" i="9" s="1"/>
  <c r="H447" i="9"/>
  <c r="M445" i="9" a="1"/>
  <c r="M446" i="9" s="1"/>
  <c r="M447" i="9" s="1"/>
  <c r="M448" i="9" s="1"/>
  <c r="M449" i="9" s="1"/>
  <c r="M450" i="9" s="1"/>
  <c r="M451" i="9" s="1"/>
  <c r="H452" i="9"/>
  <c r="M452" i="9" a="1"/>
  <c r="M453" i="9" s="1"/>
  <c r="M454" i="9" s="1"/>
  <c r="M455" i="9" s="1"/>
  <c r="M456" i="9" s="1"/>
  <c r="M457" i="9" s="1"/>
  <c r="M458" i="9" s="1"/>
  <c r="M459" i="9" a="1"/>
  <c r="M460" i="9" s="1"/>
  <c r="M461" i="9" s="1"/>
  <c r="M462" i="9" s="1"/>
  <c r="M463" i="9" s="1"/>
  <c r="M464" i="9" s="1"/>
  <c r="M465" i="9" s="1"/>
  <c r="H459" i="9"/>
  <c r="L326" i="9"/>
  <c r="O333" i="9"/>
  <c r="AU228" i="9" a="1"/>
  <c r="AU235" i="9" a="1"/>
  <c r="AU242" i="9" a="1"/>
  <c r="AU291" i="9" a="1"/>
  <c r="AU375" i="9" a="1"/>
  <c r="AW411" i="9"/>
  <c r="AW414" i="9"/>
  <c r="AW416" i="9"/>
  <c r="AU417" i="9" a="1"/>
  <c r="AU249" i="9" a="1"/>
  <c r="AT249" i="9"/>
  <c r="AU256" i="9" a="1"/>
  <c r="AU263" i="9" a="1"/>
  <c r="AU270" i="9" a="1"/>
  <c r="AU277" i="9" a="1"/>
  <c r="AW284" i="9"/>
  <c r="AU284" i="9" a="1"/>
  <c r="AU410" i="9" a="1"/>
  <c r="AU424" i="9" a="1"/>
  <c r="AU298" i="9" a="1"/>
  <c r="AT298" i="9"/>
  <c r="AU305" i="9" a="1"/>
  <c r="AU312" i="9" a="1"/>
  <c r="AU319" i="9" a="1"/>
  <c r="AU326" i="9" a="1"/>
  <c r="AU333" i="9" a="1"/>
  <c r="AW413" i="9"/>
  <c r="AU340" i="9" a="1"/>
  <c r="AT340" i="9"/>
  <c r="AU347" i="9" a="1"/>
  <c r="AW354" i="9"/>
  <c r="AU354" i="9" a="1"/>
  <c r="AU361" i="9" a="1"/>
  <c r="AU368" i="9" a="1"/>
  <c r="AU382" i="9" a="1"/>
  <c r="AT389" i="9"/>
  <c r="AU389" i="9" a="1"/>
  <c r="AW396" i="9"/>
  <c r="AU396" i="9" a="1"/>
  <c r="AU403" i="9" a="1"/>
  <c r="AW410" i="9"/>
  <c r="AW412" i="9"/>
  <c r="AU438" i="9" a="1"/>
  <c r="AT438" i="9"/>
  <c r="AU445" i="9" a="1"/>
  <c r="AW445" i="9"/>
  <c r="AU452" i="9" a="1"/>
  <c r="AW459" i="9"/>
  <c r="AU459" i="9" a="1"/>
  <c r="AU466" i="9" a="1"/>
  <c r="AU473" i="9" a="1"/>
  <c r="AW480" i="9"/>
  <c r="AU480" i="9" a="1"/>
  <c r="AW481" i="9"/>
  <c r="AW482" i="9"/>
  <c r="AW483" i="9"/>
  <c r="AW484" i="9"/>
  <c r="AW485" i="9"/>
  <c r="AU487" i="9" a="1"/>
  <c r="AT487" i="9"/>
  <c r="AE326" i="9" a="1"/>
  <c r="AE340" i="9" a="1"/>
  <c r="AE346" i="9" s="1"/>
  <c r="AF346" i="9" s="1"/>
  <c r="AF347" i="9" s="1"/>
  <c r="AF348" i="9" s="1"/>
  <c r="AF349" i="9" s="1"/>
  <c r="AF350" i="9" s="1"/>
  <c r="AF351" i="9" s="1"/>
  <c r="AF352" i="9" s="1"/>
  <c r="AE354" i="9" a="1"/>
  <c r="AG445" i="9"/>
  <c r="AG473" i="9"/>
  <c r="AE480" i="9" a="1"/>
  <c r="AD368" i="9"/>
  <c r="AE368" i="9" a="1"/>
  <c r="AE389" i="9" a="1"/>
  <c r="AE410" i="9" a="1"/>
  <c r="AE466" i="9" a="1"/>
  <c r="L389" i="9"/>
  <c r="M389" i="9" a="1"/>
  <c r="M390" i="9" s="1"/>
  <c r="M391" i="9" s="1"/>
  <c r="M392" i="9" s="1"/>
  <c r="M393" i="9" s="1"/>
  <c r="M394" i="9" s="1"/>
  <c r="M395" i="9" s="1"/>
  <c r="L396" i="9"/>
  <c r="H489" i="9"/>
  <c r="AD467" i="9"/>
  <c r="AG467" i="9" s="1"/>
  <c r="AD468" i="9"/>
  <c r="AG468" i="9" s="1"/>
  <c r="AD469" i="9"/>
  <c r="AG469" i="9" s="1"/>
  <c r="AD470" i="9"/>
  <c r="AG470" i="9" s="1"/>
  <c r="AD471" i="9"/>
  <c r="AG471" i="9" s="1"/>
  <c r="AD472" i="9"/>
  <c r="AG472" i="9" s="1"/>
  <c r="M249" i="9" a="1"/>
  <c r="M250" i="9" s="1"/>
  <c r="M251" i="9" s="1"/>
  <c r="M252" i="9" s="1"/>
  <c r="H254" i="9"/>
  <c r="M256" i="9" a="1"/>
  <c r="M257" i="9" s="1"/>
  <c r="M258" i="9" s="1"/>
  <c r="M259" i="9" s="1"/>
  <c r="H257" i="9"/>
  <c r="M263" i="9" a="1"/>
  <c r="M264" i="9" s="1"/>
  <c r="M265" i="9" s="1"/>
  <c r="M266" i="9" s="1"/>
  <c r="H263" i="9"/>
  <c r="M340" i="9" a="1"/>
  <c r="M341" i="9" s="1"/>
  <c r="M342" i="9" s="1"/>
  <c r="M343" i="9" s="1"/>
  <c r="M344" i="9" s="1"/>
  <c r="M345" i="9" s="1"/>
  <c r="M346" i="9" s="1"/>
  <c r="H340" i="9"/>
  <c r="AD417" i="9"/>
  <c r="AD410" i="9"/>
  <c r="AD396" i="9"/>
  <c r="AE438" i="9" a="1"/>
  <c r="AD452" i="9"/>
  <c r="AE487" i="9" a="1"/>
  <c r="AD354" i="9"/>
  <c r="AG354" i="9" s="1"/>
  <c r="AD361" i="9"/>
  <c r="AD448" i="9"/>
  <c r="AG448" i="9" s="1"/>
  <c r="AD447" i="9"/>
  <c r="AG447" i="9" s="1"/>
  <c r="AD446" i="9"/>
  <c r="AG446" i="9" s="1"/>
  <c r="AD450" i="9"/>
  <c r="AG450" i="9" s="1"/>
  <c r="AD451" i="9"/>
  <c r="AG451" i="9" s="1"/>
  <c r="AD449" i="9"/>
  <c r="AG449" i="9" s="1"/>
  <c r="AD477" i="9"/>
  <c r="AG477" i="9" s="1"/>
  <c r="AD478" i="9"/>
  <c r="AG478" i="9" s="1"/>
  <c r="AD476" i="9"/>
  <c r="AG476" i="9" s="1"/>
  <c r="AD475" i="9"/>
  <c r="AG475" i="9" s="1"/>
  <c r="AD474" i="9"/>
  <c r="AG474" i="9" s="1"/>
  <c r="AD479" i="9"/>
  <c r="AG479" i="9" s="1"/>
  <c r="AD270" i="9"/>
  <c r="AD263" i="9"/>
  <c r="AD291" i="9"/>
  <c r="AD284" i="9"/>
  <c r="AD340" i="9"/>
  <c r="AD333" i="9"/>
  <c r="AD389" i="9"/>
  <c r="AD382" i="9"/>
  <c r="AD438" i="9"/>
  <c r="AD431" i="9"/>
  <c r="AD487" i="9"/>
  <c r="AD480" i="9"/>
  <c r="AG459" i="9"/>
  <c r="AD460" i="9"/>
  <c r="AG460" i="9" s="1"/>
  <c r="AD461" i="9"/>
  <c r="AG461" i="9" s="1"/>
  <c r="AD464" i="9"/>
  <c r="AG464" i="9" s="1"/>
  <c r="AD463" i="9"/>
  <c r="AG463" i="9" s="1"/>
  <c r="AD462" i="9"/>
  <c r="AG462" i="9" s="1"/>
  <c r="AD465" i="9"/>
  <c r="AG465" i="9" s="1"/>
  <c r="AD242" i="9"/>
  <c r="AE249" i="9" a="1"/>
  <c r="AE277" i="9" a="1"/>
  <c r="AE284" i="9" a="1"/>
  <c r="AE291" i="9" a="1"/>
  <c r="AE305" i="9" a="1"/>
  <c r="AE333" i="9" a="1"/>
  <c r="AE347" i="9" a="1"/>
  <c r="AE361" i="9" a="1"/>
  <c r="AE375" i="9" a="1"/>
  <c r="AE382" i="9" a="1"/>
  <c r="AE403" i="9" a="1"/>
  <c r="AE417" i="9" a="1"/>
  <c r="AE424" i="9" a="1"/>
  <c r="AE431" i="9" a="1"/>
  <c r="AE445" i="9" a="1"/>
  <c r="AE459" i="9" a="1"/>
  <c r="AE473" i="9" a="1"/>
  <c r="AE263" i="9" a="1"/>
  <c r="AE256" i="9" a="1"/>
  <c r="AE319" i="9" a="1"/>
  <c r="AE235" i="9" a="1"/>
  <c r="AC224" i="9"/>
  <c r="AC231" i="9"/>
  <c r="AC226" i="9"/>
  <c r="AC233" i="9"/>
  <c r="AC227" i="9"/>
  <c r="AC234" i="9"/>
  <c r="AE228" i="9" a="1"/>
  <c r="L235" i="9"/>
  <c r="L228" i="9"/>
  <c r="M228" i="9" a="1"/>
  <c r="M229" i="9" s="1"/>
  <c r="M230" i="9" s="1"/>
  <c r="M231" i="9" s="1"/>
  <c r="O363" i="9"/>
  <c r="L364" i="9"/>
  <c r="L370" i="9"/>
  <c r="O369" i="9"/>
  <c r="H228" i="9"/>
  <c r="M221" i="9" a="1"/>
  <c r="M222" i="9" s="1"/>
  <c r="M223" i="9" s="1"/>
  <c r="M224" i="9" s="1"/>
  <c r="AS217" i="9"/>
  <c r="AS225" i="9"/>
  <c r="AS224" i="9"/>
  <c r="AS227" i="9"/>
  <c r="AS222" i="9"/>
  <c r="AQ221" i="9"/>
  <c r="AT228" i="9" s="1"/>
  <c r="AQ214" i="9"/>
  <c r="AS221" i="9"/>
  <c r="AC174" i="9"/>
  <c r="F183" i="9"/>
  <c r="H183" i="9" s="1"/>
  <c r="AS219" i="9"/>
  <c r="AS218" i="9"/>
  <c r="AS209" i="9"/>
  <c r="AS210" i="9"/>
  <c r="AS212" i="9"/>
  <c r="AC219" i="9"/>
  <c r="AC218" i="9"/>
  <c r="AC217" i="9"/>
  <c r="AC216" i="9"/>
  <c r="AA214" i="9"/>
  <c r="AE214" i="9" s="1" a="1"/>
  <c r="AE220" i="9" s="1"/>
  <c r="F170" i="9"/>
  <c r="H170" i="9" s="1"/>
  <c r="K180" i="9"/>
  <c r="AS211" i="9"/>
  <c r="AS185" i="9"/>
  <c r="AS213" i="9"/>
  <c r="AQ207" i="9"/>
  <c r="K217" i="9"/>
  <c r="K219" i="9"/>
  <c r="K218" i="9"/>
  <c r="I214" i="9"/>
  <c r="L221" i="9" s="1"/>
  <c r="L222" i="9" s="1"/>
  <c r="F217" i="9"/>
  <c r="H217" i="9" s="1"/>
  <c r="F214" i="9"/>
  <c r="F215" i="9"/>
  <c r="H215" i="9" s="1"/>
  <c r="H219" i="9"/>
  <c r="F216" i="9"/>
  <c r="H216" i="9" s="1"/>
  <c r="AC210" i="9"/>
  <c r="AC213" i="9"/>
  <c r="AC212" i="9"/>
  <c r="AC211" i="9"/>
  <c r="K213" i="9"/>
  <c r="F213" i="9"/>
  <c r="H213" i="9" s="1"/>
  <c r="K212" i="9"/>
  <c r="F212" i="9"/>
  <c r="H212" i="9" s="1"/>
  <c r="K211" i="9"/>
  <c r="F211" i="9"/>
  <c r="H211" i="9" s="1"/>
  <c r="K210" i="9"/>
  <c r="F210" i="9"/>
  <c r="H210" i="9" s="1"/>
  <c r="K209" i="9"/>
  <c r="F209" i="9"/>
  <c r="H209" i="9" s="1"/>
  <c r="AC178" i="9"/>
  <c r="AC175" i="9"/>
  <c r="F171" i="9"/>
  <c r="H171" i="9" s="1"/>
  <c r="AC157" i="9"/>
  <c r="F169" i="9"/>
  <c r="H169" i="9" s="1"/>
  <c r="M200" i="9" a="1"/>
  <c r="M201" i="9" s="1"/>
  <c r="M202" i="9" s="1"/>
  <c r="M203" i="9" s="1"/>
  <c r="AS178" i="9"/>
  <c r="AA207" i="9"/>
  <c r="AC209" i="9"/>
  <c r="I207" i="9"/>
  <c r="AS177" i="9"/>
  <c r="K178" i="9"/>
  <c r="K177" i="9"/>
  <c r="AS173" i="9"/>
  <c r="K176" i="9"/>
  <c r="K167" i="9"/>
  <c r="K144" i="9"/>
  <c r="F186" i="9"/>
  <c r="K154" i="9"/>
  <c r="AS175" i="9"/>
  <c r="K175" i="9"/>
  <c r="K166" i="9"/>
  <c r="K174" i="9"/>
  <c r="AC190" i="9"/>
  <c r="F195" i="9"/>
  <c r="H195" i="9" s="1"/>
  <c r="F154" i="9"/>
  <c r="H154" i="9" s="1"/>
  <c r="K196" i="9"/>
  <c r="K197" i="9"/>
  <c r="F191" i="9"/>
  <c r="H191" i="9" s="1"/>
  <c r="F192" i="9"/>
  <c r="H192" i="9" s="1"/>
  <c r="K194" i="9"/>
  <c r="F163" i="9"/>
  <c r="H163" i="9" s="1"/>
  <c r="AC163" i="9"/>
  <c r="AS163" i="9"/>
  <c r="F157" i="9"/>
  <c r="H157" i="9" s="1"/>
  <c r="F138" i="9"/>
  <c r="H138" i="9" s="1"/>
  <c r="AS160" i="9"/>
  <c r="AC186" i="9"/>
  <c r="K172" i="9"/>
  <c r="F178" i="9"/>
  <c r="H178" i="9" s="1"/>
  <c r="K195" i="9"/>
  <c r="F177" i="9"/>
  <c r="H177" i="9" s="1"/>
  <c r="K187" i="9"/>
  <c r="K185" i="9"/>
  <c r="F160" i="9"/>
  <c r="H160" i="9" s="1"/>
  <c r="AS171" i="9"/>
  <c r="K184" i="9"/>
  <c r="F168" i="9"/>
  <c r="H168" i="9" s="1"/>
  <c r="F185" i="9"/>
  <c r="H185" i="9" s="1"/>
  <c r="AS180" i="9"/>
  <c r="K173" i="9"/>
  <c r="F175" i="9"/>
  <c r="H175" i="9" s="1"/>
  <c r="AS172" i="9"/>
  <c r="K183" i="9"/>
  <c r="F167" i="9"/>
  <c r="H167" i="9" s="1"/>
  <c r="F151" i="9"/>
  <c r="H151" i="9" s="1"/>
  <c r="AS179" i="9"/>
  <c r="K192" i="9"/>
  <c r="AS192" i="9"/>
  <c r="AS176" i="9"/>
  <c r="K182" i="9"/>
  <c r="AC181" i="9"/>
  <c r="K181" i="9"/>
  <c r="F166" i="9"/>
  <c r="H166" i="9" s="1"/>
  <c r="I179" i="9"/>
  <c r="K186" i="9"/>
  <c r="AC187" i="9"/>
  <c r="AS183" i="9"/>
  <c r="I193" i="9"/>
  <c r="L200" i="9" s="1"/>
  <c r="AS195" i="9"/>
  <c r="AQ193" i="9"/>
  <c r="AS193" i="9"/>
  <c r="AS191" i="9"/>
  <c r="AS190" i="9"/>
  <c r="AS189" i="9"/>
  <c r="AS203" i="9"/>
  <c r="AS187" i="9"/>
  <c r="AS202" i="9"/>
  <c r="AS200" i="9"/>
  <c r="AS199" i="9"/>
  <c r="AS197" i="9"/>
  <c r="AQ186" i="9"/>
  <c r="I172" i="9"/>
  <c r="AQ172" i="9"/>
  <c r="AS167" i="9"/>
  <c r="K165" i="9"/>
  <c r="F184" i="9"/>
  <c r="H184" i="9" s="1"/>
  <c r="F174" i="9"/>
  <c r="H174" i="9" s="1"/>
  <c r="I165" i="9"/>
  <c r="AQ165" i="9"/>
  <c r="AS165" i="9"/>
  <c r="AC176" i="9"/>
  <c r="K193" i="9"/>
  <c r="AS186" i="9"/>
  <c r="F156" i="9"/>
  <c r="H156" i="9" s="1"/>
  <c r="K191" i="9"/>
  <c r="AS201" i="9"/>
  <c r="K189" i="9"/>
  <c r="F190" i="9"/>
  <c r="H190" i="9" s="1"/>
  <c r="AS133" i="9"/>
  <c r="F172" i="9"/>
  <c r="H172" i="9" s="1"/>
  <c r="AS198" i="9"/>
  <c r="AS132" i="9"/>
  <c r="F182" i="9"/>
  <c r="H182" i="9" s="1"/>
  <c r="AC173" i="9"/>
  <c r="AS155" i="9"/>
  <c r="AS182" i="9"/>
  <c r="F181" i="9"/>
  <c r="H181" i="9" s="1"/>
  <c r="AC172" i="9"/>
  <c r="AS181" i="9"/>
  <c r="F188" i="9"/>
  <c r="H188" i="9" s="1"/>
  <c r="AS196" i="9"/>
  <c r="K188" i="9"/>
  <c r="F180" i="9"/>
  <c r="H180" i="9" s="1"/>
  <c r="I186" i="9"/>
  <c r="F187" i="9"/>
  <c r="F134" i="9"/>
  <c r="H134" i="9" s="1"/>
  <c r="F179" i="9"/>
  <c r="AS194" i="9"/>
  <c r="F165" i="9"/>
  <c r="H165" i="9" s="1"/>
  <c r="K155" i="9"/>
  <c r="K199" i="9"/>
  <c r="F173" i="9"/>
  <c r="H173" i="9" s="1"/>
  <c r="F189" i="9"/>
  <c r="H189" i="9" s="1"/>
  <c r="K190" i="9"/>
  <c r="K169" i="9"/>
  <c r="K153" i="9"/>
  <c r="F159" i="9"/>
  <c r="H159" i="9" s="1"/>
  <c r="AC156" i="9"/>
  <c r="AS174" i="9"/>
  <c r="AA179" i="9"/>
  <c r="F193" i="9"/>
  <c r="K168" i="9"/>
  <c r="F176" i="9"/>
  <c r="H176" i="9" s="1"/>
  <c r="F158" i="9"/>
  <c r="H158" i="9" s="1"/>
  <c r="K179" i="9"/>
  <c r="AS140" i="9"/>
  <c r="F194" i="9"/>
  <c r="H194" i="9" s="1"/>
  <c r="K198" i="9"/>
  <c r="AQ179" i="9"/>
  <c r="AS204" i="9"/>
  <c r="AS188" i="9"/>
  <c r="AQ200" i="9"/>
  <c r="AS205" i="9"/>
  <c r="AS206" i="9"/>
  <c r="AC189" i="9"/>
  <c r="AC188" i="9"/>
  <c r="AC191" i="9"/>
  <c r="F164" i="9"/>
  <c r="H164" i="9" s="1"/>
  <c r="F162" i="9"/>
  <c r="H162" i="9" s="1"/>
  <c r="K164" i="9"/>
  <c r="AS168" i="9"/>
  <c r="K162" i="9"/>
  <c r="AS166" i="9"/>
  <c r="I158" i="9"/>
  <c r="K157" i="9"/>
  <c r="F161" i="9"/>
  <c r="H161" i="9" s="1"/>
  <c r="F124" i="9"/>
  <c r="H124" i="9" s="1"/>
  <c r="K156" i="9"/>
  <c r="K161" i="9"/>
  <c r="K160" i="9"/>
  <c r="AS164" i="9"/>
  <c r="AC171" i="9"/>
  <c r="AS162" i="9"/>
  <c r="AC168" i="9"/>
  <c r="AS161" i="9"/>
  <c r="AC159" i="9"/>
  <c r="AC167" i="9"/>
  <c r="K171" i="9"/>
  <c r="AC166" i="9"/>
  <c r="AS159" i="9"/>
  <c r="K170" i="9"/>
  <c r="AC165" i="9"/>
  <c r="AC164" i="9"/>
  <c r="K163" i="9"/>
  <c r="F155" i="9"/>
  <c r="H155" i="9" s="1"/>
  <c r="AQ158" i="9"/>
  <c r="AS170" i="9"/>
  <c r="AS169" i="9"/>
  <c r="I130" i="9"/>
  <c r="I144" i="9"/>
  <c r="AC147" i="9"/>
  <c r="F143" i="9"/>
  <c r="H143" i="9" s="1"/>
  <c r="F125" i="9"/>
  <c r="H125" i="9" s="1"/>
  <c r="K128" i="9"/>
  <c r="AS147" i="9"/>
  <c r="AC133" i="9"/>
  <c r="AS154" i="9"/>
  <c r="K140" i="9"/>
  <c r="AS135" i="9"/>
  <c r="F139" i="9"/>
  <c r="H139" i="9" s="1"/>
  <c r="AS134" i="9"/>
  <c r="K142" i="9"/>
  <c r="K141" i="9"/>
  <c r="K137" i="9"/>
  <c r="F126" i="9"/>
  <c r="H126" i="9" s="1"/>
  <c r="K152" i="9"/>
  <c r="AC140" i="9"/>
  <c r="AC131" i="9"/>
  <c r="AA165" i="9"/>
  <c r="AC180" i="9"/>
  <c r="AA172" i="9"/>
  <c r="AC183" i="9"/>
  <c r="AC182" i="9"/>
  <c r="AC179" i="9"/>
  <c r="AC185" i="9"/>
  <c r="AC184" i="9"/>
  <c r="AS123" i="9"/>
  <c r="AS151" i="9"/>
  <c r="F153" i="9"/>
  <c r="H153" i="9" s="1"/>
  <c r="AC151" i="9"/>
  <c r="AC144" i="9"/>
  <c r="K123" i="9"/>
  <c r="F133" i="9"/>
  <c r="H133" i="9" s="1"/>
  <c r="F144" i="9"/>
  <c r="H144" i="9" s="1"/>
  <c r="K122" i="9"/>
  <c r="K132" i="9"/>
  <c r="AC141" i="9"/>
  <c r="K121" i="9"/>
  <c r="K131" i="9"/>
  <c r="F142" i="9"/>
  <c r="H142" i="9" s="1"/>
  <c r="AS130" i="9"/>
  <c r="F129" i="9"/>
  <c r="H129" i="9" s="1"/>
  <c r="K127" i="9"/>
  <c r="F137" i="9"/>
  <c r="H137" i="9" s="1"/>
  <c r="K159" i="9"/>
  <c r="K143" i="9"/>
  <c r="F128" i="9"/>
  <c r="H128" i="9" s="1"/>
  <c r="F132" i="9"/>
  <c r="H132" i="9" s="1"/>
  <c r="AS142" i="9"/>
  <c r="K120" i="9"/>
  <c r="F127" i="9"/>
  <c r="H127" i="9" s="1"/>
  <c r="F131" i="9"/>
  <c r="H131" i="9" s="1"/>
  <c r="AS129" i="9"/>
  <c r="F123" i="9"/>
  <c r="H123" i="9" s="1"/>
  <c r="K136" i="9"/>
  <c r="AC150" i="9"/>
  <c r="AC134" i="9"/>
  <c r="AS138" i="9"/>
  <c r="K151" i="9"/>
  <c r="K135" i="9"/>
  <c r="AC149" i="9"/>
  <c r="AS153" i="9"/>
  <c r="AS137" i="9"/>
  <c r="F150" i="9"/>
  <c r="H150" i="9" s="1"/>
  <c r="K150" i="9"/>
  <c r="K134" i="9"/>
  <c r="AC148" i="9"/>
  <c r="AC132" i="9"/>
  <c r="AS152" i="9"/>
  <c r="F136" i="9"/>
  <c r="H136" i="9" s="1"/>
  <c r="K147" i="9"/>
  <c r="AS149" i="9"/>
  <c r="F122" i="9"/>
  <c r="K146" i="9"/>
  <c r="K130" i="9"/>
  <c r="AS148" i="9"/>
  <c r="K149" i="9"/>
  <c r="F149" i="9"/>
  <c r="H149" i="9" s="1"/>
  <c r="AC143" i="9"/>
  <c r="AS131" i="9"/>
  <c r="K145" i="9"/>
  <c r="K129" i="9"/>
  <c r="F141" i="9"/>
  <c r="H141" i="9" s="1"/>
  <c r="F135" i="9"/>
  <c r="H135" i="9" s="1"/>
  <c r="AC158" i="9"/>
  <c r="AC142" i="9"/>
  <c r="AS146" i="9"/>
  <c r="K148" i="9"/>
  <c r="F148" i="9"/>
  <c r="H148" i="9" s="1"/>
  <c r="AC126" i="9"/>
  <c r="F130" i="9"/>
  <c r="AS145" i="9"/>
  <c r="F147" i="9"/>
  <c r="H147" i="9" s="1"/>
  <c r="K158" i="9"/>
  <c r="K126" i="9"/>
  <c r="AS144" i="9"/>
  <c r="F140" i="9"/>
  <c r="H140" i="9" s="1"/>
  <c r="I151" i="9"/>
  <c r="AC155" i="9"/>
  <c r="AC139" i="9"/>
  <c r="AQ144" i="9"/>
  <c r="AQ151" i="9"/>
  <c r="F146" i="9"/>
  <c r="H146" i="9" s="1"/>
  <c r="AS158" i="9"/>
  <c r="I137" i="9"/>
  <c r="K139" i="9"/>
  <c r="AQ130" i="9"/>
  <c r="AS141" i="9"/>
  <c r="K133" i="9"/>
  <c r="F152" i="9"/>
  <c r="H152" i="9" s="1"/>
  <c r="F145" i="9"/>
  <c r="H145" i="9" s="1"/>
  <c r="K138" i="9"/>
  <c r="AC152" i="9"/>
  <c r="AS156" i="9"/>
  <c r="AC135" i="9"/>
  <c r="AS139" i="9"/>
  <c r="AA137" i="9"/>
  <c r="AA158" i="9"/>
  <c r="AA144" i="9"/>
  <c r="AC127" i="9"/>
  <c r="AC123" i="9"/>
  <c r="I123" i="9"/>
  <c r="A32" i="12"/>
  <c r="D2" i="3"/>
  <c r="A24" i="12"/>
  <c r="A13" i="12"/>
  <c r="A15" i="12" s="1"/>
  <c r="A2" i="12"/>
  <c r="I18" i="3"/>
  <c r="I2" i="3" s="1"/>
  <c r="H18" i="3"/>
  <c r="C5" i="3"/>
  <c r="C7" i="3"/>
  <c r="S3" i="10"/>
  <c r="H20" i="3"/>
  <c r="I20" i="3"/>
  <c r="J2" i="3" s="1"/>
  <c r="V17" i="9"/>
  <c r="AL17" i="9" s="1"/>
  <c r="V18" i="9"/>
  <c r="AL18" i="9" s="1"/>
  <c r="V19" i="9"/>
  <c r="AL19" i="9" s="1"/>
  <c r="V21" i="9"/>
  <c r="AL21" i="9" s="1"/>
  <c r="V22" i="9"/>
  <c r="AL22" i="9" s="1"/>
  <c r="V23" i="9"/>
  <c r="AL23" i="9" s="1"/>
  <c r="V24" i="9"/>
  <c r="AL24" i="9" s="1"/>
  <c r="V28" i="9"/>
  <c r="AL28" i="9" s="1"/>
  <c r="V29" i="9"/>
  <c r="AL29" i="9" s="1"/>
  <c r="V30" i="9"/>
  <c r="AL30" i="9" s="1"/>
  <c r="V31" i="9"/>
  <c r="AL31" i="9" s="1"/>
  <c r="V32" i="9"/>
  <c r="AL32" i="9" s="1"/>
  <c r="V33" i="9"/>
  <c r="AL33" i="9" s="1"/>
  <c r="V34" i="9"/>
  <c r="AL34" i="9" s="1"/>
  <c r="V35" i="9"/>
  <c r="AL35" i="9" s="1"/>
  <c r="V36" i="9"/>
  <c r="AL36" i="9" s="1"/>
  <c r="V37" i="9"/>
  <c r="AL37" i="9" s="1"/>
  <c r="V38" i="9"/>
  <c r="AL38" i="9" s="1"/>
  <c r="V39" i="9"/>
  <c r="AL39" i="9" s="1"/>
  <c r="V40" i="9"/>
  <c r="AL40" i="9" s="1"/>
  <c r="V41" i="9"/>
  <c r="AL41" i="9" s="1"/>
  <c r="V42" i="9"/>
  <c r="AL42" i="9" s="1"/>
  <c r="V44" i="9"/>
  <c r="AL44" i="9" s="1"/>
  <c r="V45" i="9"/>
  <c r="AL45" i="9" s="1"/>
  <c r="V46" i="9"/>
  <c r="AL46" i="9" s="1"/>
  <c r="V47" i="9"/>
  <c r="AL47" i="9" s="1"/>
  <c r="V48" i="9"/>
  <c r="AL48" i="9" s="1"/>
  <c r="V49" i="9"/>
  <c r="AL49" i="9" s="1"/>
  <c r="V50" i="9"/>
  <c r="AL50" i="9" s="1"/>
  <c r="V51" i="9"/>
  <c r="AL51" i="9" s="1"/>
  <c r="V52" i="9"/>
  <c r="AL52" i="9" s="1"/>
  <c r="V53" i="9"/>
  <c r="AL53" i="9" s="1"/>
  <c r="V54" i="9"/>
  <c r="AL54" i="9" s="1"/>
  <c r="V55" i="9"/>
  <c r="AL55" i="9" s="1"/>
  <c r="V56" i="9"/>
  <c r="AL56" i="9" s="1"/>
  <c r="V57" i="9"/>
  <c r="AL57" i="9" s="1"/>
  <c r="V59" i="9"/>
  <c r="AL59" i="9" s="1"/>
  <c r="V60" i="9"/>
  <c r="AL60" i="9" s="1"/>
  <c r="V61" i="9"/>
  <c r="AL61" i="9" s="1"/>
  <c r="V62" i="9"/>
  <c r="AL62" i="9" s="1"/>
  <c r="V63" i="9"/>
  <c r="AL63" i="9" s="1"/>
  <c r="V64" i="9"/>
  <c r="AL64" i="9" s="1"/>
  <c r="V65" i="9"/>
  <c r="AL65" i="9" s="1"/>
  <c r="V66" i="9"/>
  <c r="AL66" i="9" s="1"/>
  <c r="V67" i="9"/>
  <c r="AL67" i="9" s="1"/>
  <c r="V68" i="9"/>
  <c r="AL68" i="9" s="1"/>
  <c r="V69" i="9"/>
  <c r="AL69" i="9" s="1"/>
  <c r="V70" i="9"/>
  <c r="AL70" i="9" s="1"/>
  <c r="V71" i="9"/>
  <c r="AL71" i="9" s="1"/>
  <c r="V72" i="9"/>
  <c r="AL72" i="9" s="1"/>
  <c r="V73" i="9"/>
  <c r="AL73" i="9" s="1"/>
  <c r="V74" i="9"/>
  <c r="AL74" i="9" s="1"/>
  <c r="V75" i="9"/>
  <c r="AL75" i="9" s="1"/>
  <c r="V77" i="9"/>
  <c r="AL77" i="9" s="1"/>
  <c r="V79" i="9"/>
  <c r="AL79" i="9" s="1"/>
  <c r="V80" i="9"/>
  <c r="AL80" i="9" s="1"/>
  <c r="V81" i="9"/>
  <c r="AL81" i="9" s="1"/>
  <c r="V83" i="9"/>
  <c r="AL83" i="9" s="1"/>
  <c r="V84" i="9"/>
  <c r="AL84" i="9" s="1"/>
  <c r="V85" i="9"/>
  <c r="AL85" i="9" s="1"/>
  <c r="V86" i="9"/>
  <c r="AL86" i="9" s="1"/>
  <c r="V87" i="9"/>
  <c r="AL87" i="9" s="1"/>
  <c r="V88" i="9"/>
  <c r="AL88" i="9" s="1"/>
  <c r="V89" i="9"/>
  <c r="AL89" i="9" s="1"/>
  <c r="V90" i="9"/>
  <c r="AL90" i="9" s="1"/>
  <c r="V91" i="9"/>
  <c r="AL91" i="9" s="1"/>
  <c r="V93" i="9"/>
  <c r="AL93" i="9" s="1"/>
  <c r="V95" i="9"/>
  <c r="AL95" i="9" s="1"/>
  <c r="V96" i="9"/>
  <c r="AL96" i="9" s="1"/>
  <c r="V97" i="9"/>
  <c r="AL97" i="9" s="1"/>
  <c r="V98" i="9"/>
  <c r="AL98" i="9" s="1"/>
  <c r="V99" i="9"/>
  <c r="AL99" i="9" s="1"/>
  <c r="V100" i="9"/>
  <c r="AL100" i="9" s="1"/>
  <c r="V101" i="9"/>
  <c r="AL101" i="9" s="1"/>
  <c r="V102" i="9"/>
  <c r="AL102" i="9" s="1"/>
  <c r="V103" i="9"/>
  <c r="AL103" i="9" s="1"/>
  <c r="V104" i="9"/>
  <c r="AL104" i="9" s="1"/>
  <c r="V105" i="9"/>
  <c r="AL105" i="9" s="1"/>
  <c r="V106" i="9"/>
  <c r="AL106" i="9" s="1"/>
  <c r="V109" i="9"/>
  <c r="V111" i="9"/>
  <c r="V112" i="9"/>
  <c r="V113" i="9"/>
  <c r="V114" i="9"/>
  <c r="V115" i="9"/>
  <c r="V116" i="9"/>
  <c r="V117" i="9"/>
  <c r="AL117" i="9" s="1"/>
  <c r="V118" i="9"/>
  <c r="AL118" i="9" s="1"/>
  <c r="V120" i="9"/>
  <c r="D16" i="9"/>
  <c r="AG17" i="9"/>
  <c r="AM17" i="9"/>
  <c r="AM18" i="9"/>
  <c r="AM19" i="9"/>
  <c r="AM20" i="9"/>
  <c r="AM21" i="9"/>
  <c r="AM22" i="9"/>
  <c r="AM23" i="9"/>
  <c r="AM24" i="9"/>
  <c r="AM25" i="9"/>
  <c r="AM26" i="9"/>
  <c r="AM27" i="9"/>
  <c r="AM28" i="9"/>
  <c r="AM29" i="9"/>
  <c r="AM30" i="9"/>
  <c r="AM31" i="9"/>
  <c r="AM32" i="9"/>
  <c r="AM33" i="9"/>
  <c r="AM34" i="9"/>
  <c r="AM35" i="9"/>
  <c r="AM36" i="9"/>
  <c r="AM37" i="9"/>
  <c r="AM38" i="9"/>
  <c r="AM39" i="9"/>
  <c r="AM40" i="9"/>
  <c r="AM41" i="9"/>
  <c r="AM42" i="9"/>
  <c r="AM43" i="9"/>
  <c r="AM44" i="9"/>
  <c r="AM45" i="9"/>
  <c r="AM46" i="9"/>
  <c r="AM47" i="9"/>
  <c r="AM48" i="9"/>
  <c r="AM49" i="9"/>
  <c r="AM50" i="9"/>
  <c r="AM51" i="9"/>
  <c r="AM52" i="9"/>
  <c r="AM53" i="9"/>
  <c r="AM54" i="9"/>
  <c r="AM55" i="9"/>
  <c r="AM56" i="9"/>
  <c r="AM57" i="9"/>
  <c r="AM58" i="9"/>
  <c r="AM59" i="9"/>
  <c r="AM60" i="9"/>
  <c r="AM61" i="9"/>
  <c r="AM62" i="9"/>
  <c r="AM63" i="9"/>
  <c r="AM64" i="9"/>
  <c r="AM65" i="9"/>
  <c r="AM66" i="9"/>
  <c r="AM67" i="9"/>
  <c r="AM68" i="9"/>
  <c r="AM69" i="9"/>
  <c r="AM70" i="9"/>
  <c r="AM71" i="9"/>
  <c r="AM72" i="9"/>
  <c r="AM73" i="9"/>
  <c r="AM74" i="9"/>
  <c r="AM75" i="9"/>
  <c r="AM76" i="9"/>
  <c r="AM77" i="9"/>
  <c r="AM78" i="9"/>
  <c r="AM79" i="9"/>
  <c r="AM80" i="9"/>
  <c r="AM81" i="9"/>
  <c r="AM82" i="9"/>
  <c r="AM83" i="9"/>
  <c r="AM84" i="9"/>
  <c r="AM85" i="9"/>
  <c r="AM86" i="9"/>
  <c r="AM87" i="9"/>
  <c r="AM88" i="9"/>
  <c r="AM89" i="9"/>
  <c r="AM90" i="9"/>
  <c r="AM91" i="9"/>
  <c r="AM92" i="9"/>
  <c r="AM93" i="9"/>
  <c r="AM94" i="9"/>
  <c r="AM95" i="9"/>
  <c r="AM96" i="9"/>
  <c r="AM97" i="9"/>
  <c r="AM98" i="9"/>
  <c r="AM99" i="9"/>
  <c r="AM100" i="9"/>
  <c r="AM101" i="9"/>
  <c r="AM102" i="9"/>
  <c r="AM103" i="9"/>
  <c r="AM104" i="9"/>
  <c r="AM105" i="9"/>
  <c r="AM106" i="9"/>
  <c r="AM107" i="9"/>
  <c r="AM16" i="9"/>
  <c r="AW17" i="9"/>
  <c r="AW16" i="9"/>
  <c r="AG16" i="9"/>
  <c r="W17" i="9"/>
  <c r="W18" i="9"/>
  <c r="W19" i="9"/>
  <c r="W20" i="9"/>
  <c r="W21" i="9"/>
  <c r="W22" i="9"/>
  <c r="W23" i="9"/>
  <c r="W24" i="9"/>
  <c r="W25" i="9"/>
  <c r="W26" i="9"/>
  <c r="W27" i="9"/>
  <c r="W28" i="9"/>
  <c r="W29" i="9"/>
  <c r="W30" i="9"/>
  <c r="W31" i="9"/>
  <c r="W32" i="9"/>
  <c r="W33" i="9"/>
  <c r="W34" i="9"/>
  <c r="W35" i="9"/>
  <c r="W36" i="9"/>
  <c r="W37" i="9"/>
  <c r="W38" i="9"/>
  <c r="W39" i="9"/>
  <c r="W40" i="9"/>
  <c r="W41" i="9"/>
  <c r="W42" i="9"/>
  <c r="W43" i="9"/>
  <c r="W44" i="9"/>
  <c r="W45" i="9"/>
  <c r="W46" i="9"/>
  <c r="W47" i="9"/>
  <c r="W48" i="9"/>
  <c r="W49" i="9"/>
  <c r="W50" i="9"/>
  <c r="W51" i="9"/>
  <c r="W52" i="9"/>
  <c r="W53" i="9"/>
  <c r="W54" i="9"/>
  <c r="W55" i="9"/>
  <c r="W56" i="9"/>
  <c r="W57" i="9"/>
  <c r="W58" i="9"/>
  <c r="W59" i="9"/>
  <c r="W60" i="9"/>
  <c r="W61" i="9"/>
  <c r="W62" i="9"/>
  <c r="W63" i="9"/>
  <c r="W64" i="9"/>
  <c r="W65" i="9"/>
  <c r="W66" i="9"/>
  <c r="W67" i="9"/>
  <c r="W68" i="9"/>
  <c r="W69" i="9"/>
  <c r="W70" i="9"/>
  <c r="W71" i="9"/>
  <c r="W72" i="9"/>
  <c r="W73" i="9"/>
  <c r="W74" i="9"/>
  <c r="W75" i="9"/>
  <c r="W76" i="9"/>
  <c r="W77" i="9"/>
  <c r="W78" i="9"/>
  <c r="W79" i="9"/>
  <c r="W80" i="9"/>
  <c r="W81" i="9"/>
  <c r="W82" i="9"/>
  <c r="W83" i="9"/>
  <c r="W84" i="9"/>
  <c r="W85" i="9"/>
  <c r="W86" i="9"/>
  <c r="W87" i="9"/>
  <c r="W88" i="9"/>
  <c r="W89" i="9"/>
  <c r="W90" i="9"/>
  <c r="W91" i="9"/>
  <c r="W92" i="9"/>
  <c r="W93" i="9"/>
  <c r="W94" i="9"/>
  <c r="W95" i="9"/>
  <c r="W96" i="9"/>
  <c r="W97" i="9"/>
  <c r="W98" i="9"/>
  <c r="W99" i="9"/>
  <c r="W100" i="9"/>
  <c r="W101" i="9"/>
  <c r="W102" i="9"/>
  <c r="W103" i="9"/>
  <c r="W104" i="9"/>
  <c r="W105" i="9"/>
  <c r="W106" i="9"/>
  <c r="W107" i="9"/>
  <c r="W16" i="9"/>
  <c r="O16" i="9"/>
  <c r="O17" i="9"/>
  <c r="E38" i="9"/>
  <c r="E39" i="9"/>
  <c r="E40" i="9"/>
  <c r="E41" i="9"/>
  <c r="E42" i="9"/>
  <c r="V43" i="9"/>
  <c r="AL43" i="9" s="1"/>
  <c r="E43" i="9"/>
  <c r="E44" i="9"/>
  <c r="E45" i="9"/>
  <c r="E46" i="9"/>
  <c r="E47" i="9"/>
  <c r="E48" i="9"/>
  <c r="E49" i="9"/>
  <c r="E50" i="9"/>
  <c r="E51" i="9"/>
  <c r="E52" i="9"/>
  <c r="E53" i="9"/>
  <c r="E54" i="9"/>
  <c r="E55" i="9"/>
  <c r="E56" i="9"/>
  <c r="E57" i="9"/>
  <c r="V58" i="9"/>
  <c r="AL58" i="9" s="1"/>
  <c r="E58" i="9"/>
  <c r="E59" i="9"/>
  <c r="E60" i="9"/>
  <c r="E61" i="9"/>
  <c r="E62" i="9"/>
  <c r="E63" i="9"/>
  <c r="E64" i="9"/>
  <c r="E65" i="9"/>
  <c r="E66" i="9"/>
  <c r="E67" i="9"/>
  <c r="E68" i="9"/>
  <c r="E69" i="9"/>
  <c r="E70" i="9"/>
  <c r="E71" i="9"/>
  <c r="E72" i="9"/>
  <c r="E73" i="9"/>
  <c r="E74" i="9"/>
  <c r="E75" i="9"/>
  <c r="E76" i="9"/>
  <c r="E77" i="9"/>
  <c r="E78" i="9"/>
  <c r="E79" i="9"/>
  <c r="E80" i="9"/>
  <c r="E81" i="9"/>
  <c r="V82" i="9"/>
  <c r="AL82" i="9" s="1"/>
  <c r="E82" i="9"/>
  <c r="E83" i="9"/>
  <c r="E84" i="9"/>
  <c r="E85" i="9"/>
  <c r="E86" i="9"/>
  <c r="E87" i="9"/>
  <c r="E88" i="9"/>
  <c r="E89" i="9"/>
  <c r="E90" i="9"/>
  <c r="E91" i="9"/>
  <c r="E92" i="9"/>
  <c r="E93" i="9"/>
  <c r="E94" i="9"/>
  <c r="E95" i="9"/>
  <c r="E96" i="9"/>
  <c r="E97" i="9"/>
  <c r="E98" i="9"/>
  <c r="E99" i="9"/>
  <c r="E100" i="9"/>
  <c r="E101" i="9"/>
  <c r="E102" i="9"/>
  <c r="E103" i="9"/>
  <c r="E104" i="9"/>
  <c r="E105" i="9"/>
  <c r="E106" i="9"/>
  <c r="K113" i="9" s="1"/>
  <c r="V107" i="9"/>
  <c r="AL107" i="9" s="1"/>
  <c r="E107" i="9"/>
  <c r="K114" i="9" s="1"/>
  <c r="E17" i="9"/>
  <c r="E18" i="9"/>
  <c r="E19" i="9"/>
  <c r="E20" i="9"/>
  <c r="E21" i="9"/>
  <c r="E22" i="9"/>
  <c r="E23" i="9"/>
  <c r="E24" i="9"/>
  <c r="E25" i="9"/>
  <c r="E26" i="9"/>
  <c r="E27" i="9"/>
  <c r="E28" i="9"/>
  <c r="E29" i="9"/>
  <c r="E30" i="9"/>
  <c r="E31" i="9"/>
  <c r="E32" i="9"/>
  <c r="E33" i="9"/>
  <c r="E34" i="9"/>
  <c r="E35" i="9"/>
  <c r="E36" i="9"/>
  <c r="E37" i="9"/>
  <c r="E16" i="9"/>
  <c r="V25" i="9"/>
  <c r="AL25" i="9" s="1"/>
  <c r="V26" i="9"/>
  <c r="AL26" i="9" s="1"/>
  <c r="V27" i="9"/>
  <c r="AL27" i="9" s="1"/>
  <c r="K24" i="3"/>
  <c r="L24" i="3" s="1"/>
  <c r="K25" i="3"/>
  <c r="L25" i="3" s="1"/>
  <c r="K23" i="3"/>
  <c r="L23" i="3" s="1"/>
  <c r="H3" i="3"/>
  <c r="J6" i="10" s="1" a="1"/>
  <c r="J8" i="10" s="1"/>
  <c r="J9" i="10" s="1"/>
  <c r="AT356" i="9" l="1"/>
  <c r="AW355" i="9"/>
  <c r="AT425" i="9"/>
  <c r="AW424" i="9"/>
  <c r="AT236" i="9"/>
  <c r="AW235" i="9"/>
  <c r="AT306" i="9"/>
  <c r="AW305" i="9"/>
  <c r="AD304" i="9"/>
  <c r="AG304" i="9" s="1"/>
  <c r="AD303" i="9"/>
  <c r="AG303" i="9" s="1"/>
  <c r="AG298" i="9"/>
  <c r="L299" i="9"/>
  <c r="O298" i="9"/>
  <c r="L348" i="9"/>
  <c r="O347" i="9"/>
  <c r="AD241" i="9"/>
  <c r="AG241" i="9" s="1"/>
  <c r="AD240" i="9"/>
  <c r="AG240" i="9" s="1"/>
  <c r="AD236" i="9"/>
  <c r="AG236" i="9" s="1"/>
  <c r="AD237" i="9"/>
  <c r="AG237" i="9" s="1"/>
  <c r="AD239" i="9"/>
  <c r="AG239" i="9" s="1"/>
  <c r="AD238" i="9"/>
  <c r="AG238" i="9" s="1"/>
  <c r="AG235" i="9"/>
  <c r="AT369" i="9"/>
  <c r="AW368" i="9"/>
  <c r="AD325" i="9"/>
  <c r="AG325" i="9" s="1"/>
  <c r="AD322" i="9"/>
  <c r="AG322" i="9" s="1"/>
  <c r="AD324" i="9"/>
  <c r="AG324" i="9" s="1"/>
  <c r="AD323" i="9"/>
  <c r="AG323" i="9" s="1"/>
  <c r="AG319" i="9"/>
  <c r="AD348" i="9"/>
  <c r="AG348" i="9" s="1"/>
  <c r="AD349" i="9"/>
  <c r="AG349" i="9" s="1"/>
  <c r="AD350" i="9"/>
  <c r="AG350" i="9" s="1"/>
  <c r="AD351" i="9"/>
  <c r="AG351" i="9" s="1"/>
  <c r="AD353" i="9"/>
  <c r="AG353" i="9" s="1"/>
  <c r="AD352" i="9"/>
  <c r="AG352" i="9" s="1"/>
  <c r="L411" i="9"/>
  <c r="O410" i="9"/>
  <c r="AD321" i="9"/>
  <c r="AG321" i="9" s="1"/>
  <c r="AD320" i="9"/>
  <c r="AG320" i="9" s="1"/>
  <c r="B13" i="12"/>
  <c r="F2" i="9"/>
  <c r="B24" i="12"/>
  <c r="G2" i="9"/>
  <c r="E3" i="9"/>
  <c r="E12" i="9" s="1"/>
  <c r="H9" i="3" s="1"/>
  <c r="E4" i="9"/>
  <c r="B2" i="12"/>
  <c r="H2" i="12" s="1" a="1"/>
  <c r="E2" i="9"/>
  <c r="H19" i="3"/>
  <c r="J3" i="3"/>
  <c r="E5" i="9"/>
  <c r="E8" i="9"/>
  <c r="E7" i="9"/>
  <c r="E6" i="9"/>
  <c r="J27" i="12"/>
  <c r="J25" i="12"/>
  <c r="AT348" i="9"/>
  <c r="AW347" i="9"/>
  <c r="L425" i="9"/>
  <c r="O424" i="9"/>
  <c r="AT264" i="9"/>
  <c r="AW263" i="9"/>
  <c r="AT278" i="9"/>
  <c r="AW277" i="9"/>
  <c r="AG375" i="9"/>
  <c r="AD376" i="9"/>
  <c r="AG376" i="9" s="1"/>
  <c r="AD377" i="9"/>
  <c r="AG377" i="9" s="1"/>
  <c r="AD381" i="9"/>
  <c r="AG381" i="9" s="1"/>
  <c r="AD378" i="9"/>
  <c r="AG378" i="9" s="1"/>
  <c r="AD379" i="9"/>
  <c r="AG379" i="9" s="1"/>
  <c r="AD380" i="9"/>
  <c r="AG380" i="9" s="1"/>
  <c r="AT418" i="9"/>
  <c r="AW417" i="9"/>
  <c r="L243" i="9"/>
  <c r="O242" i="9"/>
  <c r="AD328" i="9"/>
  <c r="AG328" i="9" s="1"/>
  <c r="AD332" i="9"/>
  <c r="AG332" i="9" s="1"/>
  <c r="AD331" i="9"/>
  <c r="AG331" i="9" s="1"/>
  <c r="AD330" i="9"/>
  <c r="AG330" i="9" s="1"/>
  <c r="AD329" i="9"/>
  <c r="AG329" i="9" s="1"/>
  <c r="AT279" i="9"/>
  <c r="AW278" i="9"/>
  <c r="AD318" i="9"/>
  <c r="AG318" i="9" s="1"/>
  <c r="AD317" i="9"/>
  <c r="AG317" i="9" s="1"/>
  <c r="AD316" i="9"/>
  <c r="AG316" i="9" s="1"/>
  <c r="AD315" i="9"/>
  <c r="AG315" i="9" s="1"/>
  <c r="AD314" i="9"/>
  <c r="AG314" i="9" s="1"/>
  <c r="AD313" i="9"/>
  <c r="AG313" i="9" s="1"/>
  <c r="L404" i="9"/>
  <c r="O403" i="9"/>
  <c r="L265" i="9"/>
  <c r="O264" i="9"/>
  <c r="L285" i="9"/>
  <c r="O284" i="9"/>
  <c r="L481" i="9"/>
  <c r="O480" i="9"/>
  <c r="L474" i="9"/>
  <c r="O473" i="9"/>
  <c r="L313" i="9"/>
  <c r="O312" i="9"/>
  <c r="L432" i="9"/>
  <c r="O431" i="9"/>
  <c r="L418" i="9"/>
  <c r="O417" i="9"/>
  <c r="L306" i="9"/>
  <c r="O305" i="9"/>
  <c r="AG305" i="9"/>
  <c r="AD306" i="9"/>
  <c r="AG306" i="9" s="1"/>
  <c r="AD307" i="9"/>
  <c r="AG307" i="9" s="1"/>
  <c r="AD308" i="9"/>
  <c r="AG308" i="9" s="1"/>
  <c r="AD310" i="9"/>
  <c r="AG310" i="9" s="1"/>
  <c r="AD309" i="9"/>
  <c r="AG309" i="9" s="1"/>
  <c r="AD311" i="9"/>
  <c r="AG311" i="9" s="1"/>
  <c r="L383" i="9"/>
  <c r="O382" i="9"/>
  <c r="O340" i="9"/>
  <c r="L341" i="9"/>
  <c r="AT419" i="9"/>
  <c r="AW418" i="9"/>
  <c r="AT327" i="9"/>
  <c r="AW326" i="9"/>
  <c r="AT432" i="9"/>
  <c r="AW431" i="9"/>
  <c r="AD299" i="9"/>
  <c r="AG299" i="9" s="1"/>
  <c r="AD300" i="9"/>
  <c r="AG300" i="9" s="1"/>
  <c r="AD301" i="9"/>
  <c r="AG301" i="9" s="1"/>
  <c r="AT362" i="9"/>
  <c r="AW361" i="9"/>
  <c r="AT467" i="9"/>
  <c r="AW466" i="9"/>
  <c r="AT376" i="9"/>
  <c r="AW375" i="9"/>
  <c r="L320" i="9"/>
  <c r="O319" i="9"/>
  <c r="L376" i="9"/>
  <c r="O375" i="9"/>
  <c r="L460" i="9"/>
  <c r="O459" i="9"/>
  <c r="L453" i="9"/>
  <c r="O452" i="9"/>
  <c r="C10" i="12" a="1"/>
  <c r="M239" i="9"/>
  <c r="M240" i="9" s="1"/>
  <c r="M241" i="9" s="1"/>
  <c r="N417" i="9" a="1"/>
  <c r="N418" i="9" s="1"/>
  <c r="N419" i="9" s="1"/>
  <c r="N420" i="9" s="1"/>
  <c r="N421" i="9" s="1"/>
  <c r="N422" i="9" s="1"/>
  <c r="N423" i="9" s="1"/>
  <c r="O354" i="9"/>
  <c r="L355" i="9"/>
  <c r="AT328" i="9"/>
  <c r="AW327" i="9"/>
  <c r="AT363" i="9"/>
  <c r="AW362" i="9"/>
  <c r="AT404" i="9"/>
  <c r="AW403" i="9"/>
  <c r="AT334" i="9"/>
  <c r="AW333" i="9"/>
  <c r="AN108" i="9"/>
  <c r="AP108" i="9"/>
  <c r="X108" i="9"/>
  <c r="Z108" i="9"/>
  <c r="AO16" i="9"/>
  <c r="AO117" i="9"/>
  <c r="AO118" i="9"/>
  <c r="AO108" i="9"/>
  <c r="AO109" i="9"/>
  <c r="AO110" i="9"/>
  <c r="AO111" i="9"/>
  <c r="AO112" i="9"/>
  <c r="AO113" i="9"/>
  <c r="AO114" i="9"/>
  <c r="AO115" i="9"/>
  <c r="AO116" i="9"/>
  <c r="Y108" i="9"/>
  <c r="Y109" i="9"/>
  <c r="Y110" i="9"/>
  <c r="Y111" i="9"/>
  <c r="Y112" i="9"/>
  <c r="Y113" i="9"/>
  <c r="Y114" i="9"/>
  <c r="Y115" i="9"/>
  <c r="Y116" i="9"/>
  <c r="Y117" i="9"/>
  <c r="Y118" i="9"/>
  <c r="Y119" i="9"/>
  <c r="Y120" i="9"/>
  <c r="Y462" i="9"/>
  <c r="Y466" i="9"/>
  <c r="Y472" i="9"/>
  <c r="Y412" i="9"/>
  <c r="Y463" i="9"/>
  <c r="Y465" i="9"/>
  <c r="Y467" i="9"/>
  <c r="Y469" i="9"/>
  <c r="Y470" i="9"/>
  <c r="Y473" i="9"/>
  <c r="Y475" i="9"/>
  <c r="Y413" i="9"/>
  <c r="Y464" i="9"/>
  <c r="Y468" i="9"/>
  <c r="Y471" i="9"/>
  <c r="Y474" i="9"/>
  <c r="Y148" i="9"/>
  <c r="Y156" i="9"/>
  <c r="Y243" i="9"/>
  <c r="Y356" i="9"/>
  <c r="Y363" i="9"/>
  <c r="Y373" i="9"/>
  <c r="Y386" i="9"/>
  <c r="Y423" i="9"/>
  <c r="Y434" i="9"/>
  <c r="Y448" i="9"/>
  <c r="Y477" i="9"/>
  <c r="Y163" i="9"/>
  <c r="Y164" i="9"/>
  <c r="Y165" i="9"/>
  <c r="Y181" i="9"/>
  <c r="Y182" i="9"/>
  <c r="Y183" i="9"/>
  <c r="Y184" i="9"/>
  <c r="Y185" i="9"/>
  <c r="Y404" i="9"/>
  <c r="Y350" i="9"/>
  <c r="Y186" i="9"/>
  <c r="Y244" i="9"/>
  <c r="Y296" i="9"/>
  <c r="Y461" i="9"/>
  <c r="Y187" i="9"/>
  <c r="Y188" i="9"/>
  <c r="Y189" i="9"/>
  <c r="Y190" i="9"/>
  <c r="Y191" i="9"/>
  <c r="Y192" i="9"/>
  <c r="Y193" i="9"/>
  <c r="Y194" i="9"/>
  <c r="Y195" i="9"/>
  <c r="Y196" i="9"/>
  <c r="Y197" i="9"/>
  <c r="Y198" i="9"/>
  <c r="Y199" i="9"/>
  <c r="Y200" i="9"/>
  <c r="Y201" i="9"/>
  <c r="Y202" i="9"/>
  <c r="Y428" i="9"/>
  <c r="Y442" i="9"/>
  <c r="Y449" i="9"/>
  <c r="Y478" i="9"/>
  <c r="Y488" i="9"/>
  <c r="Y203" i="9"/>
  <c r="Y204" i="9"/>
  <c r="Y205" i="9"/>
  <c r="Y206" i="9"/>
  <c r="Y207" i="9"/>
  <c r="Y208" i="9"/>
  <c r="Y209" i="9"/>
  <c r="Y210" i="9"/>
  <c r="Y211" i="9"/>
  <c r="Y212" i="9"/>
  <c r="Y213" i="9"/>
  <c r="Y214" i="9"/>
  <c r="Y215" i="9"/>
  <c r="Y216" i="9"/>
  <c r="Y217" i="9"/>
  <c r="Y218" i="9"/>
  <c r="Y219" i="9"/>
  <c r="Y220" i="9"/>
  <c r="Y221" i="9"/>
  <c r="Y222" i="9"/>
  <c r="Y247" i="9"/>
  <c r="Y248" i="9"/>
  <c r="Y249" i="9"/>
  <c r="Y250" i="9"/>
  <c r="Y251" i="9"/>
  <c r="Y252" i="9"/>
  <c r="Y253" i="9"/>
  <c r="Y254" i="9"/>
  <c r="Y255" i="9"/>
  <c r="Y256" i="9"/>
  <c r="Y257" i="9"/>
  <c r="Y258" i="9"/>
  <c r="Y259" i="9"/>
  <c r="Y260" i="9"/>
  <c r="Y261" i="9"/>
  <c r="Y262" i="9"/>
  <c r="Y263" i="9"/>
  <c r="Y264" i="9"/>
  <c r="Y265" i="9"/>
  <c r="Y266" i="9"/>
  <c r="Y267" i="9"/>
  <c r="Y268" i="9"/>
  <c r="Y269" i="9"/>
  <c r="Y270" i="9"/>
  <c r="Y271" i="9"/>
  <c r="Y272" i="9"/>
  <c r="Y273" i="9"/>
  <c r="Y274" i="9"/>
  <c r="Y275" i="9"/>
  <c r="Y276" i="9"/>
  <c r="Y277" i="9"/>
  <c r="Y278" i="9"/>
  <c r="Y279" i="9"/>
  <c r="Y300" i="9"/>
  <c r="Y301" i="9"/>
  <c r="Y302" i="9"/>
  <c r="Y303" i="9"/>
  <c r="Y304" i="9"/>
  <c r="Y305" i="9"/>
  <c r="Y306" i="9"/>
  <c r="Y307" i="9"/>
  <c r="Y308" i="9"/>
  <c r="Y309" i="9"/>
  <c r="Y310" i="9"/>
  <c r="Y311" i="9"/>
  <c r="Y312" i="9"/>
  <c r="Y313" i="9"/>
  <c r="Y314" i="9"/>
  <c r="Y315" i="9"/>
  <c r="Y316" i="9"/>
  <c r="Y317" i="9"/>
  <c r="Y318" i="9"/>
  <c r="Y319" i="9"/>
  <c r="Y349" i="9"/>
  <c r="Y336" i="9"/>
  <c r="Y361" i="9"/>
  <c r="Y368" i="9"/>
  <c r="Y376" i="9"/>
  <c r="Y383" i="9"/>
  <c r="Y393" i="9"/>
  <c r="Y422" i="9"/>
  <c r="Y440" i="9"/>
  <c r="Y483" i="9"/>
  <c r="Y321" i="9"/>
  <c r="Y322" i="9"/>
  <c r="Y323" i="9"/>
  <c r="Y324" i="9"/>
  <c r="Y325" i="9"/>
  <c r="Y298" i="9"/>
  <c r="Y406" i="9"/>
  <c r="Y407" i="9"/>
  <c r="Y354" i="9"/>
  <c r="Y405" i="9"/>
  <c r="Y408" i="9"/>
  <c r="Y410" i="9"/>
  <c r="Y246" i="9"/>
  <c r="Y299" i="9"/>
  <c r="Y351" i="9"/>
  <c r="Y223" i="9"/>
  <c r="Y227" i="9"/>
  <c r="Y226" i="9"/>
  <c r="Y228" i="9"/>
  <c r="Y282" i="9"/>
  <c r="Y231" i="9"/>
  <c r="Y284" i="9"/>
  <c r="Y285" i="9"/>
  <c r="Y233" i="9"/>
  <c r="Y171" i="9"/>
  <c r="Y235" i="9"/>
  <c r="Y397" i="9"/>
  <c r="Y454" i="9"/>
  <c r="Y172" i="9"/>
  <c r="Y237" i="9"/>
  <c r="Y174" i="9"/>
  <c r="Y122" i="9"/>
  <c r="Y290" i="9"/>
  <c r="Y456" i="9"/>
  <c r="Y326" i="9"/>
  <c r="Y129" i="9"/>
  <c r="Y176" i="9"/>
  <c r="Y400" i="9"/>
  <c r="Y136" i="9"/>
  <c r="Y292" i="9"/>
  <c r="Y241" i="9"/>
  <c r="Y178" i="9"/>
  <c r="Y348" i="9"/>
  <c r="Y154" i="9"/>
  <c r="Y157" i="9"/>
  <c r="Y403" i="9"/>
  <c r="Y161" i="9"/>
  <c r="Y359" i="9"/>
  <c r="Y369" i="9"/>
  <c r="Y378" i="9"/>
  <c r="Y390" i="9"/>
  <c r="Y417" i="9"/>
  <c r="Y424" i="9"/>
  <c r="Y437" i="9"/>
  <c r="Y445" i="9"/>
  <c r="Y452" i="9"/>
  <c r="Y327" i="9"/>
  <c r="Y328" i="9"/>
  <c r="Y286" i="9"/>
  <c r="Y123" i="9"/>
  <c r="Y126" i="9"/>
  <c r="Y239" i="9"/>
  <c r="Y291" i="9"/>
  <c r="Y133" i="9"/>
  <c r="Y137" i="9"/>
  <c r="Y347" i="9"/>
  <c r="Y458" i="9"/>
  <c r="Y144" i="9"/>
  <c r="Y147" i="9"/>
  <c r="Y459" i="9"/>
  <c r="Y242" i="9"/>
  <c r="Y158" i="9"/>
  <c r="Y160" i="9"/>
  <c r="Y333" i="9"/>
  <c r="Y371" i="9"/>
  <c r="Y379" i="9"/>
  <c r="Y419" i="9"/>
  <c r="Y429" i="9"/>
  <c r="Y438" i="9"/>
  <c r="Y447" i="9"/>
  <c r="Y479" i="9"/>
  <c r="Y491" i="9"/>
  <c r="Y329" i="9"/>
  <c r="Y337" i="9"/>
  <c r="Y367" i="9"/>
  <c r="Y374" i="9"/>
  <c r="Y381" i="9"/>
  <c r="Y388" i="9"/>
  <c r="Y415" i="9"/>
  <c r="Y426" i="9"/>
  <c r="Y435" i="9"/>
  <c r="Y401" i="9"/>
  <c r="Y152" i="9"/>
  <c r="Y460" i="9"/>
  <c r="Y330" i="9"/>
  <c r="Y358" i="9"/>
  <c r="Y365" i="9"/>
  <c r="Y382" i="9"/>
  <c r="Y392" i="9"/>
  <c r="Y427" i="9"/>
  <c r="Y436" i="9"/>
  <c r="Y480" i="9"/>
  <c r="Y487" i="9"/>
  <c r="Y441" i="9"/>
  <c r="Y481" i="9"/>
  <c r="Y490" i="9"/>
  <c r="Y360" i="9"/>
  <c r="Y355" i="9"/>
  <c r="Y245" i="9"/>
  <c r="Y320" i="9"/>
  <c r="Y166" i="9"/>
  <c r="Y167" i="9"/>
  <c r="Y168" i="9"/>
  <c r="Y338" i="9"/>
  <c r="Y229" i="9"/>
  <c r="Y230" i="9"/>
  <c r="Y232" i="9"/>
  <c r="Y340" i="9"/>
  <c r="Y170" i="9"/>
  <c r="Y234" i="9"/>
  <c r="Y287" i="9"/>
  <c r="Y453" i="9"/>
  <c r="Y236" i="9"/>
  <c r="Y288" i="9"/>
  <c r="Y398" i="9"/>
  <c r="Y121" i="9"/>
  <c r="Y345" i="9"/>
  <c r="Y124" i="9"/>
  <c r="Y175" i="9"/>
  <c r="Y128" i="9"/>
  <c r="Y399" i="9"/>
  <c r="Y131" i="9"/>
  <c r="Y457" i="9"/>
  <c r="Y240" i="9"/>
  <c r="Y138" i="9"/>
  <c r="Y140" i="9"/>
  <c r="Y143" i="9"/>
  <c r="Y146" i="9"/>
  <c r="Y149" i="9"/>
  <c r="Y151" i="9"/>
  <c r="Y179" i="9"/>
  <c r="Y180" i="9"/>
  <c r="Y162" i="9"/>
  <c r="Y331" i="9"/>
  <c r="Y335" i="9"/>
  <c r="Y362" i="9"/>
  <c r="Y370" i="9"/>
  <c r="Y384" i="9"/>
  <c r="Y389" i="9"/>
  <c r="Y414" i="9"/>
  <c r="Y420" i="9"/>
  <c r="Y431" i="9"/>
  <c r="Y450" i="9"/>
  <c r="Y482" i="9"/>
  <c r="Y372" i="9"/>
  <c r="Y391" i="9"/>
  <c r="Y289" i="9"/>
  <c r="Y134" i="9"/>
  <c r="Y177" i="9"/>
  <c r="Y141" i="9"/>
  <c r="Y145" i="9"/>
  <c r="Y402" i="9"/>
  <c r="Y153" i="9"/>
  <c r="Y294" i="9"/>
  <c r="Y159" i="9"/>
  <c r="Y334" i="9"/>
  <c r="Y366" i="9"/>
  <c r="Y377" i="9"/>
  <c r="Y385" i="9"/>
  <c r="Y394" i="9"/>
  <c r="Y418" i="9"/>
  <c r="Y430" i="9"/>
  <c r="Y443" i="9"/>
  <c r="Y476" i="9"/>
  <c r="Y486" i="9"/>
  <c r="Y416" i="9"/>
  <c r="Y425" i="9"/>
  <c r="Y432" i="9"/>
  <c r="Y439" i="9"/>
  <c r="Y446" i="9"/>
  <c r="Y353" i="9"/>
  <c r="Y411" i="9"/>
  <c r="Y409" i="9"/>
  <c r="Y224" i="9"/>
  <c r="Y297" i="9"/>
  <c r="Y352" i="9"/>
  <c r="Y225" i="9"/>
  <c r="Y280" i="9"/>
  <c r="Y281" i="9"/>
  <c r="Y169" i="9"/>
  <c r="Y339" i="9"/>
  <c r="Y283" i="9"/>
  <c r="Y395" i="9"/>
  <c r="Y341" i="9"/>
  <c r="Y342" i="9"/>
  <c r="Y396" i="9"/>
  <c r="Y173" i="9"/>
  <c r="Y343" i="9"/>
  <c r="Y455" i="9"/>
  <c r="Y344" i="9"/>
  <c r="Y238" i="9"/>
  <c r="Y125" i="9"/>
  <c r="Y127" i="9"/>
  <c r="Y346" i="9"/>
  <c r="Y132" i="9"/>
  <c r="Y135" i="9"/>
  <c r="Y139" i="9"/>
  <c r="Y142" i="9"/>
  <c r="Y293" i="9"/>
  <c r="Y150" i="9"/>
  <c r="Y155" i="9"/>
  <c r="Y295" i="9"/>
  <c r="Y332" i="9"/>
  <c r="Y357" i="9"/>
  <c r="Y364" i="9"/>
  <c r="Y375" i="9"/>
  <c r="Y380" i="9"/>
  <c r="Y387" i="9"/>
  <c r="Y421" i="9"/>
  <c r="Y433" i="9"/>
  <c r="Y444" i="9"/>
  <c r="Y451" i="9"/>
  <c r="Y485" i="9"/>
  <c r="Y493" i="9"/>
  <c r="Y484" i="9"/>
  <c r="Y489" i="9"/>
  <c r="Y130" i="9"/>
  <c r="AT383" i="9"/>
  <c r="AW382" i="9"/>
  <c r="AT257" i="9"/>
  <c r="AW256" i="9"/>
  <c r="AW312" i="9"/>
  <c r="AT313" i="9"/>
  <c r="AT243" i="9"/>
  <c r="AW242" i="9"/>
  <c r="O466" i="9"/>
  <c r="L467" i="9"/>
  <c r="AE276" i="9"/>
  <c r="AF276" i="9" s="1"/>
  <c r="AF277" i="9" s="1"/>
  <c r="AF278" i="9" s="1"/>
  <c r="AF279" i="9" s="1"/>
  <c r="AF280" i="9" s="1"/>
  <c r="AF281" i="9" s="1"/>
  <c r="AF282" i="9" s="1"/>
  <c r="AE271" i="9"/>
  <c r="AE272" i="9" s="1"/>
  <c r="AE273" i="9" s="1"/>
  <c r="AE274" i="9" s="1"/>
  <c r="AE275" i="9" s="1"/>
  <c r="AF270" i="9"/>
  <c r="AF271" i="9" s="1"/>
  <c r="AF272" i="9" s="1"/>
  <c r="AF273" i="9" s="1"/>
  <c r="AF274" i="9" s="1"/>
  <c r="AF275" i="9" s="1"/>
  <c r="AE318" i="9"/>
  <c r="AF318" i="9" s="1"/>
  <c r="AF319" i="9" s="1"/>
  <c r="AF320" i="9" s="1"/>
  <c r="AF321" i="9" s="1"/>
  <c r="AF322" i="9" s="1"/>
  <c r="AF323" i="9" s="1"/>
  <c r="AF324" i="9" s="1"/>
  <c r="AE313" i="9"/>
  <c r="AE314" i="9" s="1"/>
  <c r="AE315" i="9" s="1"/>
  <c r="AE316" i="9" s="1"/>
  <c r="AE317" i="9" s="1"/>
  <c r="AF312" i="9"/>
  <c r="AF313" i="9" s="1"/>
  <c r="AF314" i="9" s="1"/>
  <c r="AF315" i="9" s="1"/>
  <c r="AF316" i="9" s="1"/>
  <c r="AF317" i="9" s="1"/>
  <c r="AT292" i="9"/>
  <c r="AW291" i="9"/>
  <c r="G214" i="9"/>
  <c r="G223" i="9"/>
  <c r="L292" i="9"/>
  <c r="O291" i="9"/>
  <c r="O445" i="9"/>
  <c r="L446" i="9"/>
  <c r="O460" i="9"/>
  <c r="L461" i="9"/>
  <c r="AE304" i="9"/>
  <c r="AF304" i="9" s="1"/>
  <c r="AF305" i="9" s="1"/>
  <c r="AF306" i="9" s="1"/>
  <c r="AF307" i="9" s="1"/>
  <c r="AF308" i="9" s="1"/>
  <c r="AF309" i="9" s="1"/>
  <c r="AF310" i="9" s="1"/>
  <c r="AE299" i="9"/>
  <c r="AE300" i="9" s="1"/>
  <c r="AE301" i="9" s="1"/>
  <c r="AE302" i="9" s="1"/>
  <c r="AE303" i="9" s="1"/>
  <c r="AF298" i="9"/>
  <c r="AF299" i="9" s="1"/>
  <c r="AF300" i="9" s="1"/>
  <c r="AF301" i="9" s="1"/>
  <c r="AF302" i="9" s="1"/>
  <c r="AF303" i="9" s="1"/>
  <c r="AD254" i="9"/>
  <c r="AG254" i="9" s="1"/>
  <c r="AD252" i="9"/>
  <c r="AG252" i="9" s="1"/>
  <c r="AD251" i="9"/>
  <c r="AG251" i="9" s="1"/>
  <c r="AD250" i="9"/>
  <c r="AG250" i="9" s="1"/>
  <c r="AD255" i="9"/>
  <c r="AG255" i="9" s="1"/>
  <c r="AD253" i="9"/>
  <c r="AG253" i="9" s="1"/>
  <c r="AG249" i="9"/>
  <c r="L439" i="9"/>
  <c r="O438" i="9"/>
  <c r="L266" i="9"/>
  <c r="O265" i="9"/>
  <c r="O277" i="9"/>
  <c r="L278" i="9"/>
  <c r="L271" i="9"/>
  <c r="O270" i="9"/>
  <c r="M274" i="9"/>
  <c r="M275" i="9" s="1"/>
  <c r="M276" i="9" s="1"/>
  <c r="N452" i="9" a="1"/>
  <c r="N453" i="9" s="1"/>
  <c r="N454" i="9" s="1"/>
  <c r="N455" i="9" s="1"/>
  <c r="N456" i="9" s="1"/>
  <c r="N457" i="9" s="1"/>
  <c r="N458" i="9" s="1"/>
  <c r="AG326" i="9"/>
  <c r="AD327" i="9"/>
  <c r="AG327" i="9" s="1"/>
  <c r="AU432" i="9"/>
  <c r="AU433" i="9" s="1"/>
  <c r="AU434" i="9" s="1"/>
  <c r="AU435" i="9" s="1"/>
  <c r="AU436" i="9" s="1"/>
  <c r="AU437" i="9" s="1"/>
  <c r="AV431" i="9"/>
  <c r="AV432" i="9" s="1"/>
  <c r="AV433" i="9" s="1"/>
  <c r="AV434" i="9" s="1"/>
  <c r="AV435" i="9" s="1"/>
  <c r="AV436" i="9" s="1"/>
  <c r="AV437" i="9" s="1"/>
  <c r="AE397" i="9"/>
  <c r="AE398" i="9" s="1"/>
  <c r="AE399" i="9" s="1"/>
  <c r="AE400" i="9" s="1"/>
  <c r="AE401" i="9" s="1"/>
  <c r="AE402" i="9"/>
  <c r="AF402" i="9" s="1"/>
  <c r="AF403" i="9" s="1"/>
  <c r="AF404" i="9" s="1"/>
  <c r="AF405" i="9" s="1"/>
  <c r="AF406" i="9" s="1"/>
  <c r="AF407" i="9" s="1"/>
  <c r="AF408" i="9" s="1"/>
  <c r="AF396" i="9"/>
  <c r="AF397" i="9" s="1"/>
  <c r="AF398" i="9" s="1"/>
  <c r="AF399" i="9" s="1"/>
  <c r="AF400" i="9" s="1"/>
  <c r="AF401" i="9" s="1"/>
  <c r="AG403" i="9"/>
  <c r="AD407" i="9"/>
  <c r="AG407" i="9" s="1"/>
  <c r="AD409" i="9"/>
  <c r="AG409" i="9" s="1"/>
  <c r="AD406" i="9"/>
  <c r="AG406" i="9" s="1"/>
  <c r="AD404" i="9"/>
  <c r="AG404" i="9" s="1"/>
  <c r="AD405" i="9"/>
  <c r="AG405" i="9" s="1"/>
  <c r="AD408" i="9"/>
  <c r="AG408" i="9" s="1"/>
  <c r="AD427" i="9"/>
  <c r="AG427" i="9" s="1"/>
  <c r="AD428" i="9"/>
  <c r="AG428" i="9" s="1"/>
  <c r="AD426" i="9"/>
  <c r="AG426" i="9" s="1"/>
  <c r="AD425" i="9"/>
  <c r="AG425" i="9" s="1"/>
  <c r="AD429" i="9"/>
  <c r="AG429" i="9" s="1"/>
  <c r="AD430" i="9"/>
  <c r="AG430" i="9" s="1"/>
  <c r="AE453" i="9"/>
  <c r="AE454" i="9" s="1"/>
  <c r="AE455" i="9" s="1"/>
  <c r="AE456" i="9" s="1"/>
  <c r="AE457" i="9" s="1"/>
  <c r="AF452" i="9"/>
  <c r="AF453" i="9" s="1"/>
  <c r="AF454" i="9" s="1"/>
  <c r="AF455" i="9" s="1"/>
  <c r="AF456" i="9" s="1"/>
  <c r="AF457" i="9" s="1"/>
  <c r="AE458" i="9"/>
  <c r="AF458" i="9" s="1"/>
  <c r="AF459" i="9" s="1"/>
  <c r="AF460" i="9" s="1"/>
  <c r="AF461" i="9" s="1"/>
  <c r="AF462" i="9" s="1"/>
  <c r="AF463" i="9" s="1"/>
  <c r="AF464" i="9" s="1"/>
  <c r="AE243" i="9"/>
  <c r="AE244" i="9" s="1"/>
  <c r="AE245" i="9" s="1"/>
  <c r="AE246" i="9" s="1"/>
  <c r="AE247" i="9" s="1"/>
  <c r="AE248" i="9"/>
  <c r="AF248" i="9" s="1"/>
  <c r="AF249" i="9" s="1"/>
  <c r="AF250" i="9" s="1"/>
  <c r="AF251" i="9" s="1"/>
  <c r="AF252" i="9" s="1"/>
  <c r="AF253" i="9" s="1"/>
  <c r="AF254" i="9" s="1"/>
  <c r="AF242" i="9"/>
  <c r="AF243" i="9" s="1"/>
  <c r="AF244" i="9" s="1"/>
  <c r="AF245" i="9" s="1"/>
  <c r="AF246" i="9" s="1"/>
  <c r="AF247" i="9" s="1"/>
  <c r="AD261" i="9"/>
  <c r="AG261" i="9" s="1"/>
  <c r="AD260" i="9"/>
  <c r="AG260" i="9" s="1"/>
  <c r="AD262" i="9"/>
  <c r="AG262" i="9" s="1"/>
  <c r="AD259" i="9"/>
  <c r="AG259" i="9" s="1"/>
  <c r="AD257" i="9"/>
  <c r="AG257" i="9" s="1"/>
  <c r="AD258" i="9"/>
  <c r="AG258" i="9" s="1"/>
  <c r="M246" i="9"/>
  <c r="M247" i="9" s="1"/>
  <c r="M248" i="9" s="1"/>
  <c r="N424" i="9" a="1"/>
  <c r="N425" i="9" s="1"/>
  <c r="N426" i="9" s="1"/>
  <c r="N427" i="9" s="1"/>
  <c r="N428" i="9" s="1"/>
  <c r="N429" i="9" s="1"/>
  <c r="N430" i="9" s="1"/>
  <c r="AE332" i="9"/>
  <c r="AF332" i="9" s="1"/>
  <c r="AF333" i="9" s="1"/>
  <c r="AF334" i="9" s="1"/>
  <c r="AF335" i="9" s="1"/>
  <c r="AF336" i="9" s="1"/>
  <c r="AF337" i="9" s="1"/>
  <c r="AF338" i="9" s="1"/>
  <c r="AE327" i="9"/>
  <c r="AE328" i="9" s="1"/>
  <c r="AE329" i="9" s="1"/>
  <c r="AE330" i="9" s="1"/>
  <c r="AE331" i="9" s="1"/>
  <c r="AF326" i="9"/>
  <c r="AF327" i="9" s="1"/>
  <c r="AF328" i="9" s="1"/>
  <c r="AF329" i="9" s="1"/>
  <c r="AF330" i="9" s="1"/>
  <c r="AF331" i="9" s="1"/>
  <c r="L250" i="9"/>
  <c r="O249" i="9"/>
  <c r="L257" i="9"/>
  <c r="O256" i="9"/>
  <c r="N459" i="9" a="1"/>
  <c r="N460" i="9" s="1"/>
  <c r="N461" i="9" s="1"/>
  <c r="N462" i="9" s="1"/>
  <c r="N463" i="9" s="1"/>
  <c r="N464" i="9" s="1"/>
  <c r="N465" i="9" s="1"/>
  <c r="M281" i="9"/>
  <c r="M282" i="9" s="1"/>
  <c r="M283" i="9" s="1"/>
  <c r="M288" i="9"/>
  <c r="M289" i="9" s="1"/>
  <c r="M290" i="9" s="1"/>
  <c r="N466" i="9" a="1"/>
  <c r="N467" i="9" s="1"/>
  <c r="N468" i="9" s="1"/>
  <c r="N469" i="9" s="1"/>
  <c r="N470" i="9" s="1"/>
  <c r="N471" i="9" s="1"/>
  <c r="N472" i="9" s="1"/>
  <c r="M295" i="9"/>
  <c r="M296" i="9" s="1"/>
  <c r="M297" i="9" s="1"/>
  <c r="N473" i="9" a="1"/>
  <c r="N474" i="9" s="1"/>
  <c r="N475" i="9" s="1"/>
  <c r="N476" i="9" s="1"/>
  <c r="N477" i="9" s="1"/>
  <c r="N478" i="9" s="1"/>
  <c r="N479" i="9" s="1"/>
  <c r="N480" i="9" a="1"/>
  <c r="N481" i="9" s="1"/>
  <c r="N482" i="9" s="1"/>
  <c r="N483" i="9" s="1"/>
  <c r="N484" i="9" s="1"/>
  <c r="N485" i="9" s="1"/>
  <c r="N486" i="9" s="1"/>
  <c r="M302" i="9"/>
  <c r="M303" i="9" s="1"/>
  <c r="M304" i="9" s="1"/>
  <c r="M309" i="9"/>
  <c r="M310" i="9" s="1"/>
  <c r="M311" i="9" s="1"/>
  <c r="N487" i="9" a="1"/>
  <c r="N488" i="9" s="1"/>
  <c r="N489" i="9" s="1"/>
  <c r="N490" i="9" s="1"/>
  <c r="N491" i="9" s="1"/>
  <c r="N492" i="9" s="1"/>
  <c r="N493" i="9" s="1"/>
  <c r="O326" i="9"/>
  <c r="L327" i="9"/>
  <c r="AV228" i="9"/>
  <c r="AV229" i="9" s="1"/>
  <c r="AV230" i="9" s="1"/>
  <c r="AV231" i="9" s="1"/>
  <c r="AV232" i="9" s="1"/>
  <c r="AV233" i="9" s="1"/>
  <c r="AV234" i="9" s="1"/>
  <c r="AU229" i="9"/>
  <c r="AU230" i="9" s="1"/>
  <c r="AU231" i="9" s="1"/>
  <c r="AU232" i="9" s="1"/>
  <c r="AU233" i="9" s="1"/>
  <c r="AU234" i="9" s="1"/>
  <c r="AV235" i="9"/>
  <c r="AV236" i="9" s="1"/>
  <c r="AV237" i="9" s="1"/>
  <c r="AV238" i="9" s="1"/>
  <c r="AV239" i="9" s="1"/>
  <c r="AV240" i="9" s="1"/>
  <c r="AV241" i="9" s="1"/>
  <c r="AU236" i="9"/>
  <c r="AU237" i="9" s="1"/>
  <c r="AU238" i="9" s="1"/>
  <c r="AU239" i="9" s="1"/>
  <c r="AU240" i="9" s="1"/>
  <c r="AU241" i="9" s="1"/>
  <c r="AV242" i="9"/>
  <c r="AV243" i="9" s="1"/>
  <c r="AV244" i="9" s="1"/>
  <c r="AV245" i="9" s="1"/>
  <c r="AV246" i="9" s="1"/>
  <c r="AV247" i="9" s="1"/>
  <c r="AV248" i="9" s="1"/>
  <c r="AU243" i="9"/>
  <c r="AU244" i="9" s="1"/>
  <c r="AU245" i="9" s="1"/>
  <c r="AU246" i="9" s="1"/>
  <c r="AU247" i="9" s="1"/>
  <c r="AU248" i="9" s="1"/>
  <c r="AV291" i="9"/>
  <c r="AV292" i="9" s="1"/>
  <c r="AV293" i="9" s="1"/>
  <c r="AV294" i="9" s="1"/>
  <c r="AV295" i="9" s="1"/>
  <c r="AV296" i="9" s="1"/>
  <c r="AV297" i="9" s="1"/>
  <c r="AU292" i="9"/>
  <c r="AU293" i="9" s="1"/>
  <c r="AU294" i="9" s="1"/>
  <c r="AU295" i="9" s="1"/>
  <c r="AU296" i="9" s="1"/>
  <c r="AU297" i="9" s="1"/>
  <c r="AV375" i="9"/>
  <c r="AV376" i="9" s="1"/>
  <c r="AV377" i="9" s="1"/>
  <c r="AV378" i="9" s="1"/>
  <c r="AV379" i="9" s="1"/>
  <c r="AV380" i="9" s="1"/>
  <c r="AV381" i="9" s="1"/>
  <c r="AU376" i="9"/>
  <c r="AU377" i="9" s="1"/>
  <c r="AU378" i="9" s="1"/>
  <c r="AU379" i="9" s="1"/>
  <c r="AU380" i="9" s="1"/>
  <c r="AU381" i="9" s="1"/>
  <c r="AV417" i="9"/>
  <c r="AV418" i="9" s="1"/>
  <c r="AV419" i="9" s="1"/>
  <c r="AV420" i="9" s="1"/>
  <c r="AV421" i="9" s="1"/>
  <c r="AV422" i="9" s="1"/>
  <c r="AV423" i="9" s="1"/>
  <c r="AU418" i="9"/>
  <c r="AU419" i="9" s="1"/>
  <c r="AU420" i="9" s="1"/>
  <c r="AU421" i="9" s="1"/>
  <c r="AU422" i="9" s="1"/>
  <c r="AU423" i="9" s="1"/>
  <c r="AU250" i="9"/>
  <c r="AU251" i="9" s="1"/>
  <c r="AU252" i="9" s="1"/>
  <c r="AU253" i="9" s="1"/>
  <c r="AU254" i="9" s="1"/>
  <c r="AU255" i="9" s="1"/>
  <c r="AV249" i="9"/>
  <c r="AV250" i="9" s="1"/>
  <c r="AV251" i="9" s="1"/>
  <c r="AV252" i="9" s="1"/>
  <c r="AV253" i="9" s="1"/>
  <c r="AV254" i="9" s="1"/>
  <c r="AV255" i="9" s="1"/>
  <c r="AW249" i="9"/>
  <c r="AT250" i="9"/>
  <c r="AU257" i="9"/>
  <c r="AU258" i="9" s="1"/>
  <c r="AU259" i="9" s="1"/>
  <c r="AU260" i="9" s="1"/>
  <c r="AU261" i="9" s="1"/>
  <c r="AU262" i="9" s="1"/>
  <c r="AV256" i="9"/>
  <c r="AV257" i="9" s="1"/>
  <c r="AV258" i="9" s="1"/>
  <c r="AV259" i="9" s="1"/>
  <c r="AV260" i="9" s="1"/>
  <c r="AV261" i="9" s="1"/>
  <c r="AV262" i="9" s="1"/>
  <c r="AU264" i="9"/>
  <c r="AU265" i="9" s="1"/>
  <c r="AU266" i="9" s="1"/>
  <c r="AU267" i="9" s="1"/>
  <c r="AU268" i="9" s="1"/>
  <c r="AU269" i="9" s="1"/>
  <c r="AV263" i="9"/>
  <c r="AV264" i="9" s="1"/>
  <c r="AV265" i="9" s="1"/>
  <c r="AV266" i="9" s="1"/>
  <c r="AV267" i="9" s="1"/>
  <c r="AV268" i="9" s="1"/>
  <c r="AV269" i="9" s="1"/>
  <c r="AU271" i="9"/>
  <c r="AU272" i="9" s="1"/>
  <c r="AU273" i="9" s="1"/>
  <c r="AU274" i="9" s="1"/>
  <c r="AU275" i="9" s="1"/>
  <c r="AU276" i="9" s="1"/>
  <c r="AV270" i="9"/>
  <c r="AV271" i="9" s="1"/>
  <c r="AV272" i="9" s="1"/>
  <c r="AV273" i="9" s="1"/>
  <c r="AV274" i="9" s="1"/>
  <c r="AV275" i="9" s="1"/>
  <c r="AV276" i="9" s="1"/>
  <c r="AU278" i="9"/>
  <c r="AU279" i="9" s="1"/>
  <c r="AU280" i="9" s="1"/>
  <c r="AU281" i="9" s="1"/>
  <c r="AU282" i="9" s="1"/>
  <c r="AU283" i="9" s="1"/>
  <c r="AV277" i="9"/>
  <c r="AV278" i="9" s="1"/>
  <c r="AV279" i="9" s="1"/>
  <c r="AV280" i="9" s="1"/>
  <c r="AV281" i="9" s="1"/>
  <c r="AV282" i="9" s="1"/>
  <c r="AV283" i="9" s="1"/>
  <c r="AV284" i="9"/>
  <c r="AV285" i="9" s="1"/>
  <c r="AV286" i="9" s="1"/>
  <c r="AV287" i="9" s="1"/>
  <c r="AV288" i="9" s="1"/>
  <c r="AV289" i="9" s="1"/>
  <c r="AV290" i="9" s="1"/>
  <c r="AU285" i="9"/>
  <c r="AU286" i="9" s="1"/>
  <c r="AU287" i="9" s="1"/>
  <c r="AU288" i="9" s="1"/>
  <c r="AU289" i="9" s="1"/>
  <c r="AU290" i="9" s="1"/>
  <c r="AV410" i="9"/>
  <c r="AV411" i="9" s="1"/>
  <c r="AV412" i="9" s="1"/>
  <c r="AV413" i="9" s="1"/>
  <c r="AV414" i="9" s="1"/>
  <c r="AV415" i="9" s="1"/>
  <c r="AV416" i="9" s="1"/>
  <c r="AU411" i="9"/>
  <c r="AU412" i="9" s="1"/>
  <c r="AU413" i="9" s="1"/>
  <c r="AU414" i="9" s="1"/>
  <c r="AU415" i="9" s="1"/>
  <c r="AU416" i="9" s="1"/>
  <c r="AV424" i="9"/>
  <c r="AV425" i="9" s="1"/>
  <c r="AV426" i="9" s="1"/>
  <c r="AV427" i="9" s="1"/>
  <c r="AV428" i="9" s="1"/>
  <c r="AV429" i="9" s="1"/>
  <c r="AV430" i="9" s="1"/>
  <c r="AU425" i="9"/>
  <c r="AU426" i="9" s="1"/>
  <c r="AU427" i="9" s="1"/>
  <c r="AU428" i="9" s="1"/>
  <c r="AU429" i="9" s="1"/>
  <c r="AU430" i="9" s="1"/>
  <c r="AV298" i="9"/>
  <c r="AV299" i="9" s="1"/>
  <c r="AV300" i="9" s="1"/>
  <c r="AV301" i="9" s="1"/>
  <c r="AV302" i="9" s="1"/>
  <c r="AV303" i="9" s="1"/>
  <c r="AV304" i="9" s="1"/>
  <c r="AU299" i="9"/>
  <c r="AU300" i="9" s="1"/>
  <c r="AU301" i="9" s="1"/>
  <c r="AU302" i="9" s="1"/>
  <c r="AU303" i="9" s="1"/>
  <c r="AU304" i="9" s="1"/>
  <c r="AW298" i="9"/>
  <c r="AT299" i="9"/>
  <c r="AV305" i="9"/>
  <c r="AV306" i="9" s="1"/>
  <c r="AV307" i="9" s="1"/>
  <c r="AV308" i="9" s="1"/>
  <c r="AV309" i="9" s="1"/>
  <c r="AV310" i="9" s="1"/>
  <c r="AV311" i="9" s="1"/>
  <c r="AU306" i="9"/>
  <c r="AU307" i="9" s="1"/>
  <c r="AU308" i="9" s="1"/>
  <c r="AU309" i="9" s="1"/>
  <c r="AU310" i="9" s="1"/>
  <c r="AU311" i="9" s="1"/>
  <c r="AV312" i="9"/>
  <c r="AV313" i="9" s="1"/>
  <c r="AV314" i="9" s="1"/>
  <c r="AV315" i="9" s="1"/>
  <c r="AV316" i="9" s="1"/>
  <c r="AV317" i="9" s="1"/>
  <c r="AV318" i="9" s="1"/>
  <c r="AU313" i="9"/>
  <c r="AU314" i="9" s="1"/>
  <c r="AU315" i="9" s="1"/>
  <c r="AU316" i="9" s="1"/>
  <c r="AU317" i="9" s="1"/>
  <c r="AU318" i="9" s="1"/>
  <c r="AU320" i="9"/>
  <c r="AU321" i="9" s="1"/>
  <c r="AU322" i="9" s="1"/>
  <c r="AU323" i="9" s="1"/>
  <c r="AU324" i="9" s="1"/>
  <c r="AU325" i="9" s="1"/>
  <c r="AV319" i="9"/>
  <c r="AV320" i="9" s="1"/>
  <c r="AV321" i="9" s="1"/>
  <c r="AV322" i="9" s="1"/>
  <c r="AV323" i="9" s="1"/>
  <c r="AV324" i="9" s="1"/>
  <c r="AV325" i="9" s="1"/>
  <c r="AU327" i="9"/>
  <c r="AU328" i="9" s="1"/>
  <c r="AU329" i="9" s="1"/>
  <c r="AU330" i="9" s="1"/>
  <c r="AU331" i="9" s="1"/>
  <c r="AU332" i="9" s="1"/>
  <c r="AV326" i="9"/>
  <c r="AV327" i="9" s="1"/>
  <c r="AV328" i="9" s="1"/>
  <c r="AV329" i="9" s="1"/>
  <c r="AV330" i="9" s="1"/>
  <c r="AV331" i="9" s="1"/>
  <c r="AV332" i="9" s="1"/>
  <c r="AU334" i="9"/>
  <c r="AU335" i="9" s="1"/>
  <c r="AU336" i="9" s="1"/>
  <c r="AU337" i="9" s="1"/>
  <c r="AU338" i="9" s="1"/>
  <c r="AU339" i="9" s="1"/>
  <c r="AV333" i="9"/>
  <c r="AV334" i="9" s="1"/>
  <c r="AV335" i="9" s="1"/>
  <c r="AV336" i="9" s="1"/>
  <c r="AV337" i="9" s="1"/>
  <c r="AV338" i="9" s="1"/>
  <c r="AV339" i="9" s="1"/>
  <c r="AV340" i="9"/>
  <c r="AV341" i="9" s="1"/>
  <c r="AV342" i="9" s="1"/>
  <c r="AV343" i="9" s="1"/>
  <c r="AV344" i="9" s="1"/>
  <c r="AV345" i="9" s="1"/>
  <c r="AV346" i="9" s="1"/>
  <c r="AU341" i="9"/>
  <c r="AU342" i="9" s="1"/>
  <c r="AU343" i="9" s="1"/>
  <c r="AU344" i="9" s="1"/>
  <c r="AU345" i="9" s="1"/>
  <c r="AU346" i="9" s="1"/>
  <c r="AW340" i="9"/>
  <c r="AT341" i="9"/>
  <c r="AV347" i="9"/>
  <c r="AV348" i="9" s="1"/>
  <c r="AV349" i="9" s="1"/>
  <c r="AV350" i="9" s="1"/>
  <c r="AV351" i="9" s="1"/>
  <c r="AV352" i="9" s="1"/>
  <c r="AV353" i="9" s="1"/>
  <c r="AU348" i="9"/>
  <c r="AU349" i="9" s="1"/>
  <c r="AU350" i="9" s="1"/>
  <c r="AU351" i="9" s="1"/>
  <c r="AU352" i="9" s="1"/>
  <c r="AU353" i="9" s="1"/>
  <c r="AU355" i="9"/>
  <c r="AU356" i="9" s="1"/>
  <c r="AU357" i="9" s="1"/>
  <c r="AU358" i="9" s="1"/>
  <c r="AU359" i="9" s="1"/>
  <c r="AU360" i="9" s="1"/>
  <c r="AV354" i="9"/>
  <c r="AV355" i="9" s="1"/>
  <c r="AV356" i="9" s="1"/>
  <c r="AV357" i="9" s="1"/>
  <c r="AV358" i="9" s="1"/>
  <c r="AV359" i="9" s="1"/>
  <c r="AV360" i="9" s="1"/>
  <c r="AV361" i="9"/>
  <c r="AV362" i="9" s="1"/>
  <c r="AV363" i="9" s="1"/>
  <c r="AV364" i="9" s="1"/>
  <c r="AV365" i="9" s="1"/>
  <c r="AV366" i="9" s="1"/>
  <c r="AV367" i="9" s="1"/>
  <c r="AU362" i="9"/>
  <c r="AU363" i="9" s="1"/>
  <c r="AU364" i="9" s="1"/>
  <c r="AU365" i="9" s="1"/>
  <c r="AU366" i="9" s="1"/>
  <c r="AU367" i="9" s="1"/>
  <c r="AV368" i="9"/>
  <c r="AV369" i="9" s="1"/>
  <c r="AV370" i="9" s="1"/>
  <c r="AV371" i="9" s="1"/>
  <c r="AV372" i="9" s="1"/>
  <c r="AV373" i="9" s="1"/>
  <c r="AV374" i="9" s="1"/>
  <c r="AU369" i="9"/>
  <c r="AU370" i="9" s="1"/>
  <c r="AU371" i="9" s="1"/>
  <c r="AU372" i="9" s="1"/>
  <c r="AU373" i="9" s="1"/>
  <c r="AU374" i="9" s="1"/>
  <c r="AU383" i="9"/>
  <c r="AU384" i="9" s="1"/>
  <c r="AU385" i="9" s="1"/>
  <c r="AU386" i="9" s="1"/>
  <c r="AU387" i="9" s="1"/>
  <c r="AU388" i="9" s="1"/>
  <c r="AV382" i="9"/>
  <c r="AV383" i="9" s="1"/>
  <c r="AV384" i="9" s="1"/>
  <c r="AV385" i="9" s="1"/>
  <c r="AV386" i="9" s="1"/>
  <c r="AV387" i="9" s="1"/>
  <c r="AV388" i="9" s="1"/>
  <c r="AW389" i="9"/>
  <c r="AT390" i="9"/>
  <c r="AV389" i="9"/>
  <c r="AV390" i="9" s="1"/>
  <c r="AV391" i="9" s="1"/>
  <c r="AV392" i="9" s="1"/>
  <c r="AV393" i="9" s="1"/>
  <c r="AV394" i="9" s="1"/>
  <c r="AV395" i="9" s="1"/>
  <c r="AU390" i="9"/>
  <c r="AU391" i="9" s="1"/>
  <c r="AU392" i="9" s="1"/>
  <c r="AU393" i="9" s="1"/>
  <c r="AU394" i="9" s="1"/>
  <c r="AU395" i="9" s="1"/>
  <c r="AV396" i="9"/>
  <c r="AV397" i="9" s="1"/>
  <c r="AV398" i="9" s="1"/>
  <c r="AV399" i="9" s="1"/>
  <c r="AV400" i="9" s="1"/>
  <c r="AV401" i="9" s="1"/>
  <c r="AV402" i="9" s="1"/>
  <c r="AU397" i="9"/>
  <c r="AU398" i="9" s="1"/>
  <c r="AU399" i="9" s="1"/>
  <c r="AU400" i="9" s="1"/>
  <c r="AU401" i="9" s="1"/>
  <c r="AU402" i="9" s="1"/>
  <c r="AV403" i="9"/>
  <c r="AV404" i="9" s="1"/>
  <c r="AV405" i="9" s="1"/>
  <c r="AV406" i="9" s="1"/>
  <c r="AV407" i="9" s="1"/>
  <c r="AV408" i="9" s="1"/>
  <c r="AV409" i="9" s="1"/>
  <c r="AU404" i="9"/>
  <c r="AU405" i="9" s="1"/>
  <c r="AU406" i="9" s="1"/>
  <c r="AU407" i="9" s="1"/>
  <c r="AU408" i="9" s="1"/>
  <c r="AU409" i="9" s="1"/>
  <c r="AV438" i="9"/>
  <c r="AV439" i="9" s="1"/>
  <c r="AV440" i="9" s="1"/>
  <c r="AV441" i="9" s="1"/>
  <c r="AV442" i="9" s="1"/>
  <c r="AV443" i="9" s="1"/>
  <c r="AV444" i="9" s="1"/>
  <c r="AU439" i="9"/>
  <c r="AU440" i="9" s="1"/>
  <c r="AU441" i="9" s="1"/>
  <c r="AU442" i="9" s="1"/>
  <c r="AU443" i="9" s="1"/>
  <c r="AU444" i="9" s="1"/>
  <c r="AW438" i="9"/>
  <c r="AT439" i="9"/>
  <c r="AV445" i="9"/>
  <c r="AV446" i="9" s="1"/>
  <c r="AV447" i="9" s="1"/>
  <c r="AV448" i="9" s="1"/>
  <c r="AV449" i="9" s="1"/>
  <c r="AV450" i="9" s="1"/>
  <c r="AV451" i="9" s="1"/>
  <c r="AU446" i="9"/>
  <c r="AU447" i="9" s="1"/>
  <c r="AU448" i="9" s="1"/>
  <c r="AU449" i="9" s="1"/>
  <c r="AU450" i="9" s="1"/>
  <c r="AU451" i="9" s="1"/>
  <c r="AV452" i="9"/>
  <c r="AV453" i="9" s="1"/>
  <c r="AV454" i="9" s="1"/>
  <c r="AV455" i="9" s="1"/>
  <c r="AV456" i="9" s="1"/>
  <c r="AV457" i="9" s="1"/>
  <c r="AV458" i="9" s="1"/>
  <c r="AU453" i="9"/>
  <c r="AU454" i="9" s="1"/>
  <c r="AU455" i="9" s="1"/>
  <c r="AU456" i="9" s="1"/>
  <c r="AU457" i="9" s="1"/>
  <c r="AU458" i="9" s="1"/>
  <c r="AV459" i="9"/>
  <c r="AV460" i="9" s="1"/>
  <c r="AV461" i="9" s="1"/>
  <c r="AV462" i="9" s="1"/>
  <c r="AV463" i="9" s="1"/>
  <c r="AV464" i="9" s="1"/>
  <c r="AV465" i="9" s="1"/>
  <c r="AU460" i="9"/>
  <c r="AU461" i="9" s="1"/>
  <c r="AU462" i="9" s="1"/>
  <c r="AU463" i="9" s="1"/>
  <c r="AU464" i="9" s="1"/>
  <c r="AU465" i="9" s="1"/>
  <c r="AV466" i="9"/>
  <c r="AV467" i="9" s="1"/>
  <c r="AV468" i="9" s="1"/>
  <c r="AV469" i="9" s="1"/>
  <c r="AV470" i="9" s="1"/>
  <c r="AV471" i="9" s="1"/>
  <c r="AV472" i="9" s="1"/>
  <c r="AU467" i="9"/>
  <c r="AU468" i="9" s="1"/>
  <c r="AU469" i="9" s="1"/>
  <c r="AU470" i="9" s="1"/>
  <c r="AU471" i="9" s="1"/>
  <c r="AU472" i="9" s="1"/>
  <c r="AV473" i="9"/>
  <c r="AV474" i="9" s="1"/>
  <c r="AV475" i="9" s="1"/>
  <c r="AV476" i="9" s="1"/>
  <c r="AV477" i="9" s="1"/>
  <c r="AV478" i="9" s="1"/>
  <c r="AV479" i="9" s="1"/>
  <c r="AU474" i="9"/>
  <c r="AU475" i="9" s="1"/>
  <c r="AU476" i="9" s="1"/>
  <c r="AU477" i="9" s="1"/>
  <c r="AU478" i="9" s="1"/>
  <c r="AU479" i="9" s="1"/>
  <c r="AV480" i="9"/>
  <c r="AV481" i="9" s="1"/>
  <c r="AV482" i="9" s="1"/>
  <c r="AV483" i="9" s="1"/>
  <c r="AV484" i="9" s="1"/>
  <c r="AV485" i="9" s="1"/>
  <c r="AV486" i="9" s="1"/>
  <c r="AU481" i="9"/>
  <c r="AU482" i="9" s="1"/>
  <c r="AU483" i="9" s="1"/>
  <c r="AU484" i="9" s="1"/>
  <c r="AU485" i="9" s="1"/>
  <c r="AU486" i="9" s="1"/>
  <c r="AV487" i="9"/>
  <c r="AV488" i="9" s="1"/>
  <c r="AV489" i="9" s="1"/>
  <c r="AV490" i="9" s="1"/>
  <c r="AV491" i="9" s="1"/>
  <c r="AV492" i="9" s="1"/>
  <c r="AV493" i="9" s="1"/>
  <c r="AU488" i="9"/>
  <c r="AU489" i="9" s="1"/>
  <c r="AU490" i="9" s="1"/>
  <c r="AU491" i="9" s="1"/>
  <c r="AU492" i="9" s="1"/>
  <c r="AU493" i="9" s="1"/>
  <c r="AW487" i="9"/>
  <c r="AT488" i="9"/>
  <c r="AG368" i="9"/>
  <c r="AD369" i="9"/>
  <c r="AG369" i="9" s="1"/>
  <c r="AD370" i="9"/>
  <c r="AG370" i="9" s="1"/>
  <c r="AD371" i="9"/>
  <c r="AG371" i="9" s="1"/>
  <c r="AD372" i="9"/>
  <c r="AG372" i="9" s="1"/>
  <c r="AD373" i="9"/>
  <c r="AG373" i="9" s="1"/>
  <c r="AD374" i="9"/>
  <c r="AG374" i="9" s="1"/>
  <c r="M253" i="9"/>
  <c r="M254" i="9" s="1"/>
  <c r="M255" i="9" s="1"/>
  <c r="N431" i="9" a="1"/>
  <c r="N432" i="9" s="1"/>
  <c r="N433" i="9" s="1"/>
  <c r="N434" i="9" s="1"/>
  <c r="N435" i="9" s="1"/>
  <c r="N436" i="9" s="1"/>
  <c r="N437" i="9" s="1"/>
  <c r="N438" i="9" a="1"/>
  <c r="N439" i="9" s="1"/>
  <c r="N440" i="9" s="1"/>
  <c r="N441" i="9" s="1"/>
  <c r="N442" i="9" s="1"/>
  <c r="N443" i="9" s="1"/>
  <c r="N444" i="9" s="1"/>
  <c r="M260" i="9"/>
  <c r="M261" i="9" s="1"/>
  <c r="M262" i="9" s="1"/>
  <c r="M267" i="9"/>
  <c r="M268" i="9" s="1"/>
  <c r="M269" i="9" s="1"/>
  <c r="N445" i="9" a="1"/>
  <c r="N446" i="9" s="1"/>
  <c r="N447" i="9" s="1"/>
  <c r="N448" i="9" s="1"/>
  <c r="N449" i="9" s="1"/>
  <c r="N450" i="9" s="1"/>
  <c r="N451" i="9" s="1"/>
  <c r="AT214" i="9"/>
  <c r="AT215" i="9" s="1"/>
  <c r="AT216" i="9" s="1"/>
  <c r="AW216" i="9" s="1"/>
  <c r="AE341" i="9"/>
  <c r="AE342" i="9" s="1"/>
  <c r="AE343" i="9" s="1"/>
  <c r="AE344" i="9" s="1"/>
  <c r="AE345" i="9" s="1"/>
  <c r="AF340" i="9"/>
  <c r="AF341" i="9" s="1"/>
  <c r="AF342" i="9" s="1"/>
  <c r="AF343" i="9" s="1"/>
  <c r="AF344" i="9" s="1"/>
  <c r="AF345" i="9" s="1"/>
  <c r="AE360" i="9"/>
  <c r="AF360" i="9" s="1"/>
  <c r="AF361" i="9" s="1"/>
  <c r="AF362" i="9" s="1"/>
  <c r="AF363" i="9" s="1"/>
  <c r="AF364" i="9" s="1"/>
  <c r="AF365" i="9" s="1"/>
  <c r="AF366" i="9" s="1"/>
  <c r="AE355" i="9"/>
  <c r="AE356" i="9" s="1"/>
  <c r="AE357" i="9" s="1"/>
  <c r="AE358" i="9" s="1"/>
  <c r="AE359" i="9" s="1"/>
  <c r="AF354" i="9"/>
  <c r="AF355" i="9" s="1"/>
  <c r="AF356" i="9" s="1"/>
  <c r="AF357" i="9" s="1"/>
  <c r="AF358" i="9" s="1"/>
  <c r="AF359" i="9" s="1"/>
  <c r="AF480" i="9"/>
  <c r="AF481" i="9" s="1"/>
  <c r="AF482" i="9" s="1"/>
  <c r="AF483" i="9" s="1"/>
  <c r="AF484" i="9" s="1"/>
  <c r="AF485" i="9" s="1"/>
  <c r="AE486" i="9"/>
  <c r="AF486" i="9" s="1"/>
  <c r="AF487" i="9" s="1"/>
  <c r="AF488" i="9" s="1"/>
  <c r="AF489" i="9" s="1"/>
  <c r="AF490" i="9" s="1"/>
  <c r="AF491" i="9" s="1"/>
  <c r="AF492" i="9" s="1"/>
  <c r="AE481" i="9"/>
  <c r="AE482" i="9" s="1"/>
  <c r="AE483" i="9" s="1"/>
  <c r="AE484" i="9" s="1"/>
  <c r="AE485" i="9" s="1"/>
  <c r="AE374" i="9"/>
  <c r="AF374" i="9" s="1"/>
  <c r="AF375" i="9" s="1"/>
  <c r="AF376" i="9" s="1"/>
  <c r="AF377" i="9" s="1"/>
  <c r="AF378" i="9" s="1"/>
  <c r="AF379" i="9" s="1"/>
  <c r="AF380" i="9" s="1"/>
  <c r="AE369" i="9"/>
  <c r="AE370" i="9" s="1"/>
  <c r="AE371" i="9" s="1"/>
  <c r="AE372" i="9" s="1"/>
  <c r="AE373" i="9" s="1"/>
  <c r="AF368" i="9"/>
  <c r="AF369" i="9" s="1"/>
  <c r="AF370" i="9" s="1"/>
  <c r="AF371" i="9" s="1"/>
  <c r="AF372" i="9" s="1"/>
  <c r="AF373" i="9" s="1"/>
  <c r="AE390" i="9"/>
  <c r="AE391" i="9" s="1"/>
  <c r="AE392" i="9" s="1"/>
  <c r="AE393" i="9" s="1"/>
  <c r="AE394" i="9" s="1"/>
  <c r="AE395" i="9"/>
  <c r="AF395" i="9" s="1"/>
  <c r="AE416" i="9"/>
  <c r="AF416" i="9" s="1"/>
  <c r="AF417" i="9" s="1"/>
  <c r="AF418" i="9" s="1"/>
  <c r="AF419" i="9" s="1"/>
  <c r="AF420" i="9" s="1"/>
  <c r="AF421" i="9" s="1"/>
  <c r="AF422" i="9" s="1"/>
  <c r="AE411" i="9"/>
  <c r="AE412" i="9" s="1"/>
  <c r="AE413" i="9" s="1"/>
  <c r="AE414" i="9" s="1"/>
  <c r="AE415" i="9" s="1"/>
  <c r="AF410" i="9"/>
  <c r="AF411" i="9" s="1"/>
  <c r="AF412" i="9" s="1"/>
  <c r="AF413" i="9" s="1"/>
  <c r="AF414" i="9" s="1"/>
  <c r="AF415" i="9" s="1"/>
  <c r="AE472" i="9"/>
  <c r="AF472" i="9" s="1"/>
  <c r="AF473" i="9" s="1"/>
  <c r="AF474" i="9" s="1"/>
  <c r="AF475" i="9" s="1"/>
  <c r="AF476" i="9" s="1"/>
  <c r="AF477" i="9" s="1"/>
  <c r="AF478" i="9" s="1"/>
  <c r="AE467" i="9"/>
  <c r="AE468" i="9" s="1"/>
  <c r="AE469" i="9" s="1"/>
  <c r="AE470" i="9" s="1"/>
  <c r="AE471" i="9" s="1"/>
  <c r="AF466" i="9"/>
  <c r="AF467" i="9" s="1"/>
  <c r="AF468" i="9" s="1"/>
  <c r="AF469" i="9" s="1"/>
  <c r="AF470" i="9" s="1"/>
  <c r="AF471" i="9" s="1"/>
  <c r="L390" i="9"/>
  <c r="O389" i="9"/>
  <c r="L397" i="9"/>
  <c r="O396" i="9"/>
  <c r="M225" i="9"/>
  <c r="M226" i="9" s="1"/>
  <c r="M227" i="9" s="1"/>
  <c r="N403" i="9" a="1"/>
  <c r="N404" i="9" s="1"/>
  <c r="N405" i="9" s="1"/>
  <c r="N406" i="9" s="1"/>
  <c r="N407" i="9" s="1"/>
  <c r="N408" i="9" s="1"/>
  <c r="N409" i="9" s="1"/>
  <c r="AW228" i="9"/>
  <c r="AT229" i="9"/>
  <c r="M204" i="9"/>
  <c r="M205" i="9" s="1"/>
  <c r="M206" i="9" s="1"/>
  <c r="N382" i="9" a="1"/>
  <c r="N383" i="9" s="1"/>
  <c r="N384" i="9" s="1"/>
  <c r="N385" i="9" s="1"/>
  <c r="N386" i="9" s="1"/>
  <c r="N387" i="9" s="1"/>
  <c r="N388" i="9" s="1"/>
  <c r="G212" i="9"/>
  <c r="G213" i="9"/>
  <c r="AG417" i="9"/>
  <c r="AD418" i="9"/>
  <c r="AG418" i="9" s="1"/>
  <c r="AD419" i="9"/>
  <c r="AG419" i="9" s="1"/>
  <c r="AD420" i="9"/>
  <c r="AG420" i="9" s="1"/>
  <c r="AD422" i="9"/>
  <c r="AG422" i="9" s="1"/>
  <c r="AD421" i="9"/>
  <c r="AG421" i="9" s="1"/>
  <c r="AD423" i="9"/>
  <c r="AG423" i="9" s="1"/>
  <c r="AG410" i="9"/>
  <c r="AD411" i="9"/>
  <c r="AG411" i="9" s="1"/>
  <c r="AD412" i="9"/>
  <c r="AG412" i="9" s="1"/>
  <c r="AD413" i="9"/>
  <c r="AG413" i="9" s="1"/>
  <c r="AD414" i="9"/>
  <c r="AG414" i="9" s="1"/>
  <c r="AD415" i="9"/>
  <c r="AG415" i="9" s="1"/>
  <c r="AD416" i="9"/>
  <c r="AG416" i="9" s="1"/>
  <c r="AG396" i="9"/>
  <c r="AD397" i="9"/>
  <c r="AG397" i="9" s="1"/>
  <c r="AD398" i="9"/>
  <c r="AG398" i="9" s="1"/>
  <c r="AD399" i="9"/>
  <c r="AG399" i="9" s="1"/>
  <c r="AD400" i="9"/>
  <c r="AG400" i="9" s="1"/>
  <c r="AD401" i="9"/>
  <c r="AG401" i="9" s="1"/>
  <c r="AD402" i="9"/>
  <c r="AG402" i="9" s="1"/>
  <c r="AF438" i="9"/>
  <c r="AF439" i="9" s="1"/>
  <c r="AF440" i="9" s="1"/>
  <c r="AF441" i="9" s="1"/>
  <c r="AF442" i="9" s="1"/>
  <c r="AF443" i="9" s="1"/>
  <c r="AE439" i="9"/>
  <c r="AE440" i="9" s="1"/>
  <c r="AE441" i="9" s="1"/>
  <c r="AE442" i="9" s="1"/>
  <c r="AE443" i="9" s="1"/>
  <c r="AE444" i="9"/>
  <c r="AF444" i="9" s="1"/>
  <c r="AF445" i="9" s="1"/>
  <c r="AF446" i="9" s="1"/>
  <c r="AF447" i="9" s="1"/>
  <c r="AF448" i="9" s="1"/>
  <c r="AF449" i="9" s="1"/>
  <c r="AF450" i="9" s="1"/>
  <c r="AG452" i="9"/>
  <c r="AD453" i="9"/>
  <c r="AG453" i="9" s="1"/>
  <c r="AD454" i="9"/>
  <c r="AG454" i="9" s="1"/>
  <c r="AD455" i="9"/>
  <c r="AG455" i="9" s="1"/>
  <c r="AD456" i="9"/>
  <c r="AG456" i="9" s="1"/>
  <c r="AD457" i="9"/>
  <c r="AG457" i="9" s="1"/>
  <c r="AD458" i="9"/>
  <c r="AG458" i="9" s="1"/>
  <c r="AE488" i="9"/>
  <c r="AE489" i="9" s="1"/>
  <c r="AE490" i="9" s="1"/>
  <c r="AE491" i="9" s="1"/>
  <c r="AE492" i="9" s="1"/>
  <c r="AE493" i="9"/>
  <c r="AF493" i="9" s="1"/>
  <c r="AD355" i="9"/>
  <c r="AG355" i="9" s="1"/>
  <c r="AD356" i="9"/>
  <c r="AG356" i="9" s="1"/>
  <c r="AD357" i="9"/>
  <c r="AG357" i="9" s="1"/>
  <c r="AD358" i="9"/>
  <c r="AG358" i="9" s="1"/>
  <c r="AD359" i="9"/>
  <c r="AG359" i="9" s="1"/>
  <c r="AD360" i="9"/>
  <c r="AG360" i="9" s="1"/>
  <c r="AG361" i="9"/>
  <c r="AD362" i="9"/>
  <c r="AG362" i="9" s="1"/>
  <c r="AD363" i="9"/>
  <c r="AG363" i="9" s="1"/>
  <c r="AD364" i="9"/>
  <c r="AG364" i="9" s="1"/>
  <c r="AD367" i="9"/>
  <c r="AG367" i="9" s="1"/>
  <c r="AD365" i="9"/>
  <c r="AG365" i="9" s="1"/>
  <c r="AD366" i="9"/>
  <c r="AG366" i="9" s="1"/>
  <c r="AG270" i="9"/>
  <c r="AD271" i="9"/>
  <c r="AG271" i="9" s="1"/>
  <c r="AD272" i="9"/>
  <c r="AG272" i="9" s="1"/>
  <c r="AD273" i="9"/>
  <c r="AG273" i="9" s="1"/>
  <c r="AD274" i="9"/>
  <c r="AG274" i="9" s="1"/>
  <c r="AD275" i="9"/>
  <c r="AG275" i="9" s="1"/>
  <c r="AD276" i="9"/>
  <c r="AG276" i="9" s="1"/>
  <c r="AG263" i="9"/>
  <c r="AD266" i="9"/>
  <c r="AG266" i="9" s="1"/>
  <c r="AD265" i="9"/>
  <c r="AG265" i="9" s="1"/>
  <c r="AD264" i="9"/>
  <c r="AG264" i="9" s="1"/>
  <c r="AD269" i="9"/>
  <c r="AG269" i="9" s="1"/>
  <c r="AD268" i="9"/>
  <c r="AG268" i="9" s="1"/>
  <c r="AD267" i="9"/>
  <c r="AG267" i="9" s="1"/>
  <c r="AG291" i="9"/>
  <c r="AD292" i="9"/>
  <c r="AG292" i="9" s="1"/>
  <c r="AD293" i="9"/>
  <c r="AG293" i="9" s="1"/>
  <c r="AD295" i="9"/>
  <c r="AG295" i="9" s="1"/>
  <c r="AD297" i="9"/>
  <c r="AG297" i="9" s="1"/>
  <c r="AD294" i="9"/>
  <c r="AG294" i="9" s="1"/>
  <c r="AD296" i="9"/>
  <c r="AG296" i="9" s="1"/>
  <c r="AD290" i="9"/>
  <c r="AG290" i="9" s="1"/>
  <c r="AD289" i="9"/>
  <c r="AG289" i="9" s="1"/>
  <c r="AD288" i="9"/>
  <c r="AG288" i="9" s="1"/>
  <c r="AD287" i="9"/>
  <c r="AG287" i="9" s="1"/>
  <c r="AD286" i="9"/>
  <c r="AG286" i="9" s="1"/>
  <c r="AD285" i="9"/>
  <c r="AG285" i="9" s="1"/>
  <c r="AG284" i="9"/>
  <c r="AD341" i="9"/>
  <c r="AG341" i="9" s="1"/>
  <c r="AD342" i="9"/>
  <c r="AG342" i="9" s="1"/>
  <c r="AD343" i="9"/>
  <c r="AG343" i="9" s="1"/>
  <c r="AD344" i="9"/>
  <c r="AG344" i="9" s="1"/>
  <c r="AD345" i="9"/>
  <c r="AG345" i="9" s="1"/>
  <c r="AD346" i="9"/>
  <c r="AG346" i="9" s="1"/>
  <c r="AG340" i="9"/>
  <c r="AD339" i="9"/>
  <c r="AG339" i="9" s="1"/>
  <c r="AD338" i="9"/>
  <c r="AG338" i="9" s="1"/>
  <c r="AD336" i="9"/>
  <c r="AG336" i="9" s="1"/>
  <c r="AD337" i="9"/>
  <c r="AG337" i="9" s="1"/>
  <c r="AD335" i="9"/>
  <c r="AG335" i="9" s="1"/>
  <c r="AD334" i="9"/>
  <c r="AG334" i="9" s="1"/>
  <c r="AG333" i="9"/>
  <c r="AG389" i="9"/>
  <c r="AD390" i="9"/>
  <c r="AG390" i="9" s="1"/>
  <c r="AD391" i="9"/>
  <c r="AG391" i="9" s="1"/>
  <c r="AD392" i="9"/>
  <c r="AG392" i="9" s="1"/>
  <c r="AD393" i="9"/>
  <c r="AG393" i="9" s="1"/>
  <c r="AD394" i="9"/>
  <c r="AG394" i="9" s="1"/>
  <c r="AD395" i="9"/>
  <c r="AG395" i="9" s="1"/>
  <c r="AD388" i="9"/>
  <c r="AG388" i="9" s="1"/>
  <c r="AD387" i="9"/>
  <c r="AG387" i="9" s="1"/>
  <c r="AD386" i="9"/>
  <c r="AG386" i="9" s="1"/>
  <c r="AD385" i="9"/>
  <c r="AG385" i="9" s="1"/>
  <c r="AD384" i="9"/>
  <c r="AG384" i="9" s="1"/>
  <c r="AD383" i="9"/>
  <c r="AG383" i="9" s="1"/>
  <c r="AG382" i="9"/>
  <c r="AG438" i="9"/>
  <c r="AD439" i="9"/>
  <c r="AG439" i="9" s="1"/>
  <c r="AD440" i="9"/>
  <c r="AG440" i="9" s="1"/>
  <c r="AD441" i="9"/>
  <c r="AG441" i="9" s="1"/>
  <c r="AD442" i="9"/>
  <c r="AG442" i="9" s="1"/>
  <c r="AD443" i="9"/>
  <c r="AG443" i="9" s="1"/>
  <c r="AD444" i="9"/>
  <c r="AG444" i="9" s="1"/>
  <c r="AD437" i="9"/>
  <c r="AG437" i="9" s="1"/>
  <c r="AD436" i="9"/>
  <c r="AG436" i="9" s="1"/>
  <c r="AD433" i="9"/>
  <c r="AG433" i="9" s="1"/>
  <c r="AG431" i="9"/>
  <c r="AD435" i="9"/>
  <c r="AG435" i="9" s="1"/>
  <c r="AD434" i="9"/>
  <c r="AG434" i="9" s="1"/>
  <c r="AD432" i="9"/>
  <c r="AG432" i="9" s="1"/>
  <c r="AG487" i="9"/>
  <c r="AD488" i="9"/>
  <c r="AG488" i="9" s="1"/>
  <c r="AD489" i="9"/>
  <c r="AG489" i="9" s="1"/>
  <c r="AD490" i="9"/>
  <c r="AG490" i="9" s="1"/>
  <c r="AD491" i="9"/>
  <c r="AG491" i="9" s="1"/>
  <c r="AD492" i="9"/>
  <c r="AG492" i="9" s="1"/>
  <c r="AD493" i="9"/>
  <c r="AG493" i="9" s="1"/>
  <c r="AD486" i="9"/>
  <c r="AG486" i="9" s="1"/>
  <c r="AD485" i="9"/>
  <c r="AG485" i="9" s="1"/>
  <c r="AD484" i="9"/>
  <c r="AG484" i="9" s="1"/>
  <c r="AD483" i="9"/>
  <c r="AG483" i="9" s="1"/>
  <c r="AD482" i="9"/>
  <c r="AG482" i="9" s="1"/>
  <c r="AD481" i="9"/>
  <c r="AG481" i="9" s="1"/>
  <c r="AG480" i="9"/>
  <c r="AD245" i="9"/>
  <c r="AG245" i="9" s="1"/>
  <c r="AD247" i="9"/>
  <c r="AG247" i="9" s="1"/>
  <c r="AG242" i="9"/>
  <c r="AD243" i="9"/>
  <c r="AG243" i="9" s="1"/>
  <c r="AD244" i="9"/>
  <c r="AG244" i="9" s="1"/>
  <c r="AD246" i="9"/>
  <c r="AG246" i="9" s="1"/>
  <c r="AD248" i="9"/>
  <c r="AG248" i="9" s="1"/>
  <c r="AE255" i="9"/>
  <c r="AF255" i="9" s="1"/>
  <c r="AE250" i="9"/>
  <c r="AE251" i="9" s="1"/>
  <c r="AE252" i="9" s="1"/>
  <c r="AE253" i="9" s="1"/>
  <c r="AE254" i="9" s="1"/>
  <c r="AE283" i="9"/>
  <c r="AF283" i="9" s="1"/>
  <c r="AE278" i="9"/>
  <c r="AE279" i="9" s="1"/>
  <c r="AE280" i="9" s="1"/>
  <c r="AE281" i="9" s="1"/>
  <c r="AE282" i="9" s="1"/>
  <c r="AF284" i="9"/>
  <c r="AF285" i="9" s="1"/>
  <c r="AF286" i="9" s="1"/>
  <c r="AF287" i="9" s="1"/>
  <c r="AF288" i="9" s="1"/>
  <c r="AF289" i="9" s="1"/>
  <c r="AE285" i="9"/>
  <c r="AE286" i="9" s="1"/>
  <c r="AE287" i="9" s="1"/>
  <c r="AE288" i="9" s="1"/>
  <c r="AE289" i="9" s="1"/>
  <c r="AE290" i="9"/>
  <c r="AF290" i="9" s="1"/>
  <c r="AF291" i="9" s="1"/>
  <c r="AF292" i="9" s="1"/>
  <c r="AF293" i="9" s="1"/>
  <c r="AF294" i="9" s="1"/>
  <c r="AF295" i="9" s="1"/>
  <c r="AF296" i="9" s="1"/>
  <c r="AE292" i="9"/>
  <c r="AE293" i="9" s="1"/>
  <c r="AE294" i="9" s="1"/>
  <c r="AE295" i="9" s="1"/>
  <c r="AE296" i="9" s="1"/>
  <c r="AE297" i="9"/>
  <c r="AF297" i="9" s="1"/>
  <c r="AE311" i="9"/>
  <c r="AF311" i="9" s="1"/>
  <c r="AE306" i="9"/>
  <c r="AE307" i="9" s="1"/>
  <c r="AE308" i="9" s="1"/>
  <c r="AE309" i="9" s="1"/>
  <c r="AE310" i="9" s="1"/>
  <c r="AE339" i="9"/>
  <c r="AF339" i="9" s="1"/>
  <c r="AE334" i="9"/>
  <c r="AE335" i="9" s="1"/>
  <c r="AE336" i="9" s="1"/>
  <c r="AE337" i="9" s="1"/>
  <c r="AE338" i="9" s="1"/>
  <c r="AE353" i="9"/>
  <c r="AF353" i="9" s="1"/>
  <c r="AE348" i="9"/>
  <c r="AE349" i="9" s="1"/>
  <c r="AE350" i="9" s="1"/>
  <c r="AE351" i="9" s="1"/>
  <c r="AE352" i="9" s="1"/>
  <c r="AE367" i="9"/>
  <c r="AF367" i="9" s="1"/>
  <c r="AE362" i="9"/>
  <c r="AE363" i="9" s="1"/>
  <c r="AE364" i="9" s="1"/>
  <c r="AE365" i="9" s="1"/>
  <c r="AE366" i="9" s="1"/>
  <c r="AE381" i="9"/>
  <c r="AF381" i="9" s="1"/>
  <c r="AE376" i="9"/>
  <c r="AE377" i="9" s="1"/>
  <c r="AE378" i="9" s="1"/>
  <c r="AE379" i="9" s="1"/>
  <c r="AE380" i="9" s="1"/>
  <c r="AF382" i="9"/>
  <c r="AF383" i="9" s="1"/>
  <c r="AF384" i="9" s="1"/>
  <c r="AF385" i="9" s="1"/>
  <c r="AF386" i="9" s="1"/>
  <c r="AF387" i="9" s="1"/>
  <c r="AE383" i="9"/>
  <c r="AE384" i="9" s="1"/>
  <c r="AE385" i="9" s="1"/>
  <c r="AE386" i="9" s="1"/>
  <c r="AE387" i="9" s="1"/>
  <c r="AE388" i="9"/>
  <c r="AF388" i="9" s="1"/>
  <c r="AF389" i="9" s="1"/>
  <c r="AF390" i="9" s="1"/>
  <c r="AF391" i="9" s="1"/>
  <c r="AF392" i="9" s="1"/>
  <c r="AF393" i="9" s="1"/>
  <c r="AF394" i="9" s="1"/>
  <c r="AE409" i="9"/>
  <c r="AF409" i="9" s="1"/>
  <c r="AE404" i="9"/>
  <c r="AE405" i="9" s="1"/>
  <c r="AE406" i="9" s="1"/>
  <c r="AE407" i="9" s="1"/>
  <c r="AE408" i="9" s="1"/>
  <c r="AE423" i="9"/>
  <c r="AF423" i="9" s="1"/>
  <c r="AE418" i="9"/>
  <c r="AE419" i="9" s="1"/>
  <c r="AE420" i="9" s="1"/>
  <c r="AE421" i="9" s="1"/>
  <c r="AE422" i="9" s="1"/>
  <c r="AF424" i="9"/>
  <c r="AF425" i="9" s="1"/>
  <c r="AF426" i="9" s="1"/>
  <c r="AF427" i="9" s="1"/>
  <c r="AF428" i="9" s="1"/>
  <c r="AF429" i="9" s="1"/>
  <c r="AE425" i="9"/>
  <c r="AE426" i="9" s="1"/>
  <c r="AE427" i="9" s="1"/>
  <c r="AE428" i="9" s="1"/>
  <c r="AE429" i="9" s="1"/>
  <c r="AE430" i="9"/>
  <c r="AF430" i="9" s="1"/>
  <c r="AF431" i="9" s="1"/>
  <c r="AF432" i="9" s="1"/>
  <c r="AF433" i="9" s="1"/>
  <c r="AF434" i="9" s="1"/>
  <c r="AF435" i="9" s="1"/>
  <c r="AF436" i="9" s="1"/>
  <c r="AE437" i="9"/>
  <c r="AF437" i="9" s="1"/>
  <c r="AE432" i="9"/>
  <c r="AE433" i="9" s="1"/>
  <c r="AE434" i="9" s="1"/>
  <c r="AE435" i="9" s="1"/>
  <c r="AE436" i="9" s="1"/>
  <c r="AE451" i="9"/>
  <c r="AF451" i="9" s="1"/>
  <c r="AE446" i="9"/>
  <c r="AE447" i="9" s="1"/>
  <c r="AE448" i="9" s="1"/>
  <c r="AE449" i="9" s="1"/>
  <c r="AE450" i="9" s="1"/>
  <c r="AE465" i="9"/>
  <c r="AF465" i="9" s="1"/>
  <c r="AE460" i="9"/>
  <c r="AE461" i="9" s="1"/>
  <c r="AE462" i="9" s="1"/>
  <c r="AE463" i="9" s="1"/>
  <c r="AE464" i="9" s="1"/>
  <c r="AE479" i="9"/>
  <c r="AF479" i="9" s="1"/>
  <c r="AE474" i="9"/>
  <c r="AE475" i="9" s="1"/>
  <c r="AE476" i="9" s="1"/>
  <c r="AE477" i="9" s="1"/>
  <c r="AE478" i="9" s="1"/>
  <c r="AE269" i="9"/>
  <c r="AF269" i="9" s="1"/>
  <c r="AE264" i="9"/>
  <c r="AE265" i="9" s="1"/>
  <c r="AE266" i="9" s="1"/>
  <c r="AE267" i="9" s="1"/>
  <c r="AE268" i="9" s="1"/>
  <c r="AE262" i="9"/>
  <c r="AF262" i="9" s="1"/>
  <c r="AF263" i="9" s="1"/>
  <c r="AF264" i="9" s="1"/>
  <c r="AF265" i="9" s="1"/>
  <c r="AF266" i="9" s="1"/>
  <c r="AF267" i="9" s="1"/>
  <c r="AF268" i="9" s="1"/>
  <c r="AF256" i="9"/>
  <c r="AF257" i="9" s="1"/>
  <c r="AF258" i="9" s="1"/>
  <c r="AF259" i="9" s="1"/>
  <c r="AF260" i="9" s="1"/>
  <c r="AF261" i="9" s="1"/>
  <c r="AE257" i="9"/>
  <c r="AE258" i="9" s="1"/>
  <c r="AE259" i="9" s="1"/>
  <c r="AE260" i="9" s="1"/>
  <c r="AE261" i="9" s="1"/>
  <c r="AE325" i="9"/>
  <c r="AF325" i="9" s="1"/>
  <c r="AE320" i="9"/>
  <c r="AE321" i="9" s="1"/>
  <c r="AE322" i="9" s="1"/>
  <c r="AE323" i="9" s="1"/>
  <c r="AE324" i="9" s="1"/>
  <c r="AE236" i="9"/>
  <c r="AE237" i="9" s="1"/>
  <c r="AE238" i="9" s="1"/>
  <c r="AE239" i="9" s="1"/>
  <c r="AE240" i="9" s="1"/>
  <c r="AE241" i="9"/>
  <c r="AF241" i="9" s="1"/>
  <c r="AE234" i="9"/>
  <c r="AF234" i="9" s="1"/>
  <c r="AF235" i="9" s="1"/>
  <c r="AF236" i="9" s="1"/>
  <c r="AF237" i="9" s="1"/>
  <c r="AF238" i="9" s="1"/>
  <c r="AF239" i="9" s="1"/>
  <c r="AF240" i="9" s="1"/>
  <c r="AE229" i="9"/>
  <c r="AE230" i="9" s="1"/>
  <c r="AE231" i="9" s="1"/>
  <c r="AE232" i="9" s="1"/>
  <c r="AE233" i="9" s="1"/>
  <c r="AF228" i="9"/>
  <c r="AF229" i="9" s="1"/>
  <c r="AF230" i="9" s="1"/>
  <c r="AF231" i="9" s="1"/>
  <c r="AF232" i="9" s="1"/>
  <c r="AF233" i="9" s="1"/>
  <c r="AC225" i="9"/>
  <c r="AC232" i="9"/>
  <c r="L236" i="9"/>
  <c r="O235" i="9"/>
  <c r="O228" i="9"/>
  <c r="L229" i="9"/>
  <c r="N410" i="9" a="1"/>
  <c r="N411" i="9" s="1"/>
  <c r="N412" i="9" s="1"/>
  <c r="N413" i="9" s="1"/>
  <c r="N414" i="9" s="1"/>
  <c r="N415" i="9" s="1"/>
  <c r="N416" i="9" s="1"/>
  <c r="M232" i="9"/>
  <c r="M233" i="9" s="1"/>
  <c r="M234" i="9" s="1"/>
  <c r="K115" i="9"/>
  <c r="G255" i="9"/>
  <c r="G259" i="9"/>
  <c r="G263" i="9"/>
  <c r="G265" i="9"/>
  <c r="G267" i="9"/>
  <c r="G269" i="9"/>
  <c r="G272" i="9"/>
  <c r="G276" i="9"/>
  <c r="G279" i="9"/>
  <c r="G284" i="9"/>
  <c r="G290" i="9"/>
  <c r="G295" i="9"/>
  <c r="G302" i="9"/>
  <c r="G310" i="9"/>
  <c r="G318" i="9"/>
  <c r="G326" i="9"/>
  <c r="G333" i="9"/>
  <c r="G340" i="9"/>
  <c r="G348" i="9"/>
  <c r="G357" i="9"/>
  <c r="G367" i="9"/>
  <c r="G376" i="9"/>
  <c r="G409" i="9"/>
  <c r="G420" i="9"/>
  <c r="G260" i="9"/>
  <c r="G271" i="9"/>
  <c r="G275" i="9"/>
  <c r="G280" i="9"/>
  <c r="G286" i="9"/>
  <c r="G291" i="9"/>
  <c r="G297" i="9"/>
  <c r="G304" i="9"/>
  <c r="G311" i="9"/>
  <c r="G319" i="9"/>
  <c r="G324" i="9"/>
  <c r="G331" i="9"/>
  <c r="G342" i="9"/>
  <c r="G351" i="9"/>
  <c r="G362" i="9"/>
  <c r="G372" i="9"/>
  <c r="G405" i="9"/>
  <c r="G416" i="9"/>
  <c r="G427" i="9"/>
  <c r="G436" i="9"/>
  <c r="G446" i="9"/>
  <c r="G456" i="9"/>
  <c r="G467" i="9"/>
  <c r="G478" i="9"/>
  <c r="G487" i="9"/>
  <c r="G262" i="9"/>
  <c r="G273" i="9"/>
  <c r="G278" i="9"/>
  <c r="G282" i="9"/>
  <c r="G289" i="9"/>
  <c r="G293" i="9"/>
  <c r="G300" i="9"/>
  <c r="G307" i="9"/>
  <c r="G314" i="9"/>
  <c r="G322" i="9"/>
  <c r="G328" i="9"/>
  <c r="G335" i="9"/>
  <c r="G343" i="9"/>
  <c r="G352" i="9"/>
  <c r="G359" i="9"/>
  <c r="G368" i="9"/>
  <c r="G377" i="9"/>
  <c r="G410" i="9"/>
  <c r="G419" i="9"/>
  <c r="G430" i="9"/>
  <c r="G440" i="9"/>
  <c r="G449" i="9"/>
  <c r="G459" i="9"/>
  <c r="G468" i="9"/>
  <c r="G476" i="9"/>
  <c r="G486" i="9"/>
  <c r="G254" i="9"/>
  <c r="G256" i="9"/>
  <c r="G257" i="9"/>
  <c r="G258" i="9"/>
  <c r="G261" i="9"/>
  <c r="G264" i="9"/>
  <c r="G266" i="9"/>
  <c r="G268" i="9"/>
  <c r="G270" i="9"/>
  <c r="G274" i="9"/>
  <c r="G277" i="9"/>
  <c r="G281" i="9"/>
  <c r="G288" i="9"/>
  <c r="G292" i="9"/>
  <c r="G298" i="9"/>
  <c r="G305" i="9"/>
  <c r="G312" i="9"/>
  <c r="G320" i="9"/>
  <c r="G327" i="9"/>
  <c r="G334" i="9"/>
  <c r="G341" i="9"/>
  <c r="G350" i="9"/>
  <c r="G360" i="9"/>
  <c r="G369" i="9"/>
  <c r="G378" i="9"/>
  <c r="G411" i="9"/>
  <c r="G421" i="9"/>
  <c r="G431" i="9"/>
  <c r="G441" i="9"/>
  <c r="G451" i="9"/>
  <c r="G460" i="9"/>
  <c r="G469" i="9"/>
  <c r="G477" i="9"/>
  <c r="G485" i="9"/>
  <c r="G381" i="9"/>
  <c r="G382" i="9"/>
  <c r="G383" i="9"/>
  <c r="G384" i="9"/>
  <c r="G385" i="9"/>
  <c r="G386" i="9"/>
  <c r="G387" i="9"/>
  <c r="G388" i="9"/>
  <c r="G389" i="9"/>
  <c r="G390" i="9"/>
  <c r="G391" i="9"/>
  <c r="G392" i="9"/>
  <c r="G393" i="9"/>
  <c r="G394" i="9"/>
  <c r="G395" i="9"/>
  <c r="G396" i="9"/>
  <c r="G397" i="9"/>
  <c r="G398" i="9"/>
  <c r="G399" i="9"/>
  <c r="G400" i="9"/>
  <c r="G401" i="9"/>
  <c r="G402" i="9"/>
  <c r="G403" i="9"/>
  <c r="G406" i="9"/>
  <c r="G415" i="9"/>
  <c r="G426" i="9"/>
  <c r="G435" i="9"/>
  <c r="G445" i="9"/>
  <c r="G454" i="9"/>
  <c r="G464" i="9"/>
  <c r="G474" i="9"/>
  <c r="G483" i="9"/>
  <c r="G493" i="9"/>
  <c r="G358" i="9"/>
  <c r="G422" i="9"/>
  <c r="G437" i="9"/>
  <c r="G447" i="9"/>
  <c r="G458" i="9"/>
  <c r="G346" i="9"/>
  <c r="G356" i="9"/>
  <c r="G366" i="9"/>
  <c r="G375" i="9"/>
  <c r="G408" i="9"/>
  <c r="G418" i="9"/>
  <c r="G429" i="9"/>
  <c r="G439" i="9"/>
  <c r="G450" i="9"/>
  <c r="G461" i="9"/>
  <c r="G470" i="9"/>
  <c r="G479" i="9"/>
  <c r="G490" i="9"/>
  <c r="G285" i="9"/>
  <c r="G296" i="9"/>
  <c r="G303" i="9"/>
  <c r="G309" i="9"/>
  <c r="G317" i="9"/>
  <c r="G325" i="9"/>
  <c r="G332" i="9"/>
  <c r="G339" i="9"/>
  <c r="G347" i="9"/>
  <c r="G355" i="9"/>
  <c r="G365" i="9"/>
  <c r="G374" i="9"/>
  <c r="G407" i="9"/>
  <c r="G417" i="9"/>
  <c r="G428" i="9"/>
  <c r="G438" i="9"/>
  <c r="G448" i="9"/>
  <c r="G457" i="9"/>
  <c r="G466" i="9"/>
  <c r="G475" i="9"/>
  <c r="G484" i="9"/>
  <c r="G491" i="9"/>
  <c r="G283" i="9"/>
  <c r="G294" i="9"/>
  <c r="G301" i="9"/>
  <c r="G308" i="9"/>
  <c r="G316" i="9"/>
  <c r="G323" i="9"/>
  <c r="G330" i="9"/>
  <c r="G337" i="9"/>
  <c r="G345" i="9"/>
  <c r="G354" i="9"/>
  <c r="G364" i="9"/>
  <c r="G373" i="9"/>
  <c r="G379" i="9"/>
  <c r="G412" i="9"/>
  <c r="G423" i="9"/>
  <c r="G433" i="9"/>
  <c r="G443" i="9"/>
  <c r="G453" i="9"/>
  <c r="G463" i="9"/>
  <c r="G471" i="9"/>
  <c r="G480" i="9"/>
  <c r="G488" i="9"/>
  <c r="G287" i="9"/>
  <c r="G299" i="9"/>
  <c r="G306" i="9"/>
  <c r="G313" i="9"/>
  <c r="G321" i="9"/>
  <c r="G329" i="9"/>
  <c r="G336" i="9"/>
  <c r="G344" i="9"/>
  <c r="G353" i="9"/>
  <c r="G363" i="9"/>
  <c r="G371" i="9"/>
  <c r="G380" i="9"/>
  <c r="G413" i="9"/>
  <c r="G424" i="9"/>
  <c r="G432" i="9"/>
  <c r="G442" i="9"/>
  <c r="G452" i="9"/>
  <c r="G462" i="9"/>
  <c r="G472" i="9"/>
  <c r="G481" i="9"/>
  <c r="G489" i="9"/>
  <c r="G315" i="9"/>
  <c r="G338" i="9"/>
  <c r="G349" i="9"/>
  <c r="G361" i="9"/>
  <c r="G370" i="9"/>
  <c r="G404" i="9"/>
  <c r="G414" i="9"/>
  <c r="G425" i="9"/>
  <c r="G434" i="9"/>
  <c r="G444" i="9"/>
  <c r="G455" i="9"/>
  <c r="G465" i="9"/>
  <c r="G473" i="9"/>
  <c r="G482" i="9"/>
  <c r="G492" i="9"/>
  <c r="L365" i="9"/>
  <c r="O364" i="9"/>
  <c r="O370" i="9"/>
  <c r="L371" i="9"/>
  <c r="H218" i="9"/>
  <c r="M214" i="9" a="1"/>
  <c r="M215" i="9" s="1"/>
  <c r="M216" i="9" s="1"/>
  <c r="M217" i="9" s="1"/>
  <c r="AA221" i="9"/>
  <c r="D5" i="3"/>
  <c r="D4" i="3"/>
  <c r="H186" i="9"/>
  <c r="AF220" i="9"/>
  <c r="AF221" i="9" s="1"/>
  <c r="AF222" i="9" s="1"/>
  <c r="AF223" i="9" s="1"/>
  <c r="AF224" i="9" s="1"/>
  <c r="AF225" i="9" s="1"/>
  <c r="AF226" i="9" s="1"/>
  <c r="O221" i="9"/>
  <c r="L223" i="9"/>
  <c r="O222" i="9"/>
  <c r="L193" i="9"/>
  <c r="L194" i="9" s="1"/>
  <c r="L195" i="9" s="1"/>
  <c r="L196" i="9" s="1"/>
  <c r="AU221" i="9" a="1"/>
  <c r="AU222" i="9" s="1"/>
  <c r="AU223" i="9" s="1"/>
  <c r="AU224" i="9" s="1"/>
  <c r="AU225" i="9" s="1"/>
  <c r="AU226" i="9" s="1"/>
  <c r="AU227" i="9" s="1"/>
  <c r="AU214" i="9" a="1"/>
  <c r="AU215" i="9" s="1"/>
  <c r="AU216" i="9" s="1"/>
  <c r="AU217" i="9" s="1"/>
  <c r="AU218" i="9" s="1"/>
  <c r="AU219" i="9" s="1"/>
  <c r="AU220" i="9" s="1"/>
  <c r="AT221" i="9"/>
  <c r="AT222" i="9" s="1"/>
  <c r="AT223" i="9" s="1"/>
  <c r="AT224" i="9" s="1"/>
  <c r="AT225" i="9" s="1"/>
  <c r="AU207" i="9" a="1"/>
  <c r="AU208" i="9" s="1"/>
  <c r="AU209" i="9" s="1"/>
  <c r="AU210" i="9" s="1"/>
  <c r="AU211" i="9" s="1"/>
  <c r="AU212" i="9" s="1"/>
  <c r="AU213" i="9" s="1"/>
  <c r="AD214" i="9"/>
  <c r="V20" i="9"/>
  <c r="AL20" i="9" s="1"/>
  <c r="G9" i="10"/>
  <c r="H214" i="9"/>
  <c r="L214" i="9"/>
  <c r="C8" i="3"/>
  <c r="AT200" i="9"/>
  <c r="AT207" i="9"/>
  <c r="L201" i="9"/>
  <c r="O200" i="9"/>
  <c r="H193" i="9"/>
  <c r="M193" i="9" a="1"/>
  <c r="M194" i="9" s="1"/>
  <c r="M195" i="9" s="1"/>
  <c r="M196" i="9" s="1"/>
  <c r="Y16" i="9"/>
  <c r="AD207" i="9"/>
  <c r="AE208" i="9" a="1"/>
  <c r="AE207" i="9" a="1"/>
  <c r="M207" i="9" a="1"/>
  <c r="M208" i="9" s="1"/>
  <c r="M209" i="9" s="1"/>
  <c r="M210" i="9" s="1"/>
  <c r="L207" i="9"/>
  <c r="M179" i="9" a="1"/>
  <c r="M180" i="9" s="1"/>
  <c r="M181" i="9" s="1"/>
  <c r="M182" i="9" s="1"/>
  <c r="L165" i="9"/>
  <c r="L166" i="9" s="1"/>
  <c r="L167" i="9" s="1"/>
  <c r="L168" i="9" s="1"/>
  <c r="L169" i="9" s="1"/>
  <c r="L170" i="9" s="1"/>
  <c r="L171" i="9" s="1"/>
  <c r="O171" i="9" s="1"/>
  <c r="L186" i="9"/>
  <c r="L187" i="9" s="1"/>
  <c r="L188" i="9" s="1"/>
  <c r="M186" i="9" a="1"/>
  <c r="H187" i="9"/>
  <c r="AT172" i="9"/>
  <c r="L172" i="9"/>
  <c r="L173" i="9" s="1"/>
  <c r="L174" i="9" s="1"/>
  <c r="L175" i="9" s="1"/>
  <c r="L176" i="9" s="1"/>
  <c r="L177" i="9" s="1"/>
  <c r="L178" i="9" s="1"/>
  <c r="O178" i="9" s="1"/>
  <c r="AT165" i="9"/>
  <c r="AT166" i="9" s="1"/>
  <c r="AT167" i="9" s="1"/>
  <c r="AW167" i="9" s="1"/>
  <c r="L137" i="9"/>
  <c r="L138" i="9" s="1"/>
  <c r="L139" i="9" s="1"/>
  <c r="L140" i="9" s="1"/>
  <c r="L141" i="9" s="1"/>
  <c r="L142" i="9" s="1"/>
  <c r="L143" i="9" s="1"/>
  <c r="O143" i="9" s="1"/>
  <c r="AT179" i="9"/>
  <c r="AU186" i="9" a="1"/>
  <c r="AU187" i="9" s="1"/>
  <c r="AU188" i="9" s="1"/>
  <c r="AU189" i="9" s="1"/>
  <c r="AU190" i="9" s="1"/>
  <c r="AU191" i="9" s="1"/>
  <c r="AU192" i="9" s="1"/>
  <c r="AU200" i="9" a="1"/>
  <c r="AU201" i="9" s="1"/>
  <c r="AU202" i="9" s="1"/>
  <c r="AU203" i="9" s="1"/>
  <c r="AU204" i="9" s="1"/>
  <c r="AU205" i="9" s="1"/>
  <c r="AU206" i="9" s="1"/>
  <c r="M165" i="9" a="1"/>
  <c r="M166" i="9" s="1"/>
  <c r="M167" i="9" s="1"/>
  <c r="M168" i="9" s="1"/>
  <c r="AV187" i="9"/>
  <c r="AV188" i="9" s="1"/>
  <c r="AV189" i="9" s="1"/>
  <c r="AV190" i="9" s="1"/>
  <c r="AV191" i="9" s="1"/>
  <c r="AV192" i="9" s="1"/>
  <c r="AD165" i="9"/>
  <c r="AD170" i="9" s="1"/>
  <c r="H179" i="9"/>
  <c r="AU172" i="9" a="1"/>
  <c r="AU173" i="9" s="1"/>
  <c r="AU174" i="9" s="1"/>
  <c r="AU175" i="9" s="1"/>
  <c r="AU176" i="9" s="1"/>
  <c r="AU177" i="9" s="1"/>
  <c r="AU178" i="9" s="1"/>
  <c r="AT186" i="9"/>
  <c r="AT187" i="9" s="1"/>
  <c r="AT188" i="9" s="1"/>
  <c r="AT189" i="9" s="1"/>
  <c r="AT190" i="9" s="1"/>
  <c r="AT191" i="9" s="1"/>
  <c r="AT192" i="9" s="1"/>
  <c r="AW192" i="9" s="1"/>
  <c r="AU193" i="9" a="1"/>
  <c r="AU158" i="9" a="1"/>
  <c r="AU159" i="9" s="1"/>
  <c r="AU160" i="9" s="1"/>
  <c r="AU161" i="9" s="1"/>
  <c r="AU162" i="9" s="1"/>
  <c r="AU163" i="9" s="1"/>
  <c r="AU164" i="9" s="1"/>
  <c r="AT193" i="9"/>
  <c r="AT194" i="9" s="1"/>
  <c r="AT195" i="9" s="1"/>
  <c r="AT196" i="9" s="1"/>
  <c r="AT197" i="9" s="1"/>
  <c r="AT198" i="9" s="1"/>
  <c r="AT199" i="9" s="1"/>
  <c r="AW199" i="9" s="1"/>
  <c r="AD172" i="9"/>
  <c r="AD174" i="9" s="1"/>
  <c r="AG174" i="9" s="1"/>
  <c r="M172" i="9" a="1"/>
  <c r="M173" i="9" s="1"/>
  <c r="M174" i="9" s="1"/>
  <c r="M175" i="9" s="1"/>
  <c r="L179" i="9"/>
  <c r="L180" i="9" s="1"/>
  <c r="L181" i="9" s="1"/>
  <c r="AC192" i="9"/>
  <c r="AE172" i="9" a="1"/>
  <c r="AC162" i="9"/>
  <c r="L130" i="9"/>
  <c r="L131" i="9" s="1"/>
  <c r="L132" i="9" s="1"/>
  <c r="L133" i="9" s="1"/>
  <c r="L134" i="9" s="1"/>
  <c r="L135" i="9" s="1"/>
  <c r="L136" i="9" s="1"/>
  <c r="O136" i="9" s="1"/>
  <c r="AC169" i="9"/>
  <c r="AU179" i="9" a="1"/>
  <c r="M158" i="9" a="1"/>
  <c r="AU165" i="9" a="1"/>
  <c r="G16" i="9"/>
  <c r="K60" i="9"/>
  <c r="K110" i="9"/>
  <c r="AE173" i="9" a="1"/>
  <c r="AE174" i="9" s="1"/>
  <c r="AE175" i="9" s="1"/>
  <c r="AE176" i="9" s="1"/>
  <c r="AE177" i="9" s="1"/>
  <c r="AE178" i="9" s="1"/>
  <c r="AC170" i="9"/>
  <c r="AC177" i="9"/>
  <c r="AD179" i="9"/>
  <c r="K67" i="9"/>
  <c r="M151" i="9" a="1"/>
  <c r="N151" i="9" s="1"/>
  <c r="N152" i="9" s="1"/>
  <c r="N153" i="9" s="1"/>
  <c r="N154" i="9" s="1"/>
  <c r="N155" i="9" s="1"/>
  <c r="N156" i="9" s="1"/>
  <c r="N157" i="9" s="1"/>
  <c r="AU130" i="9" a="1"/>
  <c r="V16" i="9"/>
  <c r="AU151" i="9" a="1"/>
  <c r="AD144" i="9"/>
  <c r="AG144" i="9" s="1"/>
  <c r="AC160" i="9"/>
  <c r="G8" i="10"/>
  <c r="L151" i="9"/>
  <c r="L152" i="9" s="1"/>
  <c r="L158" i="9"/>
  <c r="L159" i="9" s="1"/>
  <c r="L144" i="9"/>
  <c r="AS143" i="9"/>
  <c r="AT158" i="9"/>
  <c r="AT159" i="9" s="1"/>
  <c r="AT151" i="9"/>
  <c r="AS157" i="9"/>
  <c r="AS150" i="9"/>
  <c r="M144" i="9" a="1"/>
  <c r="K59" i="9"/>
  <c r="AC146" i="9"/>
  <c r="AC153" i="9"/>
  <c r="AQ137" i="9"/>
  <c r="AT137" i="9" s="1"/>
  <c r="AT138" i="9" s="1"/>
  <c r="AC136" i="9"/>
  <c r="M137" i="9" a="1"/>
  <c r="AC138" i="9"/>
  <c r="AC145" i="9"/>
  <c r="AS136" i="9"/>
  <c r="H130" i="9"/>
  <c r="M130" i="9" a="1"/>
  <c r="AA123" i="9"/>
  <c r="AC128" i="9"/>
  <c r="AC129" i="9"/>
  <c r="AS128" i="9"/>
  <c r="M123" i="9" a="1"/>
  <c r="V119" i="9"/>
  <c r="AK119" i="9" s="1"/>
  <c r="AM119" i="9" s="1"/>
  <c r="H21" i="3" s="1"/>
  <c r="AO107" i="9"/>
  <c r="AO106" i="9"/>
  <c r="AO105" i="9"/>
  <c r="AO104" i="9"/>
  <c r="AO103" i="9"/>
  <c r="V121" i="9"/>
  <c r="AL112" i="9"/>
  <c r="AL111" i="9"/>
  <c r="AS111" i="9" s="1"/>
  <c r="AC111" i="9"/>
  <c r="AL109" i="9"/>
  <c r="AS109" i="9" s="1"/>
  <c r="AC116" i="9"/>
  <c r="K109" i="9"/>
  <c r="AC125" i="9"/>
  <c r="AL114" i="9"/>
  <c r="AS114" i="9" s="1"/>
  <c r="AL113" i="9"/>
  <c r="AC113" i="9"/>
  <c r="AL115" i="9"/>
  <c r="AC124" i="9"/>
  <c r="AL116" i="9"/>
  <c r="A25" i="12"/>
  <c r="B25" i="12" s="1"/>
  <c r="A34" i="12"/>
  <c r="A17" i="12"/>
  <c r="A20" i="12"/>
  <c r="A18" i="12"/>
  <c r="A19" i="12"/>
  <c r="A9" i="12"/>
  <c r="A8" i="12"/>
  <c r="A7" i="12"/>
  <c r="A6" i="12"/>
  <c r="A26" i="12"/>
  <c r="A27" i="12"/>
  <c r="A16" i="12"/>
  <c r="A14" i="12"/>
  <c r="A3" i="12"/>
  <c r="C3" i="12" s="1" a="1"/>
  <c r="A5" i="12"/>
  <c r="C5" i="12" s="1" a="1"/>
  <c r="A4" i="12"/>
  <c r="C4" i="12" s="1" a="1"/>
  <c r="I3" i="3"/>
  <c r="AO85" i="9"/>
  <c r="AO69" i="9"/>
  <c r="AO53" i="9"/>
  <c r="AO37" i="9"/>
  <c r="AO21" i="9"/>
  <c r="AO72" i="9"/>
  <c r="AO40" i="9"/>
  <c r="AO24" i="9"/>
  <c r="AO88" i="9"/>
  <c r="AO56" i="9"/>
  <c r="AO87" i="9"/>
  <c r="AO71" i="9"/>
  <c r="AO55" i="9"/>
  <c r="AO39" i="9"/>
  <c r="AO23" i="9"/>
  <c r="AO86" i="9"/>
  <c r="AO70" i="9"/>
  <c r="AO54" i="9"/>
  <c r="AO38" i="9"/>
  <c r="AO22" i="9"/>
  <c r="AO84" i="9"/>
  <c r="AO68" i="9"/>
  <c r="AO52" i="9"/>
  <c r="AO36" i="9"/>
  <c r="AO20" i="9"/>
  <c r="G6" i="10"/>
  <c r="AO83" i="9"/>
  <c r="AO35" i="9"/>
  <c r="AO19" i="9"/>
  <c r="AO34" i="9"/>
  <c r="AO67" i="9"/>
  <c r="AO82" i="9"/>
  <c r="AO66" i="9"/>
  <c r="AO50" i="9"/>
  <c r="AO18" i="9"/>
  <c r="AO81" i="9"/>
  <c r="AO65" i="9"/>
  <c r="AO49" i="9"/>
  <c r="AO33" i="9"/>
  <c r="AO17" i="9"/>
  <c r="AO51" i="9"/>
  <c r="AO80" i="9"/>
  <c r="AO64" i="9"/>
  <c r="AO48" i="9"/>
  <c r="AO32" i="9"/>
  <c r="AO79" i="9"/>
  <c r="AO63" i="9"/>
  <c r="AO47" i="9"/>
  <c r="AO31" i="9"/>
  <c r="AO78" i="9"/>
  <c r="AO62" i="9"/>
  <c r="AO46" i="9"/>
  <c r="AO30" i="9"/>
  <c r="AO77" i="9"/>
  <c r="AO61" i="9"/>
  <c r="AO45" i="9"/>
  <c r="AO29" i="9"/>
  <c r="AO76" i="9"/>
  <c r="AO60" i="9"/>
  <c r="AO44" i="9"/>
  <c r="AO28" i="9"/>
  <c r="AO91" i="9"/>
  <c r="AO75" i="9"/>
  <c r="AO59" i="9"/>
  <c r="AO43" i="9"/>
  <c r="AO27" i="9"/>
  <c r="AO74" i="9"/>
  <c r="AO58" i="9"/>
  <c r="AO42" i="9"/>
  <c r="AO26" i="9"/>
  <c r="AO73" i="9"/>
  <c r="AO57" i="9"/>
  <c r="AO41" i="9"/>
  <c r="D3" i="3"/>
  <c r="C4" i="3"/>
  <c r="C6" i="3" s="1"/>
  <c r="C3" i="3"/>
  <c r="AO90" i="9"/>
  <c r="G7" i="10"/>
  <c r="AO102" i="9"/>
  <c r="AO101" i="9"/>
  <c r="AO100" i="9"/>
  <c r="AO99" i="9"/>
  <c r="AO98" i="9"/>
  <c r="AO97" i="9"/>
  <c r="AO96" i="9"/>
  <c r="AO89" i="9"/>
  <c r="AO95" i="9"/>
  <c r="AO25" i="9"/>
  <c r="AO94" i="9"/>
  <c r="AO93" i="9"/>
  <c r="AO92" i="9"/>
  <c r="E4" i="3"/>
  <c r="S4" i="10"/>
  <c r="Y103" i="9"/>
  <c r="Y71" i="9"/>
  <c r="Y55" i="9"/>
  <c r="Y39" i="9"/>
  <c r="Y23" i="9"/>
  <c r="Y21" i="9"/>
  <c r="Y20" i="9"/>
  <c r="Y45" i="9"/>
  <c r="Y92" i="9"/>
  <c r="Y60" i="9"/>
  <c r="Y104" i="9"/>
  <c r="Y88" i="9"/>
  <c r="Y72" i="9"/>
  <c r="Y56" i="9"/>
  <c r="Y40" i="9"/>
  <c r="Y24" i="9"/>
  <c r="Y102" i="9"/>
  <c r="Y86" i="9"/>
  <c r="Y70" i="9"/>
  <c r="Y54" i="9"/>
  <c r="Y38" i="9"/>
  <c r="Y22" i="9"/>
  <c r="Y37" i="9"/>
  <c r="Y99" i="9"/>
  <c r="Y83" i="9"/>
  <c r="Y67" i="9"/>
  <c r="Y51" i="9"/>
  <c r="Y35" i="9"/>
  <c r="Y19" i="9"/>
  <c r="Y85" i="9"/>
  <c r="Y100" i="9"/>
  <c r="Y98" i="9"/>
  <c r="Y82" i="9"/>
  <c r="Y66" i="9"/>
  <c r="Y50" i="9"/>
  <c r="Y34" i="9"/>
  <c r="Y18" i="9"/>
  <c r="Y69" i="9"/>
  <c r="Y68" i="9"/>
  <c r="Y97" i="9"/>
  <c r="Y81" i="9"/>
  <c r="Y65" i="9"/>
  <c r="Y49" i="9"/>
  <c r="Y33" i="9"/>
  <c r="Y17" i="9"/>
  <c r="Y53" i="9"/>
  <c r="Y84" i="9"/>
  <c r="Y96" i="9"/>
  <c r="Y80" i="9"/>
  <c r="Y64" i="9"/>
  <c r="Y48" i="9"/>
  <c r="Y32" i="9"/>
  <c r="Y101" i="9"/>
  <c r="Y36" i="9"/>
  <c r="Y87" i="9"/>
  <c r="Y52" i="9"/>
  <c r="Y94" i="9"/>
  <c r="Y78" i="9"/>
  <c r="Y62" i="9"/>
  <c r="Y46" i="9"/>
  <c r="Y30" i="9"/>
  <c r="Y77" i="9"/>
  <c r="Y44" i="9"/>
  <c r="Y61" i="9"/>
  <c r="Y107" i="9"/>
  <c r="Y91" i="9"/>
  <c r="Y75" i="9"/>
  <c r="Y59" i="9"/>
  <c r="Y43" i="9"/>
  <c r="Y27" i="9"/>
  <c r="Y29" i="9"/>
  <c r="Y28" i="9"/>
  <c r="Y106" i="9"/>
  <c r="Y90" i="9"/>
  <c r="Y74" i="9"/>
  <c r="Y58" i="9"/>
  <c r="Y42" i="9"/>
  <c r="Y26" i="9"/>
  <c r="Y93" i="9"/>
  <c r="Y76" i="9"/>
  <c r="Y105" i="9"/>
  <c r="Y89" i="9"/>
  <c r="Y73" i="9"/>
  <c r="Y57" i="9"/>
  <c r="Y41" i="9"/>
  <c r="Y25" i="9"/>
  <c r="Y47" i="9"/>
  <c r="Y31" i="9"/>
  <c r="Y79" i="9"/>
  <c r="Y95" i="9"/>
  <c r="Y63" i="9"/>
  <c r="G19" i="9"/>
  <c r="G18" i="9"/>
  <c r="G36" i="9"/>
  <c r="G20" i="9"/>
  <c r="G104" i="9"/>
  <c r="G94" i="9"/>
  <c r="G17" i="9"/>
  <c r="G55" i="9"/>
  <c r="G35" i="9"/>
  <c r="G107" i="9"/>
  <c r="G58" i="9"/>
  <c r="G76" i="9"/>
  <c r="G48" i="9"/>
  <c r="G75" i="9"/>
  <c r="G37" i="9"/>
  <c r="G21" i="9"/>
  <c r="G95" i="9"/>
  <c r="G85" i="9"/>
  <c r="G74" i="9"/>
  <c r="G45" i="9"/>
  <c r="G73" i="9"/>
  <c r="G44" i="9"/>
  <c r="G92" i="9"/>
  <c r="G103" i="9"/>
  <c r="G62" i="9"/>
  <c r="G65" i="9"/>
  <c r="G71" i="9"/>
  <c r="G61" i="9"/>
  <c r="G93" i="9"/>
  <c r="G54" i="9"/>
  <c r="G72" i="9"/>
  <c r="G82" i="9"/>
  <c r="G30" i="9"/>
  <c r="G101" i="9"/>
  <c r="G90" i="9"/>
  <c r="G52" i="9"/>
  <c r="G41" i="9"/>
  <c r="G43" i="9"/>
  <c r="G63" i="9"/>
  <c r="G91" i="9"/>
  <c r="G42" i="9"/>
  <c r="G29" i="9"/>
  <c r="G80" i="9"/>
  <c r="G70" i="9"/>
  <c r="G60" i="9"/>
  <c r="G51" i="9"/>
  <c r="G64" i="9"/>
  <c r="G100" i="9"/>
  <c r="G79" i="9"/>
  <c r="G59" i="9"/>
  <c r="G40" i="9"/>
  <c r="G83" i="9"/>
  <c r="G102" i="9"/>
  <c r="G53" i="9"/>
  <c r="G28" i="9"/>
  <c r="G89" i="9"/>
  <c r="G27" i="9"/>
  <c r="G108" i="9"/>
  <c r="G99" i="9"/>
  <c r="G78" i="9"/>
  <c r="G69" i="9"/>
  <c r="G77" i="9"/>
  <c r="G25" i="9"/>
  <c r="G57" i="9"/>
  <c r="G88" i="9"/>
  <c r="G24" i="9"/>
  <c r="G87" i="9"/>
  <c r="G38" i="9"/>
  <c r="G47" i="9"/>
  <c r="G84" i="9"/>
  <c r="G26" i="9"/>
  <c r="G39" i="9"/>
  <c r="G68" i="9"/>
  <c r="G106" i="9"/>
  <c r="G67" i="9"/>
  <c r="G23" i="9"/>
  <c r="G22" i="9"/>
  <c r="G105" i="9"/>
  <c r="G96" i="9"/>
  <c r="G86" i="9"/>
  <c r="G56" i="9"/>
  <c r="G46" i="9"/>
  <c r="G32" i="9"/>
  <c r="G50" i="9"/>
  <c r="G81" i="9"/>
  <c r="G31" i="9"/>
  <c r="G49" i="9"/>
  <c r="G66" i="9"/>
  <c r="G97" i="9"/>
  <c r="G33" i="9"/>
  <c r="G98" i="9"/>
  <c r="G34" i="9"/>
  <c r="V110" i="9"/>
  <c r="V94" i="9"/>
  <c r="AL94" i="9" s="1"/>
  <c r="V78" i="9"/>
  <c r="AL78" i="9" s="1"/>
  <c r="V108" i="9"/>
  <c r="V92" i="9"/>
  <c r="AL92" i="9" s="1"/>
  <c r="V76" i="9"/>
  <c r="AL76" i="9" s="1"/>
  <c r="F34" i="9"/>
  <c r="H34" i="9" s="1"/>
  <c r="F18" i="9"/>
  <c r="H18" i="9" s="1"/>
  <c r="AN78" i="9"/>
  <c r="AN62" i="9"/>
  <c r="AN46" i="9"/>
  <c r="AN30" i="9"/>
  <c r="F36" i="9"/>
  <c r="H36" i="9" s="1"/>
  <c r="F20" i="9"/>
  <c r="H20" i="9" s="1"/>
  <c r="AN106" i="9"/>
  <c r="AN90" i="9"/>
  <c r="AN74" i="9"/>
  <c r="AN103" i="9"/>
  <c r="AN87" i="9"/>
  <c r="AN71" i="9"/>
  <c r="AN55" i="9"/>
  <c r="AN39" i="9"/>
  <c r="AN23" i="9"/>
  <c r="AN105" i="9"/>
  <c r="AN89" i="9"/>
  <c r="AN73" i="9"/>
  <c r="AN57" i="9"/>
  <c r="AN41" i="9"/>
  <c r="AN25" i="9"/>
  <c r="X93" i="9"/>
  <c r="X77" i="9"/>
  <c r="X61" i="9"/>
  <c r="X45" i="9"/>
  <c r="X29" i="9"/>
  <c r="AN33" i="9"/>
  <c r="F24" i="9"/>
  <c r="H24" i="9" s="1"/>
  <c r="AN95" i="9"/>
  <c r="AN79" i="9"/>
  <c r="AN63" i="9"/>
  <c r="AN47" i="9"/>
  <c r="AN31" i="9"/>
  <c r="AN104" i="9"/>
  <c r="AN88" i="9"/>
  <c r="AN72" i="9"/>
  <c r="AN56" i="9"/>
  <c r="AN40" i="9"/>
  <c r="AN24" i="9"/>
  <c r="AN97" i="9"/>
  <c r="AN81" i="9"/>
  <c r="AN65" i="9"/>
  <c r="AN49" i="9"/>
  <c r="AN96" i="9"/>
  <c r="AN80" i="9"/>
  <c r="AN64" i="9"/>
  <c r="AN48" i="9"/>
  <c r="AN32" i="9"/>
  <c r="AN102" i="9"/>
  <c r="AN86" i="9"/>
  <c r="AN70" i="9"/>
  <c r="AN54" i="9"/>
  <c r="AN38" i="9"/>
  <c r="AN22" i="9"/>
  <c r="AN100" i="9"/>
  <c r="AN84" i="9"/>
  <c r="AN68" i="9"/>
  <c r="AN52" i="9"/>
  <c r="AN36" i="9"/>
  <c r="AN20" i="9"/>
  <c r="AN98" i="9"/>
  <c r="AN82" i="9"/>
  <c r="AN66" i="9"/>
  <c r="AN50" i="9"/>
  <c r="AN34" i="9"/>
  <c r="AN18" i="9"/>
  <c r="X99" i="9"/>
  <c r="X83" i="9"/>
  <c r="X67" i="9"/>
  <c r="X51" i="9"/>
  <c r="X35" i="9"/>
  <c r="X19" i="9"/>
  <c r="AN93" i="9"/>
  <c r="AN77" i="9"/>
  <c r="AN61" i="9"/>
  <c r="AN45" i="9"/>
  <c r="AN29" i="9"/>
  <c r="AN107" i="9"/>
  <c r="AN91" i="9"/>
  <c r="AN75" i="9"/>
  <c r="AN59" i="9"/>
  <c r="AN43" i="9"/>
  <c r="AN27" i="9"/>
  <c r="AN94" i="9"/>
  <c r="F32" i="9"/>
  <c r="H32" i="9" s="1"/>
  <c r="AN101" i="9"/>
  <c r="AN85" i="9"/>
  <c r="AN69" i="9"/>
  <c r="AN53" i="9"/>
  <c r="AN37" i="9"/>
  <c r="AN21" i="9"/>
  <c r="F28" i="9"/>
  <c r="H28" i="9" s="1"/>
  <c r="X103" i="9"/>
  <c r="X87" i="9"/>
  <c r="X71" i="9"/>
  <c r="X55" i="9"/>
  <c r="AN92" i="9"/>
  <c r="AN76" i="9"/>
  <c r="AN60" i="9"/>
  <c r="AN44" i="9"/>
  <c r="AN28" i="9"/>
  <c r="AN58" i="9"/>
  <c r="AN42" i="9"/>
  <c r="AN26" i="9"/>
  <c r="X95" i="9"/>
  <c r="X79" i="9"/>
  <c r="X63" i="9"/>
  <c r="X47" i="9"/>
  <c r="X31" i="9"/>
  <c r="AN99" i="9"/>
  <c r="AN83" i="9"/>
  <c r="AN67" i="9"/>
  <c r="AN51" i="9"/>
  <c r="AN35" i="9"/>
  <c r="AN19" i="9"/>
  <c r="F30" i="9"/>
  <c r="H30" i="9" s="1"/>
  <c r="AN17" i="9"/>
  <c r="F26" i="9"/>
  <c r="H26" i="9" s="1"/>
  <c r="F107" i="9"/>
  <c r="H107" i="9" s="1"/>
  <c r="F99" i="9"/>
  <c r="H99" i="9" s="1"/>
  <c r="F91" i="9"/>
  <c r="H91" i="9" s="1"/>
  <c r="F83" i="9"/>
  <c r="H83" i="9" s="1"/>
  <c r="F75" i="9"/>
  <c r="H75" i="9" s="1"/>
  <c r="F67" i="9"/>
  <c r="H67" i="9" s="1"/>
  <c r="F59" i="9"/>
  <c r="H59" i="9" s="1"/>
  <c r="F51" i="9"/>
  <c r="H51" i="9" s="1"/>
  <c r="F43" i="9"/>
  <c r="H43" i="9" s="1"/>
  <c r="X102" i="9"/>
  <c r="X86" i="9"/>
  <c r="X70" i="9"/>
  <c r="X54" i="9"/>
  <c r="X38" i="9"/>
  <c r="X22" i="9"/>
  <c r="F78" i="9"/>
  <c r="H78" i="9" s="1"/>
  <c r="F46" i="9"/>
  <c r="H46" i="9" s="1"/>
  <c r="X39" i="9"/>
  <c r="X23" i="9"/>
  <c r="F37" i="9"/>
  <c r="H37" i="9" s="1"/>
  <c r="F21" i="9"/>
  <c r="H21" i="9" s="1"/>
  <c r="F108" i="9"/>
  <c r="H108" i="9" s="1"/>
  <c r="F100" i="9"/>
  <c r="H100" i="9" s="1"/>
  <c r="F92" i="9"/>
  <c r="H92" i="9" s="1"/>
  <c r="F84" i="9"/>
  <c r="H84" i="9" s="1"/>
  <c r="F76" i="9"/>
  <c r="H76" i="9" s="1"/>
  <c r="F68" i="9"/>
  <c r="H68" i="9" s="1"/>
  <c r="F60" i="9"/>
  <c r="H60" i="9" s="1"/>
  <c r="F52" i="9"/>
  <c r="H52" i="9" s="1"/>
  <c r="F44" i="9"/>
  <c r="H44" i="9" s="1"/>
  <c r="X96" i="9"/>
  <c r="X80" i="9"/>
  <c r="X64" i="9"/>
  <c r="X48" i="9"/>
  <c r="X32" i="9"/>
  <c r="AP90" i="9"/>
  <c r="X94" i="9"/>
  <c r="X78" i="9"/>
  <c r="X62" i="9"/>
  <c r="X46" i="9"/>
  <c r="X30" i="9"/>
  <c r="F31" i="9"/>
  <c r="H31" i="9" s="1"/>
  <c r="F105" i="9"/>
  <c r="H105" i="9" s="1"/>
  <c r="F97" i="9"/>
  <c r="H97" i="9" s="1"/>
  <c r="F81" i="9"/>
  <c r="H81" i="9" s="1"/>
  <c r="F73" i="9"/>
  <c r="H73" i="9" s="1"/>
  <c r="F65" i="9"/>
  <c r="H65" i="9" s="1"/>
  <c r="F49" i="9"/>
  <c r="H49" i="9" s="1"/>
  <c r="F41" i="9"/>
  <c r="H41" i="9" s="1"/>
  <c r="X106" i="9"/>
  <c r="X90" i="9"/>
  <c r="X74" i="9"/>
  <c r="X58" i="9"/>
  <c r="X42" i="9"/>
  <c r="X26" i="9"/>
  <c r="F103" i="9"/>
  <c r="H103" i="9" s="1"/>
  <c r="F95" i="9"/>
  <c r="F87" i="9"/>
  <c r="H87" i="9" s="1"/>
  <c r="F79" i="9"/>
  <c r="H79" i="9" s="1"/>
  <c r="F71" i="9"/>
  <c r="H71" i="9" s="1"/>
  <c r="F63" i="9"/>
  <c r="H63" i="9" s="1"/>
  <c r="F55" i="9"/>
  <c r="H55" i="9" s="1"/>
  <c r="F47" i="9"/>
  <c r="H47" i="9" s="1"/>
  <c r="F39" i="9"/>
  <c r="H39" i="9" s="1"/>
  <c r="X101" i="9"/>
  <c r="X85" i="9"/>
  <c r="X69" i="9"/>
  <c r="X53" i="9"/>
  <c r="X37" i="9"/>
  <c r="X21" i="9"/>
  <c r="Z97" i="9"/>
  <c r="Z81" i="9"/>
  <c r="Z65" i="9"/>
  <c r="Z49" i="9"/>
  <c r="Z33" i="9"/>
  <c r="X17" i="9"/>
  <c r="X92" i="9"/>
  <c r="X76" i="9"/>
  <c r="X60" i="9"/>
  <c r="X44" i="9"/>
  <c r="X28" i="9"/>
  <c r="X107" i="9"/>
  <c r="X91" i="9"/>
  <c r="X75" i="9"/>
  <c r="X59" i="9"/>
  <c r="X43" i="9"/>
  <c r="X27" i="9"/>
  <c r="X105" i="9"/>
  <c r="X89" i="9"/>
  <c r="X73" i="9"/>
  <c r="X57" i="9"/>
  <c r="X41" i="9"/>
  <c r="X25" i="9"/>
  <c r="F29" i="9"/>
  <c r="H29" i="9" s="1"/>
  <c r="F104" i="9"/>
  <c r="H104" i="9" s="1"/>
  <c r="F96" i="9"/>
  <c r="H96" i="9" s="1"/>
  <c r="F80" i="9"/>
  <c r="H80" i="9" s="1"/>
  <c r="F72" i="9"/>
  <c r="H72" i="9" s="1"/>
  <c r="F64" i="9"/>
  <c r="H64" i="9" s="1"/>
  <c r="F48" i="9"/>
  <c r="H48" i="9" s="1"/>
  <c r="F40" i="9"/>
  <c r="H40" i="9" s="1"/>
  <c r="X104" i="9"/>
  <c r="X88" i="9"/>
  <c r="X72" i="9"/>
  <c r="X56" i="9"/>
  <c r="X40" i="9"/>
  <c r="X24" i="9"/>
  <c r="F22" i="9"/>
  <c r="H22" i="9" s="1"/>
  <c r="F25" i="9"/>
  <c r="H25" i="9" s="1"/>
  <c r="X100" i="9"/>
  <c r="X84" i="9"/>
  <c r="X68" i="9"/>
  <c r="X52" i="9"/>
  <c r="X36" i="9"/>
  <c r="X20" i="9"/>
  <c r="F23" i="9"/>
  <c r="H23" i="9" s="1"/>
  <c r="F101" i="9"/>
  <c r="H101" i="9" s="1"/>
  <c r="F93" i="9"/>
  <c r="H93" i="9" s="1"/>
  <c r="F85" i="9"/>
  <c r="H85" i="9" s="1"/>
  <c r="F77" i="9"/>
  <c r="H77" i="9" s="1"/>
  <c r="F69" i="9"/>
  <c r="H69" i="9" s="1"/>
  <c r="F61" i="9"/>
  <c r="H61" i="9" s="1"/>
  <c r="F53" i="9"/>
  <c r="H53" i="9" s="1"/>
  <c r="F45" i="9"/>
  <c r="H45" i="9" s="1"/>
  <c r="X98" i="9"/>
  <c r="X82" i="9"/>
  <c r="X66" i="9"/>
  <c r="X50" i="9"/>
  <c r="X34" i="9"/>
  <c r="X18" i="9"/>
  <c r="F27" i="9"/>
  <c r="H27" i="9" s="1"/>
  <c r="X97" i="9"/>
  <c r="X81" i="9"/>
  <c r="X65" i="9"/>
  <c r="X49" i="9"/>
  <c r="X33" i="9"/>
  <c r="F102" i="9"/>
  <c r="F94" i="9"/>
  <c r="H94" i="9" s="1"/>
  <c r="F86" i="9"/>
  <c r="H86" i="9" s="1"/>
  <c r="F70" i="9"/>
  <c r="H70" i="9" s="1"/>
  <c r="F62" i="9"/>
  <c r="H62" i="9" s="1"/>
  <c r="F54" i="9"/>
  <c r="H54" i="9" s="1"/>
  <c r="F38" i="9"/>
  <c r="H38" i="9" s="1"/>
  <c r="F35" i="9"/>
  <c r="H35" i="9" s="1"/>
  <c r="F19" i="9"/>
  <c r="H19" i="9" s="1"/>
  <c r="F33" i="9"/>
  <c r="H33" i="9" s="1"/>
  <c r="F17" i="9"/>
  <c r="H17" i="9" s="1"/>
  <c r="F106" i="9"/>
  <c r="H106" i="9" s="1"/>
  <c r="F98" i="9"/>
  <c r="H98" i="9" s="1"/>
  <c r="F90" i="9"/>
  <c r="H90" i="9" s="1"/>
  <c r="F82" i="9"/>
  <c r="H82" i="9" s="1"/>
  <c r="F74" i="9"/>
  <c r="H74" i="9" s="1"/>
  <c r="F66" i="9"/>
  <c r="H66" i="9" s="1"/>
  <c r="F58" i="9"/>
  <c r="H58" i="9" s="1"/>
  <c r="F50" i="9"/>
  <c r="H50" i="9" s="1"/>
  <c r="F42" i="9"/>
  <c r="H42" i="9" s="1"/>
  <c r="F89" i="9"/>
  <c r="H89" i="9" s="1"/>
  <c r="F57" i="9"/>
  <c r="H57" i="9" s="1"/>
  <c r="F56" i="9"/>
  <c r="H56" i="9" s="1"/>
  <c r="F88" i="9"/>
  <c r="Z96" i="9"/>
  <c r="AC87" i="9"/>
  <c r="AC71" i="9"/>
  <c r="AC55" i="9"/>
  <c r="AC39" i="9"/>
  <c r="AC89" i="9"/>
  <c r="AC73" i="9"/>
  <c r="AC57" i="9"/>
  <c r="AC41" i="9"/>
  <c r="AC25" i="9"/>
  <c r="Z87" i="9"/>
  <c r="Z94" i="9"/>
  <c r="Z78" i="9"/>
  <c r="Z46" i="9"/>
  <c r="Z22" i="9"/>
  <c r="P52" i="9"/>
  <c r="Z105" i="9"/>
  <c r="Z89" i="9"/>
  <c r="Z73" i="9"/>
  <c r="Z55" i="9"/>
  <c r="Z23" i="9"/>
  <c r="Z106" i="9"/>
  <c r="Z90" i="9"/>
  <c r="Z74" i="9"/>
  <c r="Z58" i="9"/>
  <c r="Z42" i="9"/>
  <c r="Z26" i="9"/>
  <c r="AS96" i="9"/>
  <c r="AC23" i="9"/>
  <c r="AC105" i="9"/>
  <c r="AP20" i="9"/>
  <c r="AS93" i="9"/>
  <c r="AP99" i="9"/>
  <c r="AP28" i="9"/>
  <c r="AP37" i="9"/>
  <c r="AS87" i="9"/>
  <c r="AP62" i="9"/>
  <c r="AP77" i="9"/>
  <c r="AS85" i="9"/>
  <c r="Z107" i="9"/>
  <c r="Z91" i="9"/>
  <c r="Z75" i="9"/>
  <c r="Z59" i="9"/>
  <c r="Z43" i="9"/>
  <c r="Z27" i="9"/>
  <c r="AS71" i="9"/>
  <c r="AC64" i="9"/>
  <c r="AC48" i="9"/>
  <c r="AP26" i="9"/>
  <c r="AC102" i="9"/>
  <c r="AC86" i="9"/>
  <c r="AC70" i="9"/>
  <c r="AC54" i="9"/>
  <c r="AC38" i="9"/>
  <c r="AS50" i="9"/>
  <c r="AP22" i="9"/>
  <c r="Z101" i="9"/>
  <c r="Z85" i="9"/>
  <c r="Z69" i="9"/>
  <c r="Z37" i="9"/>
  <c r="Z21" i="9"/>
  <c r="AS73" i="9"/>
  <c r="AC52" i="9"/>
  <c r="AC36" i="9"/>
  <c r="AS59" i="9"/>
  <c r="Z99" i="9"/>
  <c r="Z83" i="9"/>
  <c r="Z67" i="9"/>
  <c r="Z51" i="9"/>
  <c r="Z35" i="9"/>
  <c r="Z19" i="9"/>
  <c r="AS44" i="9"/>
  <c r="Z100" i="9"/>
  <c r="Z84" i="9"/>
  <c r="Z68" i="9"/>
  <c r="AS29" i="9"/>
  <c r="AP58" i="9"/>
  <c r="AP71" i="9"/>
  <c r="AP93" i="9"/>
  <c r="AS100" i="9"/>
  <c r="Z71" i="9"/>
  <c r="AS78" i="9"/>
  <c r="Z70" i="9"/>
  <c r="AP51" i="9"/>
  <c r="Z17" i="9"/>
  <c r="AP59" i="9"/>
  <c r="AS86" i="9"/>
  <c r="AS94" i="9"/>
  <c r="Z57" i="9"/>
  <c r="AS23" i="9"/>
  <c r="AS38" i="9"/>
  <c r="AS52" i="9"/>
  <c r="AS80" i="9"/>
  <c r="AS95" i="9"/>
  <c r="Z86" i="9"/>
  <c r="AC69" i="9"/>
  <c r="AC37" i="9"/>
  <c r="Z54" i="9"/>
  <c r="AP24" i="9"/>
  <c r="AP67" i="9"/>
  <c r="AA53" i="9"/>
  <c r="AC93" i="9"/>
  <c r="AC77" i="9"/>
  <c r="AC61" i="9"/>
  <c r="AC45" i="9"/>
  <c r="AC29" i="9"/>
  <c r="Z53" i="9"/>
  <c r="AP18" i="9"/>
  <c r="AS39" i="9"/>
  <c r="AA88" i="9"/>
  <c r="Z76" i="9"/>
  <c r="Z60" i="9"/>
  <c r="Z44" i="9"/>
  <c r="Z28" i="9"/>
  <c r="Z41" i="9"/>
  <c r="AS25" i="9"/>
  <c r="AS32" i="9"/>
  <c r="AS68" i="9"/>
  <c r="AS74" i="9"/>
  <c r="Z103" i="9"/>
  <c r="Z39" i="9"/>
  <c r="Z102" i="9"/>
  <c r="Z38" i="9"/>
  <c r="AS33" i="9"/>
  <c r="AS62" i="9"/>
  <c r="AS69" i="9"/>
  <c r="AA25" i="9"/>
  <c r="AS55" i="9"/>
  <c r="AC104" i="9"/>
  <c r="AC88" i="9"/>
  <c r="AC72" i="9"/>
  <c r="AC56" i="9"/>
  <c r="AC40" i="9"/>
  <c r="AC24" i="9"/>
  <c r="Z25" i="9"/>
  <c r="AP64" i="9"/>
  <c r="AS76" i="9"/>
  <c r="AC103" i="9"/>
  <c r="AA39" i="9"/>
  <c r="AP49" i="9"/>
  <c r="AP84" i="9"/>
  <c r="Z104" i="9"/>
  <c r="Z88" i="9"/>
  <c r="Z72" i="9"/>
  <c r="Z56" i="9"/>
  <c r="Z40" i="9"/>
  <c r="Z24" i="9"/>
  <c r="AC100" i="9"/>
  <c r="AC84" i="9"/>
  <c r="AC68" i="9"/>
  <c r="AA95" i="9"/>
  <c r="AS84" i="9"/>
  <c r="AS89" i="9"/>
  <c r="AC83" i="9"/>
  <c r="AC35" i="9"/>
  <c r="AP34" i="9"/>
  <c r="AS58" i="9"/>
  <c r="AC98" i="9"/>
  <c r="AC82" i="9"/>
  <c r="AC66" i="9"/>
  <c r="AC50" i="9"/>
  <c r="AC34" i="9"/>
  <c r="AA81" i="9"/>
  <c r="AP29" i="9"/>
  <c r="AP39" i="9"/>
  <c r="AC97" i="9"/>
  <c r="AC81" i="9"/>
  <c r="AC65" i="9"/>
  <c r="AC49" i="9"/>
  <c r="AC33" i="9"/>
  <c r="AA74" i="9"/>
  <c r="AP35" i="9"/>
  <c r="AP52" i="9"/>
  <c r="AP85" i="9"/>
  <c r="AP96" i="9"/>
  <c r="Z52" i="9"/>
  <c r="Z36" i="9"/>
  <c r="Z20" i="9"/>
  <c r="AC96" i="9"/>
  <c r="AC80" i="9"/>
  <c r="AC32" i="9"/>
  <c r="AA67" i="9"/>
  <c r="AS35" i="9"/>
  <c r="AP40" i="9"/>
  <c r="AS75" i="9"/>
  <c r="AS91" i="9"/>
  <c r="AC95" i="9"/>
  <c r="AC79" i="9"/>
  <c r="AC63" i="9"/>
  <c r="AC47" i="9"/>
  <c r="AC31" i="9"/>
  <c r="AA60" i="9"/>
  <c r="AS40" i="9"/>
  <c r="AS46" i="9"/>
  <c r="AS53" i="9"/>
  <c r="AP80" i="9"/>
  <c r="AS104" i="9"/>
  <c r="AC85" i="9"/>
  <c r="P103" i="9"/>
  <c r="P95" i="9"/>
  <c r="P87" i="9"/>
  <c r="P79" i="9"/>
  <c r="P71" i="9"/>
  <c r="Z98" i="9"/>
  <c r="Z82" i="9"/>
  <c r="Z66" i="9"/>
  <c r="Z50" i="9"/>
  <c r="Z34" i="9"/>
  <c r="Z18" i="9"/>
  <c r="AC94" i="9"/>
  <c r="AC78" i="9"/>
  <c r="AC62" i="9"/>
  <c r="AC46" i="9"/>
  <c r="AC30" i="9"/>
  <c r="AP31" i="9"/>
  <c r="AP66" i="9"/>
  <c r="AS97" i="9"/>
  <c r="AC99" i="9"/>
  <c r="AC51" i="9"/>
  <c r="AA16" i="9"/>
  <c r="AA46" i="9"/>
  <c r="AS43" i="9"/>
  <c r="AP47" i="9"/>
  <c r="AQ53" i="9"/>
  <c r="AP76" i="9"/>
  <c r="AP86" i="9"/>
  <c r="AS99" i="9"/>
  <c r="AP105" i="9"/>
  <c r="Z80" i="9"/>
  <c r="Z64" i="9"/>
  <c r="Z48" i="9"/>
  <c r="Z32" i="9"/>
  <c r="AA18" i="9"/>
  <c r="AC92" i="9"/>
  <c r="AC76" i="9"/>
  <c r="AC60" i="9"/>
  <c r="AC44" i="9"/>
  <c r="AC28" i="9"/>
  <c r="AS41" i="9"/>
  <c r="AS60" i="9"/>
  <c r="AS81" i="9"/>
  <c r="AS98" i="9"/>
  <c r="AS105" i="9"/>
  <c r="AC53" i="9"/>
  <c r="Z95" i="9"/>
  <c r="Z79" i="9"/>
  <c r="Z63" i="9"/>
  <c r="Z47" i="9"/>
  <c r="Z31" i="9"/>
  <c r="AC107" i="9"/>
  <c r="AC91" i="9"/>
  <c r="AC75" i="9"/>
  <c r="AC59" i="9"/>
  <c r="AC43" i="9"/>
  <c r="AC27" i="9"/>
  <c r="AA32" i="9"/>
  <c r="AS26" i="9"/>
  <c r="AS31" i="9"/>
  <c r="AC101" i="9"/>
  <c r="AC67" i="9"/>
  <c r="Z62" i="9"/>
  <c r="Z30" i="9"/>
  <c r="AC106" i="9"/>
  <c r="AC90" i="9"/>
  <c r="AC74" i="9"/>
  <c r="AC58" i="9"/>
  <c r="AC42" i="9"/>
  <c r="AC26" i="9"/>
  <c r="AS42" i="9"/>
  <c r="AS82" i="9"/>
  <c r="AS106" i="9"/>
  <c r="Z93" i="9"/>
  <c r="Z77" i="9"/>
  <c r="Z61" i="9"/>
  <c r="Z45" i="9"/>
  <c r="Z29" i="9"/>
  <c r="AS56" i="9"/>
  <c r="Z92" i="9"/>
  <c r="AP32" i="9"/>
  <c r="AP43" i="9"/>
  <c r="AS49" i="9"/>
  <c r="AS77" i="9"/>
  <c r="AS107" i="9"/>
  <c r="AS28" i="9"/>
  <c r="AS34" i="9"/>
  <c r="AP38" i="9"/>
  <c r="AQ67" i="9"/>
  <c r="AP73" i="9"/>
  <c r="AS90" i="9"/>
  <c r="AS88" i="9"/>
  <c r="AP94" i="9"/>
  <c r="AS51" i="9"/>
  <c r="AS64" i="9"/>
  <c r="AS67" i="9"/>
  <c r="AP88" i="9"/>
  <c r="AP74" i="9"/>
  <c r="AQ74" i="9"/>
  <c r="AP83" i="9"/>
  <c r="AP92" i="9"/>
  <c r="AP101" i="9"/>
  <c r="AS103" i="9"/>
  <c r="AP17" i="9"/>
  <c r="AP56" i="9"/>
  <c r="AP65" i="9"/>
  <c r="AP27" i="9"/>
  <c r="AS65" i="9"/>
  <c r="AP25" i="9"/>
  <c r="AS27" i="9"/>
  <c r="AS36" i="9"/>
  <c r="AS45" i="9"/>
  <c r="AP54" i="9"/>
  <c r="AP63" i="9"/>
  <c r="AP72" i="9"/>
  <c r="AP81" i="9"/>
  <c r="AS83" i="9"/>
  <c r="AS92" i="9"/>
  <c r="AS101" i="9"/>
  <c r="AP103" i="9"/>
  <c r="AP36" i="9"/>
  <c r="AP45" i="9"/>
  <c r="AS47" i="9"/>
  <c r="AQ25" i="9"/>
  <c r="AS54" i="9"/>
  <c r="AS63" i="9"/>
  <c r="AS72" i="9"/>
  <c r="AQ81" i="9"/>
  <c r="AP23" i="9"/>
  <c r="AP61" i="9"/>
  <c r="AP70" i="9"/>
  <c r="AP79" i="9"/>
  <c r="AQ32" i="9"/>
  <c r="AP41" i="9"/>
  <c r="AP50" i="9"/>
  <c r="AS61" i="9"/>
  <c r="AS70" i="9"/>
  <c r="AS79" i="9"/>
  <c r="AQ88" i="9"/>
  <c r="AP97" i="9"/>
  <c r="AP106" i="9"/>
  <c r="AQ18" i="9"/>
  <c r="AP30" i="9"/>
  <c r="AP68" i="9"/>
  <c r="AP95" i="9"/>
  <c r="AQ39" i="9"/>
  <c r="AP48" i="9"/>
  <c r="AP57" i="9"/>
  <c r="AQ95" i="9"/>
  <c r="AP104" i="9"/>
  <c r="AS30" i="9"/>
  <c r="AP21" i="9"/>
  <c r="AP46" i="9"/>
  <c r="AS48" i="9"/>
  <c r="AS57" i="9"/>
  <c r="AS66" i="9"/>
  <c r="AP75" i="9"/>
  <c r="AP102" i="9"/>
  <c r="AP55" i="9"/>
  <c r="AS37" i="9"/>
  <c r="AQ46" i="9"/>
  <c r="AP44" i="9"/>
  <c r="AP53" i="9"/>
  <c r="AP82" i="9"/>
  <c r="AP91" i="9"/>
  <c r="AP100" i="9"/>
  <c r="AS102" i="9"/>
  <c r="AP19" i="9"/>
  <c r="AS24" i="9"/>
  <c r="AP33" i="9"/>
  <c r="AP42" i="9"/>
  <c r="AP60" i="9"/>
  <c r="AP89" i="9"/>
  <c r="AP98" i="9"/>
  <c r="AP107" i="9"/>
  <c r="AQ16" i="9"/>
  <c r="AQ60" i="9"/>
  <c r="AP69" i="9"/>
  <c r="AP78" i="9"/>
  <c r="AP87" i="9"/>
  <c r="P63" i="9"/>
  <c r="P47" i="9"/>
  <c r="P102" i="9"/>
  <c r="P94" i="9"/>
  <c r="P86" i="9"/>
  <c r="P78" i="9"/>
  <c r="P70" i="9"/>
  <c r="P62" i="9"/>
  <c r="P46" i="9"/>
  <c r="P56" i="9"/>
  <c r="P101" i="9"/>
  <c r="P93" i="9"/>
  <c r="P85" i="9"/>
  <c r="P77" i="9"/>
  <c r="P69" i="9"/>
  <c r="P92" i="9"/>
  <c r="P76" i="9"/>
  <c r="P48" i="9"/>
  <c r="P104" i="9"/>
  <c r="P96" i="9"/>
  <c r="P88" i="9"/>
  <c r="P80" i="9"/>
  <c r="P72" i="9"/>
  <c r="P64" i="9"/>
  <c r="P55" i="9"/>
  <c r="P45" i="9"/>
  <c r="P84" i="9"/>
  <c r="P91" i="9"/>
  <c r="P54" i="9"/>
  <c r="P99" i="9"/>
  <c r="P83" i="9"/>
  <c r="K58" i="9"/>
  <c r="P53" i="9"/>
  <c r="P107" i="9"/>
  <c r="P61" i="9"/>
  <c r="P98" i="9"/>
  <c r="P82" i="9"/>
  <c r="P66" i="9"/>
  <c r="K31" i="9"/>
  <c r="P106" i="9"/>
  <c r="P90" i="9"/>
  <c r="P74" i="9"/>
  <c r="P50" i="9"/>
  <c r="P105" i="9"/>
  <c r="P89" i="9"/>
  <c r="P73" i="9"/>
  <c r="P65" i="9"/>
  <c r="P57" i="9"/>
  <c r="P49" i="9"/>
  <c r="P100" i="9"/>
  <c r="I102" i="9"/>
  <c r="P60" i="9"/>
  <c r="P75" i="9"/>
  <c r="P59" i="9"/>
  <c r="P58" i="9"/>
  <c r="K30" i="9"/>
  <c r="K29" i="9"/>
  <c r="P68" i="9"/>
  <c r="P67" i="9"/>
  <c r="P51" i="9"/>
  <c r="P97" i="9"/>
  <c r="P81" i="9"/>
  <c r="K101" i="9"/>
  <c r="K61" i="9"/>
  <c r="K92" i="9"/>
  <c r="K76" i="9"/>
  <c r="K105" i="9"/>
  <c r="K28" i="9"/>
  <c r="K52" i="9"/>
  <c r="K96" i="9"/>
  <c r="K27" i="9"/>
  <c r="K95" i="9"/>
  <c r="K87" i="9"/>
  <c r="K63" i="9"/>
  <c r="K94" i="9"/>
  <c r="K54" i="9"/>
  <c r="K53" i="9"/>
  <c r="K45" i="9"/>
  <c r="K44" i="9"/>
  <c r="K107" i="9"/>
  <c r="K91" i="9"/>
  <c r="K83" i="9"/>
  <c r="K33" i="9"/>
  <c r="K32" i="9"/>
  <c r="K98" i="9"/>
  <c r="K90" i="9"/>
  <c r="K82" i="9"/>
  <c r="I74" i="9"/>
  <c r="K50" i="9"/>
  <c r="K42" i="9"/>
  <c r="K65" i="9"/>
  <c r="K57" i="9"/>
  <c r="K26" i="9"/>
  <c r="I88" i="9"/>
  <c r="K72" i="9"/>
  <c r="K56" i="9"/>
  <c r="K48" i="9"/>
  <c r="K40" i="9"/>
  <c r="K24" i="9"/>
  <c r="K47" i="9"/>
  <c r="I25" i="9"/>
  <c r="K23" i="9"/>
  <c r="K78" i="9"/>
  <c r="K37" i="9"/>
  <c r="K36" i="9"/>
  <c r="K85" i="9"/>
  <c r="K69" i="9"/>
  <c r="K104" i="9"/>
  <c r="K35" i="9"/>
  <c r="K34" i="9"/>
  <c r="I67" i="9"/>
  <c r="I18" i="9"/>
  <c r="K75" i="9"/>
  <c r="K43" i="9"/>
  <c r="K74" i="9"/>
  <c r="K106" i="9"/>
  <c r="K89" i="9"/>
  <c r="K73" i="9"/>
  <c r="K41" i="9"/>
  <c r="K25" i="9"/>
  <c r="K88" i="9"/>
  <c r="K71" i="9"/>
  <c r="K55" i="9"/>
  <c r="K39" i="9"/>
  <c r="K103" i="9"/>
  <c r="K102" i="9"/>
  <c r="K86" i="9"/>
  <c r="K70" i="9"/>
  <c r="K38" i="9"/>
  <c r="I32" i="9"/>
  <c r="K93" i="9"/>
  <c r="K100" i="9"/>
  <c r="K84" i="9"/>
  <c r="K68" i="9"/>
  <c r="I60" i="9"/>
  <c r="K99" i="9"/>
  <c r="K51" i="9"/>
  <c r="K66" i="9"/>
  <c r="K97" i="9"/>
  <c r="K81" i="9"/>
  <c r="K49" i="9"/>
  <c r="I81" i="9"/>
  <c r="K80" i="9"/>
  <c r="K64" i="9"/>
  <c r="I95" i="9"/>
  <c r="K79" i="9"/>
  <c r="K77" i="9"/>
  <c r="K62" i="9"/>
  <c r="K46" i="9"/>
  <c r="K108" i="9"/>
  <c r="I39" i="9"/>
  <c r="I46" i="9"/>
  <c r="I53" i="9"/>
  <c r="I16" i="9"/>
  <c r="J18" i="3"/>
  <c r="K18" i="3" s="1"/>
  <c r="J20" i="3"/>
  <c r="K20" i="3" s="1"/>
  <c r="K16" i="3"/>
  <c r="C14" i="12" l="1" a="1"/>
  <c r="B14" i="12"/>
  <c r="AW356" i="9"/>
  <c r="AT357" i="9"/>
  <c r="AW425" i="9"/>
  <c r="AT426" i="9"/>
  <c r="AW236" i="9"/>
  <c r="AT237" i="9"/>
  <c r="AW306" i="9"/>
  <c r="AT307" i="9"/>
  <c r="L300" i="9"/>
  <c r="O299" i="9"/>
  <c r="O348" i="9"/>
  <c r="L349" i="9"/>
  <c r="L412" i="9"/>
  <c r="O411" i="9"/>
  <c r="L482" i="9"/>
  <c r="O481" i="9"/>
  <c r="L475" i="9"/>
  <c r="O474" i="9"/>
  <c r="N4" i="14"/>
  <c r="O4" i="14" s="1"/>
  <c r="P4" i="14" s="1"/>
  <c r="AW369" i="9"/>
  <c r="AT370" i="9"/>
  <c r="E6" i="3"/>
  <c r="F3" i="9"/>
  <c r="F12" i="9" s="1"/>
  <c r="H4" i="3"/>
  <c r="N16" i="3"/>
  <c r="D8" i="3"/>
  <c r="S5" i="10"/>
  <c r="H13" i="12" s="1" a="1"/>
  <c r="AG5" i="10" a="1"/>
  <c r="O425" i="9"/>
  <c r="L426" i="9"/>
  <c r="L244" i="9"/>
  <c r="O243" i="9"/>
  <c r="F8" i="9"/>
  <c r="F7" i="9"/>
  <c r="F6" i="9"/>
  <c r="F5" i="9"/>
  <c r="F4" i="9"/>
  <c r="AT265" i="9"/>
  <c r="AW264" i="9"/>
  <c r="AW348" i="9"/>
  <c r="AT349" i="9"/>
  <c r="AT280" i="9"/>
  <c r="AW279" i="9"/>
  <c r="AW280" i="9"/>
  <c r="AT281" i="9"/>
  <c r="O404" i="9"/>
  <c r="L405" i="9"/>
  <c r="O285" i="9"/>
  <c r="L286" i="9"/>
  <c r="O313" i="9"/>
  <c r="L314" i="9"/>
  <c r="L307" i="9"/>
  <c r="O306" i="9"/>
  <c r="O383" i="9"/>
  <c r="L384" i="9"/>
  <c r="O432" i="9"/>
  <c r="L433" i="9"/>
  <c r="O418" i="9"/>
  <c r="L419" i="9"/>
  <c r="AT420" i="9"/>
  <c r="AW419" i="9"/>
  <c r="AT377" i="9"/>
  <c r="AW376" i="9"/>
  <c r="O376" i="9"/>
  <c r="L377" i="9"/>
  <c r="AW404" i="9"/>
  <c r="AT405" i="9"/>
  <c r="O341" i="9"/>
  <c r="L342" i="9"/>
  <c r="AW432" i="9"/>
  <c r="AT433" i="9"/>
  <c r="AW467" i="9"/>
  <c r="AT468" i="9"/>
  <c r="O320" i="9"/>
  <c r="L321" i="9"/>
  <c r="O453" i="9"/>
  <c r="L454" i="9"/>
  <c r="AT364" i="9"/>
  <c r="AW363" i="9"/>
  <c r="AT335" i="9"/>
  <c r="AW334" i="9"/>
  <c r="AL16" i="9"/>
  <c r="C25" i="12" a="1"/>
  <c r="A33" i="12"/>
  <c r="C9" i="12" a="1"/>
  <c r="A31" i="12"/>
  <c r="C8" i="12" a="1"/>
  <c r="A29" i="12"/>
  <c r="C7" i="12" a="1"/>
  <c r="A28" i="12"/>
  <c r="C6" i="12" a="1"/>
  <c r="O355" i="9"/>
  <c r="L356" i="9"/>
  <c r="AW328" i="9"/>
  <c r="AT329" i="9"/>
  <c r="AT384" i="9"/>
  <c r="AW383" i="9"/>
  <c r="AO153" i="9"/>
  <c r="AO147" i="9"/>
  <c r="AO191" i="9"/>
  <c r="AO178" i="9"/>
  <c r="AO168" i="9"/>
  <c r="AO145" i="9"/>
  <c r="AO185" i="9"/>
  <c r="AO309" i="9"/>
  <c r="AO306" i="9"/>
  <c r="AO303" i="9"/>
  <c r="AO300" i="9"/>
  <c r="AO297" i="9"/>
  <c r="AO294" i="9"/>
  <c r="AO243" i="9"/>
  <c r="AO240" i="9"/>
  <c r="AO237" i="9"/>
  <c r="AO222" i="9"/>
  <c r="AO219" i="9"/>
  <c r="AO216" i="9"/>
  <c r="AO213" i="9"/>
  <c r="AO210" i="9"/>
  <c r="AO207" i="9"/>
  <c r="AO204" i="9"/>
  <c r="AO201" i="9"/>
  <c r="AO198" i="9"/>
  <c r="AO195" i="9"/>
  <c r="AO192" i="9"/>
  <c r="AO437" i="9"/>
  <c r="AO143" i="9"/>
  <c r="AO141" i="9"/>
  <c r="AO139" i="9"/>
  <c r="AO137" i="9"/>
  <c r="AO135" i="9"/>
  <c r="AO277" i="9"/>
  <c r="AO383" i="9"/>
  <c r="AO130" i="9"/>
  <c r="AO129" i="9"/>
  <c r="AO328" i="9"/>
  <c r="AO125" i="9"/>
  <c r="AO276" i="9"/>
  <c r="AO227" i="9"/>
  <c r="AO172" i="9"/>
  <c r="AO120" i="9"/>
  <c r="AO187" i="9"/>
  <c r="AO155" i="9"/>
  <c r="AO384" i="9"/>
  <c r="AO278" i="9"/>
  <c r="AO290" i="9"/>
  <c r="AO275" i="9"/>
  <c r="AO272" i="9"/>
  <c r="AO189" i="9"/>
  <c r="AO455" i="9"/>
  <c r="AO399" i="9"/>
  <c r="AO337" i="9"/>
  <c r="AO450" i="9"/>
  <c r="AO396" i="9"/>
  <c r="AO339" i="9"/>
  <c r="AO233" i="9"/>
  <c r="AO449" i="9"/>
  <c r="AO391" i="9"/>
  <c r="AO336" i="9"/>
  <c r="AO234" i="9"/>
  <c r="AO152" i="9"/>
  <c r="AO459" i="9"/>
  <c r="AO444" i="9"/>
  <c r="AO343" i="9"/>
  <c r="AO286" i="9"/>
  <c r="AO166" i="9"/>
  <c r="AO156" i="9"/>
  <c r="AO170" i="9"/>
  <c r="AO150" i="9"/>
  <c r="AO182" i="9"/>
  <c r="AO230" i="9"/>
  <c r="AO188" i="9"/>
  <c r="AO146" i="9"/>
  <c r="AO307" i="9"/>
  <c r="AO304" i="9"/>
  <c r="AO301" i="9"/>
  <c r="AO298" i="9"/>
  <c r="AO295" i="9"/>
  <c r="AO244" i="9"/>
  <c r="AO241" i="9"/>
  <c r="AO238" i="9"/>
  <c r="AO235" i="9"/>
  <c r="AO220" i="9"/>
  <c r="AO217" i="9"/>
  <c r="AO214" i="9"/>
  <c r="AO211" i="9"/>
  <c r="AO208" i="9"/>
  <c r="AO205" i="9"/>
  <c r="AO202" i="9"/>
  <c r="AO200" i="9"/>
  <c r="AO197" i="9"/>
  <c r="AO194" i="9"/>
  <c r="AO177" i="9"/>
  <c r="AO144" i="9"/>
  <c r="AO142" i="9"/>
  <c r="AO140" i="9"/>
  <c r="AO138" i="9"/>
  <c r="AO134" i="9"/>
  <c r="AO491" i="9"/>
  <c r="AO329" i="9"/>
  <c r="AO131" i="9"/>
  <c r="AO173" i="9"/>
  <c r="AO127" i="9"/>
  <c r="AO126" i="9"/>
  <c r="AO435" i="9"/>
  <c r="AO122" i="9"/>
  <c r="AO489" i="9"/>
  <c r="AO381" i="9"/>
  <c r="AO488" i="9"/>
  <c r="AO161" i="9"/>
  <c r="AO181" i="9"/>
  <c r="AO226" i="9"/>
  <c r="AO291" i="9"/>
  <c r="AO288" i="9"/>
  <c r="AO273" i="9"/>
  <c r="AO441" i="9"/>
  <c r="AO387" i="9"/>
  <c r="AO457" i="9"/>
  <c r="AO438" i="9"/>
  <c r="AO344" i="9"/>
  <c r="AO285" i="9"/>
  <c r="AO454" i="9"/>
  <c r="AO398" i="9"/>
  <c r="AO341" i="9"/>
  <c r="AO284" i="9"/>
  <c r="AO119" i="9"/>
  <c r="AO434" i="9"/>
  <c r="AO269" i="9"/>
  <c r="AO447" i="9"/>
  <c r="AO389" i="9"/>
  <c r="AO331" i="9"/>
  <c r="AO165" i="9"/>
  <c r="AO171" i="9"/>
  <c r="AO159" i="9"/>
  <c r="AO330" i="9"/>
  <c r="AO151" i="9"/>
  <c r="AO175" i="9"/>
  <c r="AO154" i="9"/>
  <c r="AO224" i="9"/>
  <c r="AO486" i="9"/>
  <c r="AO485" i="9"/>
  <c r="AO484" i="9"/>
  <c r="AO483" i="9"/>
  <c r="AO482" i="9"/>
  <c r="AO481" i="9"/>
  <c r="AO480" i="9"/>
  <c r="AO479" i="9"/>
  <c r="AO478" i="9"/>
  <c r="AO477" i="9"/>
  <c r="AO476" i="9"/>
  <c r="AO475" i="9"/>
  <c r="AO474" i="9"/>
  <c r="AO473" i="9"/>
  <c r="AO472" i="9"/>
  <c r="AO471" i="9"/>
  <c r="AO470" i="9"/>
  <c r="AO469" i="9"/>
  <c r="AO468" i="9"/>
  <c r="AO467" i="9"/>
  <c r="AO466" i="9"/>
  <c r="AO465" i="9"/>
  <c r="AO464" i="9"/>
  <c r="AO463" i="9"/>
  <c r="AO462" i="9"/>
  <c r="AO461" i="9"/>
  <c r="AO460" i="9"/>
  <c r="AO433" i="9"/>
  <c r="AO432" i="9"/>
  <c r="AO431" i="9"/>
  <c r="AO430" i="9"/>
  <c r="AO429" i="9"/>
  <c r="AO428" i="9"/>
  <c r="AO427" i="9"/>
  <c r="AO426" i="9"/>
  <c r="AO425" i="9"/>
  <c r="AO424" i="9"/>
  <c r="AO423" i="9"/>
  <c r="AO422" i="9"/>
  <c r="AO421" i="9"/>
  <c r="AO420" i="9"/>
  <c r="AO419" i="9"/>
  <c r="AO418" i="9"/>
  <c r="AO417" i="9"/>
  <c r="AO416" i="9"/>
  <c r="AO415" i="9"/>
  <c r="AO414" i="9"/>
  <c r="AO413" i="9"/>
  <c r="AO412" i="9"/>
  <c r="AO411" i="9"/>
  <c r="AO410" i="9"/>
  <c r="AO409" i="9"/>
  <c r="AO408" i="9"/>
  <c r="AO407" i="9"/>
  <c r="AO406" i="9"/>
  <c r="AO405" i="9"/>
  <c r="AO404" i="9"/>
  <c r="AO403" i="9"/>
  <c r="AO402" i="9"/>
  <c r="AO401" i="9"/>
  <c r="AO190" i="9"/>
  <c r="AO167" i="9"/>
  <c r="AO158" i="9"/>
  <c r="AO149" i="9"/>
  <c r="AO223" i="9"/>
  <c r="AO380" i="9"/>
  <c r="AO379" i="9"/>
  <c r="AO378" i="9"/>
  <c r="AO377" i="9"/>
  <c r="AO376" i="9"/>
  <c r="AO375" i="9"/>
  <c r="AO374" i="9"/>
  <c r="AO373" i="9"/>
  <c r="AO372" i="9"/>
  <c r="AO371" i="9"/>
  <c r="AO370" i="9"/>
  <c r="AO369" i="9"/>
  <c r="AO368" i="9"/>
  <c r="AO367" i="9"/>
  <c r="AO366" i="9"/>
  <c r="AO365" i="9"/>
  <c r="AO364" i="9"/>
  <c r="AO363" i="9"/>
  <c r="AO362" i="9"/>
  <c r="AO361" i="9"/>
  <c r="AO360" i="9"/>
  <c r="AO359" i="9"/>
  <c r="AO358" i="9"/>
  <c r="AO357" i="9"/>
  <c r="AO356" i="9"/>
  <c r="AO355" i="9"/>
  <c r="AO354" i="9"/>
  <c r="AO353" i="9"/>
  <c r="AO352" i="9"/>
  <c r="AO351" i="9"/>
  <c r="AO350" i="9"/>
  <c r="AO349" i="9"/>
  <c r="AO348" i="9"/>
  <c r="AO347" i="9"/>
  <c r="AO346" i="9"/>
  <c r="AO345" i="9"/>
  <c r="AO327" i="9"/>
  <c r="AO326" i="9"/>
  <c r="AO325" i="9"/>
  <c r="AO324" i="9"/>
  <c r="AO323" i="9"/>
  <c r="AO322" i="9"/>
  <c r="AO321" i="9"/>
  <c r="AO320" i="9"/>
  <c r="AO319" i="9"/>
  <c r="AO318" i="9"/>
  <c r="AO317" i="9"/>
  <c r="AO316" i="9"/>
  <c r="AO315" i="9"/>
  <c r="AO314" i="9"/>
  <c r="AO313" i="9"/>
  <c r="AO312" i="9"/>
  <c r="AO311" i="9"/>
  <c r="AO310" i="9"/>
  <c r="AO184" i="9"/>
  <c r="AO487" i="9"/>
  <c r="AO180" i="9"/>
  <c r="AO162" i="9"/>
  <c r="AO157" i="9"/>
  <c r="AO179" i="9"/>
  <c r="AO163" i="9"/>
  <c r="AO308" i="9"/>
  <c r="AO305" i="9"/>
  <c r="AO302" i="9"/>
  <c r="AO299" i="9"/>
  <c r="AO296" i="9"/>
  <c r="AO245" i="9"/>
  <c r="AO242" i="9"/>
  <c r="AO239" i="9"/>
  <c r="AO236" i="9"/>
  <c r="AO221" i="9"/>
  <c r="AO218" i="9"/>
  <c r="AO215" i="9"/>
  <c r="AO212" i="9"/>
  <c r="AO209" i="9"/>
  <c r="AO206" i="9"/>
  <c r="AO203" i="9"/>
  <c r="AO199" i="9"/>
  <c r="AO196" i="9"/>
  <c r="AO193" i="9"/>
  <c r="AO186" i="9"/>
  <c r="AO148" i="9"/>
  <c r="AO229" i="9"/>
  <c r="AO174" i="9"/>
  <c r="AO136" i="9"/>
  <c r="AO133" i="9"/>
  <c r="AO436" i="9"/>
  <c r="AO132" i="9"/>
  <c r="AO228" i="9"/>
  <c r="AO128" i="9"/>
  <c r="AO490" i="9"/>
  <c r="AO124" i="9"/>
  <c r="AO123" i="9"/>
  <c r="AO382" i="9"/>
  <c r="AO121" i="9"/>
  <c r="AO225" i="9"/>
  <c r="AO169" i="9"/>
  <c r="AO493" i="9"/>
  <c r="AO164" i="9"/>
  <c r="AO292" i="9"/>
  <c r="AO289" i="9"/>
  <c r="AO274" i="9"/>
  <c r="AO271" i="9"/>
  <c r="AO183" i="9"/>
  <c r="AO293" i="9"/>
  <c r="AO393" i="9"/>
  <c r="AO279" i="9"/>
  <c r="AO445" i="9"/>
  <c r="AO390" i="9"/>
  <c r="AO333" i="9"/>
  <c r="AO176" i="9"/>
  <c r="AO442" i="9"/>
  <c r="AO386" i="9"/>
  <c r="AO332" i="9"/>
  <c r="AO160" i="9"/>
  <c r="AO270" i="9"/>
  <c r="AO453" i="9"/>
  <c r="AO439" i="9"/>
  <c r="AO395" i="9"/>
  <c r="AO340" i="9"/>
  <c r="AO335" i="9"/>
  <c r="AO282" i="9"/>
  <c r="AO280" i="9"/>
  <c r="AO231" i="9"/>
  <c r="AO268" i="9"/>
  <c r="AO267" i="9"/>
  <c r="AO266" i="9"/>
  <c r="AO265" i="9"/>
  <c r="AO264" i="9"/>
  <c r="AO263" i="9"/>
  <c r="AO262" i="9"/>
  <c r="AO261" i="9"/>
  <c r="AO458" i="9"/>
  <c r="AO452" i="9"/>
  <c r="AO446" i="9"/>
  <c r="AO440" i="9"/>
  <c r="AO397" i="9"/>
  <c r="AO392" i="9"/>
  <c r="AO388" i="9"/>
  <c r="AO342" i="9"/>
  <c r="AO338" i="9"/>
  <c r="AO334" i="9"/>
  <c r="AO287" i="9"/>
  <c r="AO283" i="9"/>
  <c r="AO281" i="9"/>
  <c r="AO232" i="9"/>
  <c r="AO260" i="9"/>
  <c r="AO259" i="9"/>
  <c r="AO258" i="9"/>
  <c r="AO456" i="9"/>
  <c r="AO451" i="9"/>
  <c r="AO443" i="9"/>
  <c r="AO400" i="9"/>
  <c r="AO394" i="9"/>
  <c r="AO385" i="9"/>
  <c r="AO257" i="9"/>
  <c r="AO256" i="9"/>
  <c r="AO255" i="9"/>
  <c r="AO254" i="9"/>
  <c r="AO253" i="9"/>
  <c r="AO252" i="9"/>
  <c r="AO251" i="9"/>
  <c r="AO250" i="9"/>
  <c r="AO249" i="9"/>
  <c r="AO248" i="9"/>
  <c r="AO247" i="9"/>
  <c r="AO246" i="9"/>
  <c r="AO448" i="9"/>
  <c r="AS126" i="9"/>
  <c r="AP120" i="9"/>
  <c r="AN120" i="9"/>
  <c r="AP119" i="9"/>
  <c r="AN119" i="9"/>
  <c r="AW257" i="9"/>
  <c r="AT258" i="9"/>
  <c r="AT244" i="9"/>
  <c r="AW243" i="9"/>
  <c r="AW313" i="9"/>
  <c r="AT314" i="9"/>
  <c r="O467" i="9"/>
  <c r="L468" i="9"/>
  <c r="AW292" i="9"/>
  <c r="AT293" i="9"/>
  <c r="O292" i="9"/>
  <c r="L293" i="9"/>
  <c r="O446" i="9"/>
  <c r="L447" i="9"/>
  <c r="O461" i="9"/>
  <c r="L462" i="9"/>
  <c r="O439" i="9"/>
  <c r="L440" i="9"/>
  <c r="L267" i="9"/>
  <c r="O266" i="9"/>
  <c r="O278" i="9"/>
  <c r="L279" i="9"/>
  <c r="O271" i="9"/>
  <c r="L272" i="9"/>
  <c r="L391" i="9"/>
  <c r="O390" i="9"/>
  <c r="L398" i="9"/>
  <c r="O397" i="9"/>
  <c r="L251" i="9"/>
  <c r="O250" i="9"/>
  <c r="L258" i="9"/>
  <c r="O257" i="9"/>
  <c r="L413" i="9"/>
  <c r="O412" i="9"/>
  <c r="O349" i="9"/>
  <c r="L350" i="9"/>
  <c r="L328" i="9"/>
  <c r="O327" i="9"/>
  <c r="AW250" i="9"/>
  <c r="AT251" i="9"/>
  <c r="AW299" i="9"/>
  <c r="AT300" i="9"/>
  <c r="AW341" i="9"/>
  <c r="AT342" i="9"/>
  <c r="AW390" i="9"/>
  <c r="AT391" i="9"/>
  <c r="AW439" i="9"/>
  <c r="AT440" i="9"/>
  <c r="AW488" i="9"/>
  <c r="AT489" i="9"/>
  <c r="AW229" i="9"/>
  <c r="AT230" i="9"/>
  <c r="M218" i="9"/>
  <c r="M219" i="9" s="1"/>
  <c r="M220" i="9" s="1"/>
  <c r="N396" i="9" a="1"/>
  <c r="N397" i="9" s="1"/>
  <c r="N398" i="9" s="1"/>
  <c r="N399" i="9" s="1"/>
  <c r="N400" i="9" s="1"/>
  <c r="N401" i="9" s="1"/>
  <c r="N402" i="9" s="1"/>
  <c r="AW200" i="9"/>
  <c r="AT201" i="9"/>
  <c r="M197" i="9"/>
  <c r="M198" i="9" s="1"/>
  <c r="M199" i="9" s="1"/>
  <c r="N375" i="9" a="1"/>
  <c r="N376" i="9" s="1"/>
  <c r="N377" i="9" s="1"/>
  <c r="N378" i="9" s="1"/>
  <c r="N379" i="9" s="1"/>
  <c r="N380" i="9" s="1"/>
  <c r="N381" i="9" s="1"/>
  <c r="M169" i="9"/>
  <c r="M170" i="9" s="1"/>
  <c r="M171" i="9" s="1"/>
  <c r="N347" i="9" a="1"/>
  <c r="N348" i="9" s="1"/>
  <c r="N349" i="9" s="1"/>
  <c r="N350" i="9" s="1"/>
  <c r="N351" i="9" s="1"/>
  <c r="N352" i="9" s="1"/>
  <c r="N353" i="9" s="1"/>
  <c r="M176" i="9"/>
  <c r="M177" i="9" s="1"/>
  <c r="M178" i="9" s="1"/>
  <c r="N354" i="9" a="1"/>
  <c r="N355" i="9" s="1"/>
  <c r="N356" i="9" s="1"/>
  <c r="N357" i="9" s="1"/>
  <c r="N358" i="9" s="1"/>
  <c r="N359" i="9" s="1"/>
  <c r="N360" i="9" s="1"/>
  <c r="AD221" i="9"/>
  <c r="AD228" i="9"/>
  <c r="L237" i="9"/>
  <c r="O236" i="9"/>
  <c r="O229" i="9"/>
  <c r="L230" i="9"/>
  <c r="O365" i="9"/>
  <c r="L366" i="9"/>
  <c r="O371" i="9"/>
  <c r="L372" i="9"/>
  <c r="M211" i="9"/>
  <c r="M212" i="9" s="1"/>
  <c r="M213" i="9" s="1"/>
  <c r="N389" i="9" a="1"/>
  <c r="N390" i="9" s="1"/>
  <c r="N391" i="9" s="1"/>
  <c r="N392" i="9" s="1"/>
  <c r="N393" i="9" s="1"/>
  <c r="N394" i="9" s="1"/>
  <c r="N395" i="9" s="1"/>
  <c r="M183" i="9"/>
  <c r="M184" i="9" s="1"/>
  <c r="M185" i="9" s="1"/>
  <c r="N361" i="9" a="1"/>
  <c r="N362" i="9" s="1"/>
  <c r="N363" i="9" s="1"/>
  <c r="N364" i="9" s="1"/>
  <c r="N365" i="9" s="1"/>
  <c r="N366" i="9" s="1"/>
  <c r="N367" i="9" s="1"/>
  <c r="AE221" i="9" a="1"/>
  <c r="D6" i="3"/>
  <c r="G251" i="9"/>
  <c r="G250" i="9"/>
  <c r="G246" i="9"/>
  <c r="G226" i="9"/>
  <c r="G235" i="9"/>
  <c r="G228" i="9"/>
  <c r="G225" i="9"/>
  <c r="G221" i="9"/>
  <c r="G227" i="9"/>
  <c r="G242" i="9"/>
  <c r="G240" i="9"/>
  <c r="G244" i="9"/>
  <c r="G241" i="9"/>
  <c r="G237" i="9"/>
  <c r="G243" i="9"/>
  <c r="G224" i="9"/>
  <c r="G253" i="9"/>
  <c r="G220" i="9"/>
  <c r="G234" i="9"/>
  <c r="G222" i="9"/>
  <c r="G232" i="9"/>
  <c r="G236" i="9"/>
  <c r="G238" i="9"/>
  <c r="G248" i="9"/>
  <c r="G252" i="9"/>
  <c r="G229" i="9"/>
  <c r="G233" i="9"/>
  <c r="G247" i="9"/>
  <c r="G239" i="9"/>
  <c r="G231" i="9"/>
  <c r="G230" i="9"/>
  <c r="G245" i="9"/>
  <c r="G249" i="9"/>
  <c r="O194" i="9"/>
  <c r="O193" i="9"/>
  <c r="O223" i="9"/>
  <c r="L224" i="9"/>
  <c r="O170" i="9"/>
  <c r="O166" i="9"/>
  <c r="O165" i="9"/>
  <c r="AW223" i="9"/>
  <c r="AW222" i="9"/>
  <c r="AW214" i="9"/>
  <c r="AW215" i="9"/>
  <c r="AV221" i="9"/>
  <c r="AV222" i="9" s="1"/>
  <c r="AV223" i="9" s="1"/>
  <c r="AV224" i="9" s="1"/>
  <c r="AV225" i="9" s="1"/>
  <c r="AV226" i="9" s="1"/>
  <c r="AV227" i="9" s="1"/>
  <c r="AW221" i="9"/>
  <c r="AV214" i="9"/>
  <c r="AV215" i="9" s="1"/>
  <c r="AV216" i="9" s="1"/>
  <c r="AV217" i="9" s="1"/>
  <c r="AV218" i="9" s="1"/>
  <c r="AV219" i="9" s="1"/>
  <c r="AV220" i="9" s="1"/>
  <c r="AW224" i="9"/>
  <c r="AT226" i="9"/>
  <c r="AW225" i="9"/>
  <c r="AT217" i="9"/>
  <c r="AW217" i="9" s="1"/>
  <c r="AV207" i="9"/>
  <c r="AV208" i="9" s="1"/>
  <c r="AV209" i="9" s="1"/>
  <c r="AV210" i="9" s="1"/>
  <c r="AV211" i="9" s="1"/>
  <c r="AV212" i="9" s="1"/>
  <c r="AV213" i="9" s="1"/>
  <c r="AD220" i="9"/>
  <c r="AG220" i="9" s="1"/>
  <c r="AD218" i="9"/>
  <c r="AD217" i="9"/>
  <c r="AD216" i="9"/>
  <c r="AD215" i="9"/>
  <c r="AD219" i="9"/>
  <c r="AF214" i="9"/>
  <c r="AF215" i="9" s="1"/>
  <c r="AF216" i="9" s="1"/>
  <c r="AF217" i="9" s="1"/>
  <c r="AF218" i="9" s="1"/>
  <c r="AF219" i="9" s="1"/>
  <c r="AE215" i="9"/>
  <c r="AE216" i="9" s="1"/>
  <c r="AE217" i="9" s="1"/>
  <c r="AE218" i="9" s="1"/>
  <c r="AE219" i="9" s="1"/>
  <c r="O168" i="9"/>
  <c r="O167" i="9"/>
  <c r="G217" i="9"/>
  <c r="G215" i="9"/>
  <c r="G219" i="9"/>
  <c r="G216" i="9"/>
  <c r="G218" i="9"/>
  <c r="L215" i="9"/>
  <c r="O214" i="9"/>
  <c r="G211" i="9"/>
  <c r="G210" i="9"/>
  <c r="G209" i="9"/>
  <c r="AT208" i="9"/>
  <c r="AW207" i="9"/>
  <c r="G197" i="9"/>
  <c r="G199" i="9"/>
  <c r="G208" i="9"/>
  <c r="G206" i="9"/>
  <c r="G204" i="9"/>
  <c r="G201" i="9"/>
  <c r="G200" i="9"/>
  <c r="G207" i="9"/>
  <c r="G202" i="9"/>
  <c r="G196" i="9"/>
  <c r="G203" i="9"/>
  <c r="G198" i="9"/>
  <c r="L202" i="9"/>
  <c r="O201" i="9"/>
  <c r="O169" i="9"/>
  <c r="G205" i="9"/>
  <c r="AE209" i="9"/>
  <c r="AE210" i="9" s="1"/>
  <c r="AE211" i="9" s="1"/>
  <c r="AE212" i="9" s="1"/>
  <c r="AE213" i="9" s="1"/>
  <c r="AF208" i="9"/>
  <c r="AF209" i="9" s="1"/>
  <c r="AF210" i="9" s="1"/>
  <c r="AF211" i="9" s="1"/>
  <c r="AF212" i="9" s="1"/>
  <c r="AF213" i="9" s="1"/>
  <c r="AD213" i="9"/>
  <c r="AD212" i="9"/>
  <c r="AG212" i="9" s="1"/>
  <c r="AD208" i="9"/>
  <c r="AG208" i="9" s="1"/>
  <c r="AG207" i="9"/>
  <c r="AD211" i="9"/>
  <c r="AG211" i="9" s="1"/>
  <c r="AD210" i="9"/>
  <c r="AG210" i="9" s="1"/>
  <c r="AD209" i="9"/>
  <c r="AG209" i="9" s="1"/>
  <c r="O207" i="9"/>
  <c r="L208" i="9"/>
  <c r="O196" i="9"/>
  <c r="L197" i="9"/>
  <c r="O195" i="9"/>
  <c r="AE159" i="9" a="1"/>
  <c r="AF159" i="9" s="1"/>
  <c r="O176" i="9"/>
  <c r="AW186" i="9"/>
  <c r="AC112" i="9"/>
  <c r="AW190" i="9"/>
  <c r="AW195" i="9"/>
  <c r="O186" i="9"/>
  <c r="O173" i="9"/>
  <c r="O172" i="9"/>
  <c r="AE144" i="9" a="1"/>
  <c r="AW165" i="9"/>
  <c r="O141" i="9"/>
  <c r="O138" i="9"/>
  <c r="O177" i="9"/>
  <c r="O175" i="9"/>
  <c r="O174" i="9"/>
  <c r="O140" i="9"/>
  <c r="L189" i="9"/>
  <c r="O188" i="9"/>
  <c r="O187" i="9"/>
  <c r="N165" i="9"/>
  <c r="N166" i="9" s="1"/>
  <c r="N167" i="9" s="1"/>
  <c r="N168" i="9" s="1"/>
  <c r="N169" i="9" s="1"/>
  <c r="N170" i="9" s="1"/>
  <c r="N171" i="9" s="1"/>
  <c r="M152" i="9"/>
  <c r="M153" i="9" s="1"/>
  <c r="M154" i="9" s="1"/>
  <c r="AD147" i="9"/>
  <c r="AG147" i="9" s="1"/>
  <c r="AD145" i="9"/>
  <c r="AG145" i="9" s="1"/>
  <c r="AD146" i="9"/>
  <c r="AG146" i="9" s="1"/>
  <c r="AD169" i="9"/>
  <c r="AG169" i="9" s="1"/>
  <c r="O133" i="9"/>
  <c r="AT168" i="9"/>
  <c r="O132" i="9"/>
  <c r="O142" i="9"/>
  <c r="AW166" i="9"/>
  <c r="O137" i="9"/>
  <c r="O130" i="9"/>
  <c r="O135" i="9"/>
  <c r="O139" i="9"/>
  <c r="AT173" i="9"/>
  <c r="AW172" i="9"/>
  <c r="AD166" i="9"/>
  <c r="AG166" i="9" s="1"/>
  <c r="AD167" i="9"/>
  <c r="AG167" i="9" s="1"/>
  <c r="AD171" i="9"/>
  <c r="AG171" i="9" s="1"/>
  <c r="N172" i="9"/>
  <c r="N173" i="9" s="1"/>
  <c r="N174" i="9" s="1"/>
  <c r="N175" i="9" s="1"/>
  <c r="N176" i="9" s="1"/>
  <c r="N177" i="9" s="1"/>
  <c r="N178" i="9" s="1"/>
  <c r="AV200" i="9"/>
  <c r="AV201" i="9" s="1"/>
  <c r="AV202" i="9" s="1"/>
  <c r="AV203" i="9" s="1"/>
  <c r="AV204" i="9" s="1"/>
  <c r="AV205" i="9" s="1"/>
  <c r="AV206" i="9" s="1"/>
  <c r="N179" i="9"/>
  <c r="N180" i="9" s="1"/>
  <c r="N181" i="9" s="1"/>
  <c r="N182" i="9" s="1"/>
  <c r="N183" i="9" s="1"/>
  <c r="N184" i="9" s="1"/>
  <c r="N185" i="9" s="1"/>
  <c r="AV172" i="9"/>
  <c r="AV173" i="9" s="1"/>
  <c r="AV174" i="9" s="1"/>
  <c r="AV175" i="9" s="1"/>
  <c r="AV176" i="9" s="1"/>
  <c r="AV177" i="9" s="1"/>
  <c r="AV178" i="9" s="1"/>
  <c r="O134" i="9"/>
  <c r="AW193" i="9"/>
  <c r="AD173" i="9"/>
  <c r="AG173" i="9" s="1"/>
  <c r="AG170" i="9"/>
  <c r="O131" i="9"/>
  <c r="AD168" i="9"/>
  <c r="AG168" i="9" s="1"/>
  <c r="AG165" i="9"/>
  <c r="AW191" i="9"/>
  <c r="AT180" i="9"/>
  <c r="AW179" i="9"/>
  <c r="G188" i="9"/>
  <c r="O180" i="9"/>
  <c r="AW196" i="9"/>
  <c r="AW198" i="9"/>
  <c r="M187" i="9"/>
  <c r="M188" i="9" s="1"/>
  <c r="M189" i="9" s="1"/>
  <c r="N187" i="9"/>
  <c r="N188" i="9" s="1"/>
  <c r="N189" i="9" s="1"/>
  <c r="N190" i="9" s="1"/>
  <c r="N191" i="9" s="1"/>
  <c r="N192" i="9" s="1"/>
  <c r="AW194" i="9"/>
  <c r="AD177" i="9"/>
  <c r="AG177" i="9" s="1"/>
  <c r="AD178" i="9"/>
  <c r="AG178" i="9" s="1"/>
  <c r="AD175" i="9"/>
  <c r="AG175" i="9" s="1"/>
  <c r="AD176" i="9"/>
  <c r="AG176" i="9" s="1"/>
  <c r="AU194" i="9"/>
  <c r="AU195" i="9" s="1"/>
  <c r="AU196" i="9" s="1"/>
  <c r="AU197" i="9" s="1"/>
  <c r="AU198" i="9" s="1"/>
  <c r="AU199" i="9" s="1"/>
  <c r="AV193" i="9"/>
  <c r="AV194" i="9" s="1"/>
  <c r="AV195" i="9" s="1"/>
  <c r="AV196" i="9" s="1"/>
  <c r="AV197" i="9" s="1"/>
  <c r="AV198" i="9" s="1"/>
  <c r="AV199" i="9" s="1"/>
  <c r="O179" i="9"/>
  <c r="AG172" i="9"/>
  <c r="AW188" i="9"/>
  <c r="AW197" i="9"/>
  <c r="AW187" i="9"/>
  <c r="AV158" i="9"/>
  <c r="AV159" i="9" s="1"/>
  <c r="AV160" i="9" s="1"/>
  <c r="AV161" i="9" s="1"/>
  <c r="AV162" i="9" s="1"/>
  <c r="AV163" i="9" s="1"/>
  <c r="AV164" i="9" s="1"/>
  <c r="AW189" i="9"/>
  <c r="G191" i="9"/>
  <c r="G193" i="9"/>
  <c r="AE165" i="9" a="1"/>
  <c r="AA186" i="9"/>
  <c r="AD186" i="9" s="1"/>
  <c r="G194" i="9"/>
  <c r="G187" i="9"/>
  <c r="G192" i="9"/>
  <c r="G186" i="9"/>
  <c r="AU166" i="9"/>
  <c r="AU167" i="9" s="1"/>
  <c r="AU168" i="9" s="1"/>
  <c r="AU169" i="9" s="1"/>
  <c r="AU170" i="9" s="1"/>
  <c r="AU171" i="9" s="1"/>
  <c r="AV165" i="9"/>
  <c r="AV166" i="9" s="1"/>
  <c r="AV167" i="9" s="1"/>
  <c r="AV168" i="9" s="1"/>
  <c r="AV169" i="9" s="1"/>
  <c r="AV170" i="9" s="1"/>
  <c r="AV171" i="9" s="1"/>
  <c r="M159" i="9"/>
  <c r="M160" i="9" s="1"/>
  <c r="M161" i="9" s="1"/>
  <c r="N158" i="9"/>
  <c r="N159" i="9" s="1"/>
  <c r="N160" i="9" s="1"/>
  <c r="N161" i="9" s="1"/>
  <c r="N162" i="9" s="1"/>
  <c r="N163" i="9" s="1"/>
  <c r="N164" i="9" s="1"/>
  <c r="AU180" i="9"/>
  <c r="AU181" i="9" s="1"/>
  <c r="AU182" i="9" s="1"/>
  <c r="AU183" i="9" s="1"/>
  <c r="AU184" i="9" s="1"/>
  <c r="AU185" i="9" s="1"/>
  <c r="AV179" i="9"/>
  <c r="AV180" i="9" s="1"/>
  <c r="AV181" i="9" s="1"/>
  <c r="AV182" i="9" s="1"/>
  <c r="AV183" i="9" s="1"/>
  <c r="AV184" i="9" s="1"/>
  <c r="AV185" i="9" s="1"/>
  <c r="G190" i="9"/>
  <c r="G195" i="9"/>
  <c r="AE158" i="9" a="1"/>
  <c r="G189" i="9"/>
  <c r="L182" i="9"/>
  <c r="O181" i="9"/>
  <c r="AD185" i="9"/>
  <c r="AG185" i="9" s="1"/>
  <c r="AD180" i="9"/>
  <c r="AG180" i="9" s="1"/>
  <c r="AD181" i="9"/>
  <c r="AG181" i="9" s="1"/>
  <c r="AD182" i="9"/>
  <c r="AG182" i="9" s="1"/>
  <c r="AD183" i="9"/>
  <c r="AG183" i="9" s="1"/>
  <c r="AD184" i="9"/>
  <c r="AG184" i="9" s="1"/>
  <c r="AG179" i="9"/>
  <c r="AF173" i="9"/>
  <c r="AF174" i="9" s="1"/>
  <c r="AF175" i="9" s="1"/>
  <c r="AF176" i="9" s="1"/>
  <c r="AF177" i="9" s="1"/>
  <c r="AF178" i="9" s="1"/>
  <c r="AE166" i="9" a="1"/>
  <c r="AE179" i="9" a="1"/>
  <c r="AE180" i="9" a="1"/>
  <c r="AF180" i="9" s="1"/>
  <c r="AV151" i="9"/>
  <c r="AV152" i="9" s="1"/>
  <c r="AV153" i="9" s="1"/>
  <c r="AV154" i="9" s="1"/>
  <c r="AV155" i="9" s="1"/>
  <c r="AV156" i="9" s="1"/>
  <c r="AV157" i="9" s="1"/>
  <c r="AU152" i="9"/>
  <c r="AU153" i="9" s="1"/>
  <c r="AU154" i="9" s="1"/>
  <c r="AU155" i="9" s="1"/>
  <c r="AU156" i="9" s="1"/>
  <c r="AU157" i="9" s="1"/>
  <c r="O158" i="9"/>
  <c r="AE145" i="9" a="1"/>
  <c r="AE146" i="9" s="1"/>
  <c r="AE147" i="9" s="1"/>
  <c r="AE148" i="9" s="1"/>
  <c r="AE149" i="9" s="1"/>
  <c r="AE150" i="9" s="1"/>
  <c r="AU144" i="9" a="1"/>
  <c r="AV144" i="9" s="1"/>
  <c r="AV145" i="9" s="1"/>
  <c r="AV146" i="9" s="1"/>
  <c r="AV147" i="9" s="1"/>
  <c r="AV148" i="9" s="1"/>
  <c r="AV149" i="9" s="1"/>
  <c r="AV150" i="9" s="1"/>
  <c r="AD148" i="9"/>
  <c r="AG148" i="9" s="1"/>
  <c r="AD149" i="9"/>
  <c r="AG149" i="9" s="1"/>
  <c r="AC161" i="9"/>
  <c r="AC154" i="9"/>
  <c r="AA151" i="9"/>
  <c r="AW158" i="9"/>
  <c r="AD150" i="9"/>
  <c r="AG150" i="9" s="1"/>
  <c r="F110" i="9"/>
  <c r="H110" i="9" s="1"/>
  <c r="G110" i="9"/>
  <c r="F109" i="9"/>
  <c r="H109" i="9" s="1"/>
  <c r="G149" i="9"/>
  <c r="G172" i="9"/>
  <c r="G174" i="9"/>
  <c r="G144" i="9"/>
  <c r="G160" i="9"/>
  <c r="G177" i="9"/>
  <c r="G122" i="9"/>
  <c r="G166" i="9"/>
  <c r="G148" i="9"/>
  <c r="G176" i="9"/>
  <c r="G142" i="9"/>
  <c r="G162" i="9"/>
  <c r="G171" i="9"/>
  <c r="G178" i="9"/>
  <c r="G133" i="9"/>
  <c r="M124" i="9"/>
  <c r="M125" i="9" s="1"/>
  <c r="M126" i="9" s="1"/>
  <c r="N123" i="9"/>
  <c r="N124" i="9" s="1"/>
  <c r="N125" i="9" s="1"/>
  <c r="N126" i="9" s="1"/>
  <c r="N127" i="9" s="1"/>
  <c r="N128" i="9" s="1"/>
  <c r="N129" i="9" s="1"/>
  <c r="G124" i="9"/>
  <c r="G156" i="9"/>
  <c r="G159" i="9"/>
  <c r="G181" i="9"/>
  <c r="G109" i="9"/>
  <c r="K116" i="9"/>
  <c r="G150" i="9"/>
  <c r="G153" i="9"/>
  <c r="G173" i="9"/>
  <c r="L160" i="9"/>
  <c r="O159" i="9"/>
  <c r="AW138" i="9"/>
  <c r="AT139" i="9"/>
  <c r="G143" i="9"/>
  <c r="G179" i="9"/>
  <c r="L153" i="9"/>
  <c r="O152" i="9"/>
  <c r="F113" i="9"/>
  <c r="H113" i="9" s="1"/>
  <c r="K112" i="9"/>
  <c r="K119" i="9"/>
  <c r="G137" i="9"/>
  <c r="G130" i="9"/>
  <c r="G158" i="9"/>
  <c r="G136" i="9"/>
  <c r="G139" i="9"/>
  <c r="K124" i="9"/>
  <c r="K117" i="9"/>
  <c r="G125" i="9"/>
  <c r="G161" i="9"/>
  <c r="G155" i="9"/>
  <c r="G175" i="9"/>
  <c r="AW137" i="9"/>
  <c r="F111" i="9"/>
  <c r="H111" i="9" s="1"/>
  <c r="K111" i="9"/>
  <c r="K118" i="9"/>
  <c r="K125" i="9"/>
  <c r="G134" i="9"/>
  <c r="G128" i="9"/>
  <c r="G127" i="9"/>
  <c r="G169" i="9"/>
  <c r="AT152" i="9"/>
  <c r="AW151" i="9"/>
  <c r="G146" i="9"/>
  <c r="G184" i="9"/>
  <c r="G182" i="9"/>
  <c r="G163" i="9"/>
  <c r="AT160" i="9"/>
  <c r="AW159" i="9"/>
  <c r="G151" i="9"/>
  <c r="G140" i="9"/>
  <c r="G147" i="9"/>
  <c r="G154" i="9"/>
  <c r="G170" i="9"/>
  <c r="G157" i="9"/>
  <c r="M145" i="9"/>
  <c r="M146" i="9" s="1"/>
  <c r="M147" i="9" s="1"/>
  <c r="N144" i="9"/>
  <c r="N145" i="9" s="1"/>
  <c r="N146" i="9" s="1"/>
  <c r="N147" i="9" s="1"/>
  <c r="N148" i="9" s="1"/>
  <c r="N149" i="9" s="1"/>
  <c r="N150" i="9" s="1"/>
  <c r="G138" i="9"/>
  <c r="AE137" i="9" a="1"/>
  <c r="AE138" i="9" a="1"/>
  <c r="G126" i="9"/>
  <c r="G164" i="9"/>
  <c r="G129" i="9"/>
  <c r="O151" i="9"/>
  <c r="AU131" i="9"/>
  <c r="AU132" i="9" s="1"/>
  <c r="AU133" i="9" s="1"/>
  <c r="AU134" i="9" s="1"/>
  <c r="AU135" i="9" s="1"/>
  <c r="AU136" i="9" s="1"/>
  <c r="AV130" i="9"/>
  <c r="AV131" i="9" s="1"/>
  <c r="AV132" i="9" s="1"/>
  <c r="AV133" i="9" s="1"/>
  <c r="AV134" i="9" s="1"/>
  <c r="AV135" i="9" s="1"/>
  <c r="AV136" i="9" s="1"/>
  <c r="G123" i="9"/>
  <c r="G141" i="9"/>
  <c r="G152" i="9"/>
  <c r="N137" i="9"/>
  <c r="N138" i="9" s="1"/>
  <c r="N139" i="9" s="1"/>
  <c r="N140" i="9" s="1"/>
  <c r="N141" i="9" s="1"/>
  <c r="N142" i="9" s="1"/>
  <c r="N143" i="9" s="1"/>
  <c r="M138" i="9"/>
  <c r="M139" i="9" s="1"/>
  <c r="M140" i="9" s="1"/>
  <c r="G183" i="9"/>
  <c r="AT144" i="9"/>
  <c r="G135" i="9"/>
  <c r="G180" i="9"/>
  <c r="G165" i="9"/>
  <c r="G131" i="9"/>
  <c r="G145" i="9"/>
  <c r="L145" i="9"/>
  <c r="O144" i="9"/>
  <c r="AA130" i="9"/>
  <c r="AC130" i="9"/>
  <c r="AC137" i="9"/>
  <c r="G132" i="9"/>
  <c r="M131" i="9"/>
  <c r="M132" i="9" s="1"/>
  <c r="M133" i="9" s="1"/>
  <c r="N130" i="9"/>
  <c r="N131" i="9" s="1"/>
  <c r="N132" i="9" s="1"/>
  <c r="N133" i="9" s="1"/>
  <c r="N134" i="9" s="1"/>
  <c r="N135" i="9" s="1"/>
  <c r="N136" i="9" s="1"/>
  <c r="G168" i="9"/>
  <c r="G167" i="9"/>
  <c r="G185" i="9"/>
  <c r="AU137" i="9" a="1"/>
  <c r="AC109" i="9"/>
  <c r="AS124" i="9"/>
  <c r="AQ123" i="9"/>
  <c r="AT130" i="9" s="1"/>
  <c r="AS127" i="9"/>
  <c r="AS112" i="9"/>
  <c r="AQ116" i="9"/>
  <c r="I116" i="9"/>
  <c r="L123" i="9" s="1"/>
  <c r="AC118" i="9"/>
  <c r="AS118" i="9"/>
  <c r="AL110" i="9"/>
  <c r="AA109" i="9"/>
  <c r="AS119" i="9"/>
  <c r="AC119" i="9"/>
  <c r="AS121" i="9"/>
  <c r="AS120" i="9"/>
  <c r="AC114" i="9"/>
  <c r="AS113" i="9"/>
  <c r="AC120" i="9"/>
  <c r="AS122" i="9"/>
  <c r="AS116" i="9"/>
  <c r="AC121" i="9"/>
  <c r="I109" i="9"/>
  <c r="L109" i="9" s="1"/>
  <c r="A35" i="12"/>
  <c r="A36" i="12" s="1"/>
  <c r="A37" i="12" s="1"/>
  <c r="G112" i="9"/>
  <c r="AL108" i="9"/>
  <c r="G111" i="9"/>
  <c r="F112" i="9"/>
  <c r="H112" i="9" s="1"/>
  <c r="G113" i="9"/>
  <c r="R4" i="10"/>
  <c r="Q3" i="10" a="1"/>
  <c r="AU25" i="9"/>
  <c r="AV25" i="9" s="1"/>
  <c r="AV26" i="9" s="1"/>
  <c r="AV27" i="9" s="1"/>
  <c r="AV28" i="9" s="1"/>
  <c r="AV29" i="9" s="1"/>
  <c r="AV30" i="9" s="1"/>
  <c r="AV31" i="9" s="1"/>
  <c r="AU18" i="9"/>
  <c r="AV18" i="9" s="1"/>
  <c r="AV19" i="9" s="1"/>
  <c r="AV20" i="9" s="1"/>
  <c r="AV21" i="9" s="1"/>
  <c r="AV22" i="9" s="1"/>
  <c r="AV23" i="9" s="1"/>
  <c r="AV24" i="9" s="1"/>
  <c r="AU39" i="9"/>
  <c r="AV39" i="9" s="1"/>
  <c r="AV40" i="9" s="1"/>
  <c r="AV41" i="9" s="1"/>
  <c r="AV42" i="9" s="1"/>
  <c r="AV43" i="9" s="1"/>
  <c r="AV44" i="9" s="1"/>
  <c r="AV45" i="9" s="1"/>
  <c r="AU74" i="9"/>
  <c r="AV74" i="9" s="1"/>
  <c r="AV75" i="9" s="1"/>
  <c r="AV76" i="9" s="1"/>
  <c r="AV77" i="9" s="1"/>
  <c r="AV78" i="9" s="1"/>
  <c r="AV79" i="9" s="1"/>
  <c r="AV80" i="9" s="1"/>
  <c r="AU46" i="9"/>
  <c r="AV46" i="9" s="1"/>
  <c r="AV47" i="9" s="1"/>
  <c r="AV48" i="9" s="1"/>
  <c r="AV49" i="9" s="1"/>
  <c r="AV50" i="9" s="1"/>
  <c r="AV51" i="9" s="1"/>
  <c r="AV52" i="9" s="1"/>
  <c r="AU32" i="9"/>
  <c r="AV32" i="9" s="1"/>
  <c r="AV33" i="9" s="1"/>
  <c r="AV34" i="9" s="1"/>
  <c r="AV35" i="9" s="1"/>
  <c r="AV36" i="9" s="1"/>
  <c r="AV37" i="9" s="1"/>
  <c r="AV38" i="9" s="1"/>
  <c r="AU81" i="9"/>
  <c r="AV81" i="9" s="1"/>
  <c r="AV82" i="9" s="1"/>
  <c r="AV83" i="9" s="1"/>
  <c r="AV84" i="9" s="1"/>
  <c r="AV85" i="9" s="1"/>
  <c r="AV86" i="9" s="1"/>
  <c r="AV87" i="9" s="1"/>
  <c r="AU88" i="9"/>
  <c r="AV88" i="9" s="1"/>
  <c r="AV89" i="9" s="1"/>
  <c r="AV90" i="9" s="1"/>
  <c r="AV91" i="9" s="1"/>
  <c r="AV92" i="9" s="1"/>
  <c r="AV93" i="9" s="1"/>
  <c r="AV94" i="9" s="1"/>
  <c r="H95" i="9"/>
  <c r="M95" i="9" a="1"/>
  <c r="N95" i="9" s="1"/>
  <c r="N96" i="9" s="1"/>
  <c r="N97" i="9" s="1"/>
  <c r="N98" i="9" s="1"/>
  <c r="N99" i="9" s="1"/>
  <c r="N100" i="9" s="1"/>
  <c r="N101" i="9" s="1"/>
  <c r="AU53" i="9"/>
  <c r="AV53" i="9" s="1"/>
  <c r="AV54" i="9" s="1"/>
  <c r="AV55" i="9" s="1"/>
  <c r="AV56" i="9" s="1"/>
  <c r="AV57" i="9" s="1"/>
  <c r="AV58" i="9" s="1"/>
  <c r="AV59" i="9" s="1"/>
  <c r="AE95" i="9" a="1"/>
  <c r="AF95" i="9" s="1"/>
  <c r="AF96" i="9" s="1"/>
  <c r="AF97" i="9" s="1"/>
  <c r="AF98" i="9" s="1"/>
  <c r="AF99" i="9" s="1"/>
  <c r="AF100" i="9" s="1"/>
  <c r="AF101" i="9" s="1"/>
  <c r="H102" i="9"/>
  <c r="M102" i="9" a="1"/>
  <c r="AU95" i="9" a="1"/>
  <c r="AV95" i="9" s="1"/>
  <c r="AV96" i="9" s="1"/>
  <c r="AV97" i="9" s="1"/>
  <c r="AV98" i="9" s="1"/>
  <c r="AV99" i="9" s="1"/>
  <c r="AV100" i="9" s="1"/>
  <c r="AV101" i="9" s="1"/>
  <c r="L20" i="3"/>
  <c r="J4" i="3"/>
  <c r="AU60" i="9"/>
  <c r="AU67" i="9"/>
  <c r="AV67" i="9" s="1"/>
  <c r="AV68" i="9" s="1"/>
  <c r="AV69" i="9" s="1"/>
  <c r="AV70" i="9" s="1"/>
  <c r="AV71" i="9" s="1"/>
  <c r="AV72" i="9" s="1"/>
  <c r="AV73" i="9" s="1"/>
  <c r="M74" i="9"/>
  <c r="N74" i="9" s="1"/>
  <c r="N75" i="9" s="1"/>
  <c r="N76" i="9" s="1"/>
  <c r="N77" i="9" s="1"/>
  <c r="N78" i="9" s="1"/>
  <c r="N79" i="9" s="1"/>
  <c r="N80" i="9" s="1"/>
  <c r="AE67" i="9"/>
  <c r="AF67" i="9" s="1"/>
  <c r="AF68" i="9" s="1"/>
  <c r="AF69" i="9" s="1"/>
  <c r="AF70" i="9" s="1"/>
  <c r="AF71" i="9" s="1"/>
  <c r="AF72" i="9" s="1"/>
  <c r="AF73" i="9" s="1"/>
  <c r="AE74" i="9"/>
  <c r="AF74" i="9" s="1"/>
  <c r="AF75" i="9" s="1"/>
  <c r="AF76" i="9" s="1"/>
  <c r="AF77" i="9" s="1"/>
  <c r="AF78" i="9" s="1"/>
  <c r="AF79" i="9" s="1"/>
  <c r="AF80" i="9" s="1"/>
  <c r="M67" i="9"/>
  <c r="N67" i="9" s="1"/>
  <c r="N68" i="9" s="1"/>
  <c r="N69" i="9" s="1"/>
  <c r="N70" i="9" s="1"/>
  <c r="N71" i="9" s="1"/>
  <c r="N72" i="9" s="1"/>
  <c r="N73" i="9" s="1"/>
  <c r="AE32" i="9"/>
  <c r="AF32" i="9" s="1"/>
  <c r="AF33" i="9" s="1"/>
  <c r="AF34" i="9" s="1"/>
  <c r="AF35" i="9" s="1"/>
  <c r="AF36" i="9" s="1"/>
  <c r="AF37" i="9" s="1"/>
  <c r="AF38" i="9" s="1"/>
  <c r="AE46" i="9"/>
  <c r="AF46" i="9" s="1"/>
  <c r="AF47" i="9" s="1"/>
  <c r="AF48" i="9" s="1"/>
  <c r="AF49" i="9" s="1"/>
  <c r="AF50" i="9" s="1"/>
  <c r="AF51" i="9" s="1"/>
  <c r="AF52" i="9" s="1"/>
  <c r="AE39" i="9"/>
  <c r="AF39" i="9" s="1"/>
  <c r="AF40" i="9" s="1"/>
  <c r="AF41" i="9" s="1"/>
  <c r="AF42" i="9" s="1"/>
  <c r="AF43" i="9" s="1"/>
  <c r="AF44" i="9" s="1"/>
  <c r="AF45" i="9" s="1"/>
  <c r="M46" i="9"/>
  <c r="N46" i="9" s="1"/>
  <c r="N47" i="9" s="1"/>
  <c r="N48" i="9" s="1"/>
  <c r="N49" i="9" s="1"/>
  <c r="N50" i="9" s="1"/>
  <c r="N51" i="9" s="1"/>
  <c r="N52" i="9" s="1"/>
  <c r="AE53" i="9"/>
  <c r="AF53" i="9" s="1"/>
  <c r="AF54" i="9" s="1"/>
  <c r="AF55" i="9" s="1"/>
  <c r="AF56" i="9" s="1"/>
  <c r="AF57" i="9" s="1"/>
  <c r="AF58" i="9" s="1"/>
  <c r="AF59" i="9" s="1"/>
  <c r="M81" i="9"/>
  <c r="N81" i="9" s="1"/>
  <c r="N82" i="9" s="1"/>
  <c r="N83" i="9" s="1"/>
  <c r="N84" i="9" s="1"/>
  <c r="N85" i="9" s="1"/>
  <c r="N86" i="9" s="1"/>
  <c r="N87" i="9" s="1"/>
  <c r="AE18" i="9"/>
  <c r="AF18" i="9" s="1"/>
  <c r="AF19" i="9" s="1"/>
  <c r="AF20" i="9" s="1"/>
  <c r="AF21" i="9" s="1"/>
  <c r="AF22" i="9" s="1"/>
  <c r="AF23" i="9" s="1"/>
  <c r="AF24" i="9" s="1"/>
  <c r="AE88" i="9"/>
  <c r="AF88" i="9" s="1"/>
  <c r="AF89" i="9" s="1"/>
  <c r="AF90" i="9" s="1"/>
  <c r="AF91" i="9" s="1"/>
  <c r="AF92" i="9" s="1"/>
  <c r="AF93" i="9" s="1"/>
  <c r="AF94" i="9" s="1"/>
  <c r="M25" i="9"/>
  <c r="N25" i="9" s="1"/>
  <c r="N26" i="9" s="1"/>
  <c r="N27" i="9" s="1"/>
  <c r="N28" i="9" s="1"/>
  <c r="N29" i="9" s="1"/>
  <c r="N30" i="9" s="1"/>
  <c r="N31" i="9" s="1"/>
  <c r="M18" i="9"/>
  <c r="N18" i="9" s="1"/>
  <c r="AE81" i="9"/>
  <c r="AF81" i="9" s="1"/>
  <c r="AF82" i="9" s="1"/>
  <c r="AF83" i="9" s="1"/>
  <c r="AF84" i="9" s="1"/>
  <c r="AF85" i="9" s="1"/>
  <c r="AF86" i="9" s="1"/>
  <c r="AF87" i="9" s="1"/>
  <c r="AE25" i="9"/>
  <c r="AF25" i="9" s="1"/>
  <c r="AF26" i="9" s="1"/>
  <c r="AF27" i="9" s="1"/>
  <c r="AF28" i="9" s="1"/>
  <c r="AF29" i="9" s="1"/>
  <c r="AF30" i="9" s="1"/>
  <c r="AF31" i="9" s="1"/>
  <c r="AE60" i="9"/>
  <c r="AF60" i="9" s="1"/>
  <c r="AF61" i="9" s="1"/>
  <c r="AF62" i="9" s="1"/>
  <c r="AF63" i="9" s="1"/>
  <c r="AF64" i="9" s="1"/>
  <c r="AF65" i="9" s="1"/>
  <c r="AF66" i="9" s="1"/>
  <c r="M32" i="9"/>
  <c r="N32" i="9" s="1"/>
  <c r="N33" i="9" s="1"/>
  <c r="N34" i="9" s="1"/>
  <c r="N35" i="9" s="1"/>
  <c r="N36" i="9" s="1"/>
  <c r="N37" i="9" s="1"/>
  <c r="N38" i="9" s="1"/>
  <c r="M60" i="9"/>
  <c r="N60" i="9" s="1"/>
  <c r="N61" i="9" s="1"/>
  <c r="N62" i="9" s="1"/>
  <c r="N63" i="9" s="1"/>
  <c r="N64" i="9" s="1"/>
  <c r="N65" i="9" s="1"/>
  <c r="N66" i="9" s="1"/>
  <c r="M39" i="9"/>
  <c r="N39" i="9" s="1"/>
  <c r="N40" i="9" s="1"/>
  <c r="N41" i="9" s="1"/>
  <c r="N42" i="9" s="1"/>
  <c r="N43" i="9" s="1"/>
  <c r="N44" i="9" s="1"/>
  <c r="N45" i="9" s="1"/>
  <c r="H88" i="9"/>
  <c r="M88" i="9"/>
  <c r="N88" i="9" s="1"/>
  <c r="N89" i="9" s="1"/>
  <c r="N90" i="9" s="1"/>
  <c r="N91" i="9" s="1"/>
  <c r="N92" i="9" s="1"/>
  <c r="N93" i="9" s="1"/>
  <c r="N94" i="9" s="1"/>
  <c r="M53" i="9"/>
  <c r="N53" i="9" s="1"/>
  <c r="N54" i="9" s="1"/>
  <c r="N55" i="9" s="1"/>
  <c r="N56" i="9" s="1"/>
  <c r="N57" i="9" s="1"/>
  <c r="N58" i="9" s="1"/>
  <c r="N59" i="9" s="1"/>
  <c r="AD88" i="9"/>
  <c r="AG88" i="9" s="1"/>
  <c r="AT67" i="9"/>
  <c r="AT68" i="9" s="1"/>
  <c r="AW68" i="9" s="1"/>
  <c r="AT39" i="9"/>
  <c r="AT42" i="9" s="1"/>
  <c r="AW42" i="9" s="1"/>
  <c r="AT74" i="9"/>
  <c r="AW74" i="9" s="1"/>
  <c r="AD53" i="9"/>
  <c r="AD59" i="9" s="1"/>
  <c r="AG59" i="9" s="1"/>
  <c r="AD60" i="9"/>
  <c r="AG60" i="9" s="1"/>
  <c r="AD32" i="9"/>
  <c r="AD33" i="9" s="1"/>
  <c r="AG33" i="9" s="1"/>
  <c r="AT32" i="9"/>
  <c r="AT33" i="9" s="1"/>
  <c r="AW33" i="9" s="1"/>
  <c r="AD74" i="9"/>
  <c r="AD78" i="9" s="1"/>
  <c r="AG78" i="9" s="1"/>
  <c r="AD67" i="9"/>
  <c r="AD46" i="9"/>
  <c r="AD48" i="9" s="1"/>
  <c r="AG48" i="9" s="1"/>
  <c r="AD95" i="9"/>
  <c r="AD96" i="9" s="1"/>
  <c r="AG96" i="9" s="1"/>
  <c r="AT88" i="9"/>
  <c r="AW88" i="9" s="1"/>
  <c r="L95" i="9"/>
  <c r="L99" i="9" s="1"/>
  <c r="O99" i="9" s="1"/>
  <c r="AD39" i="9"/>
  <c r="AT81" i="9"/>
  <c r="AT82" i="9" s="1"/>
  <c r="AW82" i="9" s="1"/>
  <c r="AD18" i="9"/>
  <c r="AD81" i="9"/>
  <c r="AT60" i="9"/>
  <c r="AW60" i="9" s="1"/>
  <c r="AD25" i="9"/>
  <c r="AT46" i="9"/>
  <c r="AT18" i="9"/>
  <c r="AT53" i="9"/>
  <c r="AT25" i="9"/>
  <c r="AT95" i="9"/>
  <c r="L16" i="3"/>
  <c r="L18" i="3"/>
  <c r="I4" i="3"/>
  <c r="L39" i="9"/>
  <c r="L40" i="9" s="1"/>
  <c r="O40" i="9" s="1"/>
  <c r="L60" i="9"/>
  <c r="L61" i="9" s="1"/>
  <c r="O61" i="9" s="1"/>
  <c r="L74" i="9"/>
  <c r="L77" i="9" s="1"/>
  <c r="O77" i="9" s="1"/>
  <c r="L25" i="9"/>
  <c r="O25" i="9" s="1"/>
  <c r="L46" i="9"/>
  <c r="O46" i="9" s="1"/>
  <c r="L81" i="9"/>
  <c r="N18" i="3"/>
  <c r="N20" i="3"/>
  <c r="L32" i="9"/>
  <c r="O32" i="9" s="1"/>
  <c r="L102" i="9"/>
  <c r="L18" i="9"/>
  <c r="L88" i="9"/>
  <c r="O88" i="9" s="1"/>
  <c r="L53" i="9"/>
  <c r="L67" i="9"/>
  <c r="F41" i="12" a="1"/>
  <c r="D41" i="12" a="1"/>
  <c r="AW357" i="9" l="1"/>
  <c r="AT358" i="9"/>
  <c r="AW426" i="9"/>
  <c r="AT427" i="9"/>
  <c r="AW237" i="9"/>
  <c r="AT238" i="9"/>
  <c r="AW307" i="9"/>
  <c r="AT308" i="9"/>
  <c r="O482" i="9"/>
  <c r="L483" i="9"/>
  <c r="L301" i="9"/>
  <c r="O300" i="9"/>
  <c r="L476" i="9"/>
  <c r="O475" i="9"/>
  <c r="AW420" i="9"/>
  <c r="AT421" i="9"/>
  <c r="AT378" i="9"/>
  <c r="AW377" i="9"/>
  <c r="G3" i="9"/>
  <c r="G12" i="9" s="1"/>
  <c r="J9" i="3" s="1"/>
  <c r="AW405" i="9"/>
  <c r="AT406" i="9"/>
  <c r="AW370" i="9"/>
  <c r="AT371" i="9"/>
  <c r="H14" i="12" a="1"/>
  <c r="U6" i="10" a="1"/>
  <c r="U8" i="10" s="1"/>
  <c r="U9" i="10" s="1"/>
  <c r="AG6" i="10"/>
  <c r="O426" i="9"/>
  <c r="L427" i="9"/>
  <c r="L245" i="9"/>
  <c r="O244" i="9"/>
  <c r="G8" i="9"/>
  <c r="G5" i="9"/>
  <c r="G7" i="9"/>
  <c r="G6" i="9"/>
  <c r="G4" i="9"/>
  <c r="B38" i="12"/>
  <c r="G39" i="12" s="1"/>
  <c r="C38" i="12"/>
  <c r="F38" i="12" s="1"/>
  <c r="AW265" i="9"/>
  <c r="AT266" i="9"/>
  <c r="AW349" i="9"/>
  <c r="AT350" i="9"/>
  <c r="AT282" i="9"/>
  <c r="AW281" i="9"/>
  <c r="L420" i="9"/>
  <c r="O419" i="9"/>
  <c r="O405" i="9"/>
  <c r="L406" i="9"/>
  <c r="O286" i="9"/>
  <c r="L287" i="9"/>
  <c r="O314" i="9"/>
  <c r="L315" i="9"/>
  <c r="O307" i="9"/>
  <c r="L308" i="9"/>
  <c r="L434" i="9"/>
  <c r="O433" i="9"/>
  <c r="O384" i="9"/>
  <c r="L385" i="9"/>
  <c r="O377" i="9"/>
  <c r="L378" i="9"/>
  <c r="AT336" i="9"/>
  <c r="AW335" i="9"/>
  <c r="L343" i="9"/>
  <c r="O342" i="9"/>
  <c r="AW433" i="9"/>
  <c r="AT434" i="9"/>
  <c r="AW468" i="9"/>
  <c r="AT469" i="9"/>
  <c r="O321" i="9"/>
  <c r="L322" i="9"/>
  <c r="O454" i="9"/>
  <c r="L455" i="9"/>
  <c r="AW364" i="9"/>
  <c r="AT365" i="9"/>
  <c r="AT330" i="9"/>
  <c r="AW329" i="9"/>
  <c r="AQ109" i="9"/>
  <c r="AT116" i="9" s="1"/>
  <c r="AT117" i="9" s="1"/>
  <c r="AT118" i="9" s="1"/>
  <c r="AT119" i="9" s="1"/>
  <c r="AT120" i="9" s="1"/>
  <c r="AT121" i="9" s="1"/>
  <c r="AT122" i="9" s="1"/>
  <c r="AW122" i="9" s="1"/>
  <c r="L357" i="9"/>
  <c r="O356" i="9"/>
  <c r="AW384" i="9"/>
  <c r="AT385" i="9"/>
  <c r="AW406" i="9"/>
  <c r="AT407" i="9"/>
  <c r="AW258" i="9"/>
  <c r="AT259" i="9"/>
  <c r="AW244" i="9"/>
  <c r="AT245" i="9"/>
  <c r="AW314" i="9"/>
  <c r="AT315" i="9"/>
  <c r="AT294" i="9"/>
  <c r="AW293" i="9"/>
  <c r="O468" i="9"/>
  <c r="L469" i="9"/>
  <c r="AD226" i="9"/>
  <c r="AG226" i="9" s="1"/>
  <c r="AD222" i="9"/>
  <c r="AG222" i="9" s="1"/>
  <c r="L294" i="9"/>
  <c r="O293" i="9"/>
  <c r="O447" i="9"/>
  <c r="L448" i="9"/>
  <c r="O462" i="9"/>
  <c r="L463" i="9"/>
  <c r="O440" i="9"/>
  <c r="L441" i="9"/>
  <c r="L392" i="9"/>
  <c r="O391" i="9"/>
  <c r="L399" i="9"/>
  <c r="O398" i="9"/>
  <c r="AW168" i="9"/>
  <c r="AT169" i="9"/>
  <c r="L268" i="9"/>
  <c r="O267" i="9"/>
  <c r="O279" i="9"/>
  <c r="L280" i="9"/>
  <c r="L273" i="9"/>
  <c r="O272" i="9"/>
  <c r="L252" i="9"/>
  <c r="O251" i="9"/>
  <c r="L259" i="9"/>
  <c r="O258" i="9"/>
  <c r="L414" i="9"/>
  <c r="O413" i="9"/>
  <c r="L351" i="9"/>
  <c r="O350" i="9"/>
  <c r="O328" i="9"/>
  <c r="L329" i="9"/>
  <c r="AW251" i="9"/>
  <c r="AT252" i="9"/>
  <c r="AW300" i="9"/>
  <c r="AT301" i="9"/>
  <c r="AW342" i="9"/>
  <c r="AT343" i="9"/>
  <c r="AW391" i="9"/>
  <c r="AT392" i="9"/>
  <c r="AW440" i="9"/>
  <c r="AT441" i="9"/>
  <c r="AW489" i="9"/>
  <c r="AT490" i="9"/>
  <c r="AW230" i="9"/>
  <c r="AT231" i="9"/>
  <c r="AT202" i="9"/>
  <c r="AW201" i="9"/>
  <c r="AD225" i="9"/>
  <c r="AG225" i="9" s="1"/>
  <c r="AD224" i="9"/>
  <c r="AG224" i="9" s="1"/>
  <c r="AD223" i="9"/>
  <c r="AG223" i="9" s="1"/>
  <c r="M155" i="9"/>
  <c r="M156" i="9" s="1"/>
  <c r="M157" i="9" s="1"/>
  <c r="N333" i="9" a="1"/>
  <c r="N334" i="9" s="1"/>
  <c r="N335" i="9" s="1"/>
  <c r="N336" i="9" s="1"/>
  <c r="N337" i="9" s="1"/>
  <c r="N338" i="9" s="1"/>
  <c r="N339" i="9" s="1"/>
  <c r="M162" i="9"/>
  <c r="M163" i="9" s="1"/>
  <c r="M164" i="9" s="1"/>
  <c r="N340" i="9" a="1"/>
  <c r="N341" i="9" s="1"/>
  <c r="N342" i="9" s="1"/>
  <c r="N343" i="9" s="1"/>
  <c r="N344" i="9" s="1"/>
  <c r="N345" i="9" s="1"/>
  <c r="N346" i="9" s="1"/>
  <c r="M127" i="9"/>
  <c r="M128" i="9" s="1"/>
  <c r="M129" i="9" s="1"/>
  <c r="N305" i="9" a="1"/>
  <c r="N306" i="9" s="1"/>
  <c r="N307" i="9" s="1"/>
  <c r="N308" i="9" s="1"/>
  <c r="N309" i="9" s="1"/>
  <c r="N310" i="9" s="1"/>
  <c r="N311" i="9" s="1"/>
  <c r="M148" i="9"/>
  <c r="M149" i="9" s="1"/>
  <c r="M150" i="9" s="1"/>
  <c r="N326" i="9" a="1"/>
  <c r="N327" i="9" s="1"/>
  <c r="N328" i="9" s="1"/>
  <c r="N329" i="9" s="1"/>
  <c r="N330" i="9" s="1"/>
  <c r="N331" i="9" s="1"/>
  <c r="N332" i="9" s="1"/>
  <c r="M141" i="9"/>
  <c r="M142" i="9" s="1"/>
  <c r="M143" i="9" s="1"/>
  <c r="N319" i="9" a="1"/>
  <c r="N320" i="9" s="1"/>
  <c r="N321" i="9" s="1"/>
  <c r="N322" i="9" s="1"/>
  <c r="N323" i="9" s="1"/>
  <c r="N324" i="9" s="1"/>
  <c r="N325" i="9" s="1"/>
  <c r="M134" i="9"/>
  <c r="M135" i="9" s="1"/>
  <c r="M136" i="9" s="1"/>
  <c r="N312" i="9" a="1"/>
  <c r="N313" i="9" s="1"/>
  <c r="N314" i="9" s="1"/>
  <c r="N315" i="9" s="1"/>
  <c r="N316" i="9" s="1"/>
  <c r="N317" i="9" s="1"/>
  <c r="N318" i="9" s="1"/>
  <c r="AG221" i="9"/>
  <c r="AD227" i="9"/>
  <c r="AG227" i="9" s="1"/>
  <c r="AD231" i="9"/>
  <c r="AG231" i="9" s="1"/>
  <c r="AD233" i="9"/>
  <c r="AG233" i="9" s="1"/>
  <c r="AD230" i="9"/>
  <c r="AG230" i="9" s="1"/>
  <c r="AG228" i="9"/>
  <c r="AD232" i="9"/>
  <c r="AG232" i="9" s="1"/>
  <c r="AD234" i="9"/>
  <c r="AG234" i="9" s="1"/>
  <c r="AD229" i="9"/>
  <c r="AG229" i="9" s="1"/>
  <c r="L238" i="9"/>
  <c r="O237" i="9"/>
  <c r="O230" i="9"/>
  <c r="L231" i="9"/>
  <c r="O366" i="9"/>
  <c r="L367" i="9"/>
  <c r="O367" i="9" s="1"/>
  <c r="L373" i="9"/>
  <c r="O372" i="9"/>
  <c r="M190" i="9"/>
  <c r="M191" i="9" s="1"/>
  <c r="M192" i="9" s="1"/>
  <c r="N368" i="9" a="1"/>
  <c r="N369" i="9" s="1"/>
  <c r="N370" i="9" s="1"/>
  <c r="N371" i="9" s="1"/>
  <c r="N372" i="9" s="1"/>
  <c r="N373" i="9" s="1"/>
  <c r="N374" i="9" s="1"/>
  <c r="AE227" i="9"/>
  <c r="AF227" i="9" s="1"/>
  <c r="AE222" i="9"/>
  <c r="AE223" i="9" s="1"/>
  <c r="AE224" i="9" s="1"/>
  <c r="AE225" i="9" s="1"/>
  <c r="AE226" i="9" s="1"/>
  <c r="K8" i="10"/>
  <c r="J7" i="10"/>
  <c r="C9" i="3"/>
  <c r="L225" i="9"/>
  <c r="O224" i="9"/>
  <c r="AT227" i="9"/>
  <c r="AW227" i="9" s="1"/>
  <c r="AW226" i="9"/>
  <c r="AT218" i="9"/>
  <c r="AW218" i="9" s="1"/>
  <c r="AG213" i="9"/>
  <c r="AG214" i="9"/>
  <c r="AG218" i="9"/>
  <c r="AG215" i="9"/>
  <c r="AG216" i="9"/>
  <c r="AG217" i="9"/>
  <c r="AE160" i="9"/>
  <c r="AE161" i="9" s="1"/>
  <c r="AE162" i="9" s="1"/>
  <c r="AE163" i="9" s="1"/>
  <c r="AE164" i="9" s="1"/>
  <c r="L216" i="9"/>
  <c r="O215" i="9"/>
  <c r="AT209" i="9"/>
  <c r="AW208" i="9"/>
  <c r="O202" i="9"/>
  <c r="L203" i="9"/>
  <c r="L209" i="9"/>
  <c r="O208" i="9"/>
  <c r="L198" i="9"/>
  <c r="O197" i="9"/>
  <c r="AF179" i="9"/>
  <c r="AU145" i="9"/>
  <c r="AU146" i="9" s="1"/>
  <c r="AU147" i="9" s="1"/>
  <c r="AU148" i="9" s="1"/>
  <c r="AU149" i="9" s="1"/>
  <c r="AU150" i="9" s="1"/>
  <c r="L190" i="9"/>
  <c r="O189" i="9"/>
  <c r="AW173" i="9"/>
  <c r="AT174" i="9"/>
  <c r="AW180" i="9"/>
  <c r="AT181" i="9"/>
  <c r="AF145" i="9"/>
  <c r="AF146" i="9" s="1"/>
  <c r="AF147" i="9" s="1"/>
  <c r="AF148" i="9" s="1"/>
  <c r="AF149" i="9" s="1"/>
  <c r="AF150" i="9" s="1"/>
  <c r="AF181" i="9"/>
  <c r="AF182" i="9" s="1"/>
  <c r="AF183" i="9" s="1"/>
  <c r="AF184" i="9" s="1"/>
  <c r="AF185" i="9" s="1"/>
  <c r="AD191" i="9"/>
  <c r="AG191" i="9" s="1"/>
  <c r="AG186" i="9"/>
  <c r="AD192" i="9"/>
  <c r="AG192" i="9" s="1"/>
  <c r="AD190" i="9"/>
  <c r="AG190" i="9" s="1"/>
  <c r="AD188" i="9"/>
  <c r="AG188" i="9" s="1"/>
  <c r="AD189" i="9"/>
  <c r="AG189" i="9" s="1"/>
  <c r="AD187" i="9"/>
  <c r="AG187" i="9" s="1"/>
  <c r="AC193" i="9"/>
  <c r="AE186" i="9" a="1"/>
  <c r="AE187" i="9" a="1"/>
  <c r="AC194" i="9"/>
  <c r="AF160" i="9"/>
  <c r="AF161" i="9" s="1"/>
  <c r="AF162" i="9" s="1"/>
  <c r="AF163" i="9" s="1"/>
  <c r="AF164" i="9" s="1"/>
  <c r="AF165" i="9"/>
  <c r="L183" i="9"/>
  <c r="O182" i="9"/>
  <c r="AF166" i="9"/>
  <c r="AE167" i="9"/>
  <c r="AE168" i="9" s="1"/>
  <c r="AE169" i="9" s="1"/>
  <c r="AE170" i="9" s="1"/>
  <c r="AE171" i="9" s="1"/>
  <c r="AE181" i="9"/>
  <c r="AE182" i="9" s="1"/>
  <c r="AE183" i="9" s="1"/>
  <c r="AE184" i="9" s="1"/>
  <c r="AE185" i="9" s="1"/>
  <c r="AD151" i="9"/>
  <c r="AD158" i="9"/>
  <c r="AE152" i="9" a="1"/>
  <c r="AE151" i="9" a="1"/>
  <c r="AF138" i="9"/>
  <c r="AE139" i="9"/>
  <c r="AE140" i="9" s="1"/>
  <c r="AE141" i="9" s="1"/>
  <c r="AE142" i="9" s="1"/>
  <c r="AE143" i="9" s="1"/>
  <c r="AW160" i="9"/>
  <c r="AT161" i="9"/>
  <c r="AT145" i="9"/>
  <c r="AW144" i="9"/>
  <c r="L154" i="9"/>
  <c r="O153" i="9"/>
  <c r="AD130" i="9"/>
  <c r="AG130" i="9" s="1"/>
  <c r="AD137" i="9"/>
  <c r="AG137" i="9" s="1"/>
  <c r="AE124" i="9" a="1"/>
  <c r="AE123" i="9" a="1"/>
  <c r="AT153" i="9"/>
  <c r="AW152" i="9"/>
  <c r="AW139" i="9"/>
  <c r="AT140" i="9"/>
  <c r="AE131" i="9" a="1"/>
  <c r="AE130" i="9" a="1"/>
  <c r="L146" i="9"/>
  <c r="O145" i="9"/>
  <c r="L161" i="9"/>
  <c r="O160" i="9"/>
  <c r="AU138" i="9"/>
  <c r="AU139" i="9" s="1"/>
  <c r="AU140" i="9" s="1"/>
  <c r="AU141" i="9" s="1"/>
  <c r="AU142" i="9" s="1"/>
  <c r="AU143" i="9" s="1"/>
  <c r="AV137" i="9"/>
  <c r="AV138" i="9" s="1"/>
  <c r="AV139" i="9" s="1"/>
  <c r="AV140" i="9" s="1"/>
  <c r="AV141" i="9" s="1"/>
  <c r="AV142" i="9" s="1"/>
  <c r="AV143" i="9" s="1"/>
  <c r="AT131" i="9"/>
  <c r="AW130" i="9"/>
  <c r="L124" i="9"/>
  <c r="O123" i="9"/>
  <c r="AU123" i="9" a="1"/>
  <c r="AT123" i="9"/>
  <c r="AT124" i="9" s="1"/>
  <c r="AW124" i="9" s="1"/>
  <c r="AA116" i="9"/>
  <c r="AD123" i="9" s="1"/>
  <c r="AD129" i="9" s="1"/>
  <c r="AG129" i="9" s="1"/>
  <c r="AC122" i="9"/>
  <c r="AU116" i="9" a="1"/>
  <c r="L116" i="9"/>
  <c r="L117" i="9" s="1"/>
  <c r="J28" i="12"/>
  <c r="AV60" i="9"/>
  <c r="AV61" i="9" s="1"/>
  <c r="AV62" i="9" s="1"/>
  <c r="AV63" i="9" s="1"/>
  <c r="AV64" i="9" s="1"/>
  <c r="AV65" i="9" s="1"/>
  <c r="AV66" i="9" s="1"/>
  <c r="AC110" i="9"/>
  <c r="AS110" i="9"/>
  <c r="AS117" i="9"/>
  <c r="AC117" i="9"/>
  <c r="N102" i="9"/>
  <c r="N103" i="9" s="1"/>
  <c r="N104" i="9" s="1"/>
  <c r="N105" i="9" s="1"/>
  <c r="N106" i="9" s="1"/>
  <c r="N107" i="9" s="1"/>
  <c r="N108" i="9" s="1"/>
  <c r="AC108" i="9"/>
  <c r="AA102" i="9"/>
  <c r="AC115" i="9"/>
  <c r="F114" i="9"/>
  <c r="H114" i="9" s="1"/>
  <c r="G114" i="9"/>
  <c r="AW67" i="9"/>
  <c r="AD63" i="9"/>
  <c r="AG63" i="9" s="1"/>
  <c r="AD54" i="9"/>
  <c r="AG54" i="9" s="1"/>
  <c r="AD58" i="9"/>
  <c r="AG58" i="9" s="1"/>
  <c r="AD56" i="9"/>
  <c r="AG56" i="9" s="1"/>
  <c r="AT72" i="9"/>
  <c r="AW72" i="9" s="1"/>
  <c r="AT70" i="9"/>
  <c r="AW70" i="9" s="1"/>
  <c r="AT73" i="9"/>
  <c r="AW73" i="9" s="1"/>
  <c r="AT69" i="9"/>
  <c r="AW69" i="9" s="1"/>
  <c r="AT71" i="9"/>
  <c r="AW71" i="9" s="1"/>
  <c r="AD55" i="9"/>
  <c r="AG55" i="9" s="1"/>
  <c r="AD62" i="9"/>
  <c r="AG62" i="9" s="1"/>
  <c r="AD66" i="9"/>
  <c r="AG66" i="9" s="1"/>
  <c r="AG53" i="9"/>
  <c r="O39" i="9"/>
  <c r="AD57" i="9"/>
  <c r="AG57" i="9" s="1"/>
  <c r="AD91" i="9"/>
  <c r="AG91" i="9" s="1"/>
  <c r="AD89" i="9"/>
  <c r="AG89" i="9" s="1"/>
  <c r="AD92" i="9"/>
  <c r="AG92" i="9" s="1"/>
  <c r="AD93" i="9"/>
  <c r="AG93" i="9" s="1"/>
  <c r="AD90" i="9"/>
  <c r="AG90" i="9" s="1"/>
  <c r="AD94" i="9"/>
  <c r="AG94" i="9" s="1"/>
  <c r="AD77" i="9"/>
  <c r="AG77" i="9" s="1"/>
  <c r="AG32" i="9"/>
  <c r="AD34" i="9"/>
  <c r="AG34" i="9" s="1"/>
  <c r="AD35" i="9"/>
  <c r="AG35" i="9" s="1"/>
  <c r="AD76" i="9"/>
  <c r="AG76" i="9" s="1"/>
  <c r="AD38" i="9"/>
  <c r="AG38" i="9" s="1"/>
  <c r="AW39" i="9"/>
  <c r="AT76" i="9"/>
  <c r="AW76" i="9" s="1"/>
  <c r="AT78" i="9"/>
  <c r="AW78" i="9" s="1"/>
  <c r="AT79" i="9"/>
  <c r="AW79" i="9" s="1"/>
  <c r="AT75" i="9"/>
  <c r="AW75" i="9" s="1"/>
  <c r="AT45" i="9"/>
  <c r="AW45" i="9" s="1"/>
  <c r="AT77" i="9"/>
  <c r="AW77" i="9" s="1"/>
  <c r="AT90" i="9"/>
  <c r="AW90" i="9" s="1"/>
  <c r="AT40" i="9"/>
  <c r="AW40" i="9" s="1"/>
  <c r="AT93" i="9"/>
  <c r="AW93" i="9" s="1"/>
  <c r="AT43" i="9"/>
  <c r="AW43" i="9" s="1"/>
  <c r="AT92" i="9"/>
  <c r="AW92" i="9" s="1"/>
  <c r="AT91" i="9"/>
  <c r="AW91" i="9" s="1"/>
  <c r="AT41" i="9"/>
  <c r="AW41" i="9" s="1"/>
  <c r="AT89" i="9"/>
  <c r="AW89" i="9" s="1"/>
  <c r="AT44" i="9"/>
  <c r="AW44" i="9" s="1"/>
  <c r="AW32" i="9"/>
  <c r="AT94" i="9"/>
  <c r="AW94" i="9" s="1"/>
  <c r="AT80" i="9"/>
  <c r="AW80" i="9" s="1"/>
  <c r="AD79" i="9"/>
  <c r="AG79" i="9" s="1"/>
  <c r="AD36" i="9"/>
  <c r="AG36" i="9" s="1"/>
  <c r="AD99" i="9"/>
  <c r="AG99" i="9" s="1"/>
  <c r="AD75" i="9"/>
  <c r="AG75" i="9" s="1"/>
  <c r="AD101" i="9"/>
  <c r="AG101" i="9" s="1"/>
  <c r="O60" i="9"/>
  <c r="AT38" i="9"/>
  <c r="AW38" i="9" s="1"/>
  <c r="AD80" i="9"/>
  <c r="AG80" i="9" s="1"/>
  <c r="AG95" i="9"/>
  <c r="L62" i="9"/>
  <c r="O62" i="9" s="1"/>
  <c r="AT36" i="9"/>
  <c r="AW36" i="9" s="1"/>
  <c r="L63" i="9"/>
  <c r="O63" i="9" s="1"/>
  <c r="AT34" i="9"/>
  <c r="AW34" i="9" s="1"/>
  <c r="AD37" i="9"/>
  <c r="AG37" i="9" s="1"/>
  <c r="AD100" i="9"/>
  <c r="AG100" i="9" s="1"/>
  <c r="AT37" i="9"/>
  <c r="AW37" i="9" s="1"/>
  <c r="AT35" i="9"/>
  <c r="AW35" i="9" s="1"/>
  <c r="AD61" i="9"/>
  <c r="AG61" i="9" s="1"/>
  <c r="AD64" i="9"/>
  <c r="AG64" i="9" s="1"/>
  <c r="AD65" i="9"/>
  <c r="AG65" i="9" s="1"/>
  <c r="AD97" i="9"/>
  <c r="AG97" i="9" s="1"/>
  <c r="O95" i="9"/>
  <c r="AD98" i="9"/>
  <c r="AG98" i="9" s="1"/>
  <c r="AD68" i="9"/>
  <c r="AG68" i="9" s="1"/>
  <c r="AD69" i="9"/>
  <c r="AG69" i="9" s="1"/>
  <c r="AD70" i="9"/>
  <c r="AG70" i="9" s="1"/>
  <c r="AD50" i="9"/>
  <c r="AG50" i="9" s="1"/>
  <c r="AD72" i="9"/>
  <c r="AG72" i="9" s="1"/>
  <c r="AD73" i="9"/>
  <c r="AG73" i="9" s="1"/>
  <c r="AT66" i="9"/>
  <c r="AW66" i="9" s="1"/>
  <c r="L101" i="9"/>
  <c r="O101" i="9" s="1"/>
  <c r="AT83" i="9"/>
  <c r="AW83" i="9" s="1"/>
  <c r="AD71" i="9"/>
  <c r="AG71" i="9" s="1"/>
  <c r="L96" i="9"/>
  <c r="O96" i="9" s="1"/>
  <c r="AT87" i="9"/>
  <c r="AW87" i="9" s="1"/>
  <c r="AT64" i="9"/>
  <c r="AW64" i="9" s="1"/>
  <c r="L98" i="9"/>
  <c r="O98" i="9" s="1"/>
  <c r="AT62" i="9"/>
  <c r="AW62" i="9" s="1"/>
  <c r="L100" i="9"/>
  <c r="O100" i="9" s="1"/>
  <c r="AG74" i="9"/>
  <c r="AG46" i="9"/>
  <c r="AD51" i="9"/>
  <c r="AG51" i="9" s="1"/>
  <c r="L97" i="9"/>
  <c r="O97" i="9" s="1"/>
  <c r="AT61" i="9"/>
  <c r="AW61" i="9" s="1"/>
  <c r="L64" i="9"/>
  <c r="O64" i="9" s="1"/>
  <c r="AD49" i="9"/>
  <c r="AG49" i="9" s="1"/>
  <c r="L65" i="9"/>
  <c r="O65" i="9" s="1"/>
  <c r="AD47" i="9"/>
  <c r="AG47" i="9" s="1"/>
  <c r="L79" i="9"/>
  <c r="O79" i="9" s="1"/>
  <c r="L75" i="9"/>
  <c r="O75" i="9" s="1"/>
  <c r="AD52" i="9"/>
  <c r="AG52" i="9" s="1"/>
  <c r="AG67" i="9"/>
  <c r="AD87" i="9"/>
  <c r="AG87" i="9" s="1"/>
  <c r="AD83" i="9"/>
  <c r="AG83" i="9" s="1"/>
  <c r="AD82" i="9"/>
  <c r="AG82" i="9" s="1"/>
  <c r="AD84" i="9"/>
  <c r="AG84" i="9" s="1"/>
  <c r="AD85" i="9"/>
  <c r="AG85" i="9" s="1"/>
  <c r="AD86" i="9"/>
  <c r="AG86" i="9" s="1"/>
  <c r="AD31" i="9"/>
  <c r="AG31" i="9" s="1"/>
  <c r="AD29" i="9"/>
  <c r="AG29" i="9" s="1"/>
  <c r="AD27" i="9"/>
  <c r="AG27" i="9" s="1"/>
  <c r="AD30" i="9"/>
  <c r="AG30" i="9" s="1"/>
  <c r="AG25" i="9"/>
  <c r="AD26" i="9"/>
  <c r="AG26" i="9" s="1"/>
  <c r="AD28" i="9"/>
  <c r="AG28" i="9" s="1"/>
  <c r="AD24" i="9"/>
  <c r="AG24" i="9" s="1"/>
  <c r="AG18" i="9"/>
  <c r="AD19" i="9"/>
  <c r="AG19" i="9" s="1"/>
  <c r="AD20" i="9"/>
  <c r="AG20" i="9" s="1"/>
  <c r="AD21" i="9"/>
  <c r="AG21" i="9" s="1"/>
  <c r="AD22" i="9"/>
  <c r="AG22" i="9" s="1"/>
  <c r="AD23" i="9"/>
  <c r="AG23" i="9" s="1"/>
  <c r="L42" i="9"/>
  <c r="O42" i="9" s="1"/>
  <c r="AT85" i="9"/>
  <c r="AW85" i="9" s="1"/>
  <c r="AD45" i="9"/>
  <c r="AG45" i="9" s="1"/>
  <c r="AD41" i="9"/>
  <c r="AG41" i="9" s="1"/>
  <c r="AD40" i="9"/>
  <c r="AG40" i="9" s="1"/>
  <c r="AD42" i="9"/>
  <c r="AG42" i="9" s="1"/>
  <c r="AD43" i="9"/>
  <c r="AG43" i="9" s="1"/>
  <c r="AD44" i="9"/>
  <c r="AG44" i="9" s="1"/>
  <c r="AG39" i="9"/>
  <c r="L66" i="9"/>
  <c r="O66" i="9" s="1"/>
  <c r="L44" i="9"/>
  <c r="O44" i="9" s="1"/>
  <c r="AT86" i="9"/>
  <c r="AW86" i="9" s="1"/>
  <c r="L45" i="9"/>
  <c r="O45" i="9" s="1"/>
  <c r="AT65" i="9"/>
  <c r="AW65" i="9" s="1"/>
  <c r="AT84" i="9"/>
  <c r="AW84" i="9" s="1"/>
  <c r="AG81" i="9"/>
  <c r="AW81" i="9"/>
  <c r="L43" i="9"/>
  <c r="O43" i="9" s="1"/>
  <c r="L41" i="9"/>
  <c r="O41" i="9" s="1"/>
  <c r="AT63" i="9"/>
  <c r="AW63" i="9" s="1"/>
  <c r="AT26" i="9"/>
  <c r="AW26" i="9" s="1"/>
  <c r="AT28" i="9"/>
  <c r="AW28" i="9" s="1"/>
  <c r="AT30" i="9"/>
  <c r="AW30" i="9" s="1"/>
  <c r="AT31" i="9"/>
  <c r="AW31" i="9" s="1"/>
  <c r="AT27" i="9"/>
  <c r="AW27" i="9" s="1"/>
  <c r="AT29" i="9"/>
  <c r="AW29" i="9" s="1"/>
  <c r="AW25" i="9"/>
  <c r="AT24" i="9"/>
  <c r="AW24" i="9" s="1"/>
  <c r="AT19" i="9"/>
  <c r="AW19" i="9" s="1"/>
  <c r="AT21" i="9"/>
  <c r="AW21" i="9" s="1"/>
  <c r="AW18" i="9"/>
  <c r="AT22" i="9"/>
  <c r="AW22" i="9" s="1"/>
  <c r="AT23" i="9"/>
  <c r="AW23" i="9" s="1"/>
  <c r="AT20" i="9"/>
  <c r="AW20" i="9" s="1"/>
  <c r="AT51" i="9"/>
  <c r="AW51" i="9" s="1"/>
  <c r="AT48" i="9"/>
  <c r="AW48" i="9" s="1"/>
  <c r="AT50" i="9"/>
  <c r="AW50" i="9" s="1"/>
  <c r="AT52" i="9"/>
  <c r="AW52" i="9" s="1"/>
  <c r="AT47" i="9"/>
  <c r="AW47" i="9" s="1"/>
  <c r="AT49" i="9"/>
  <c r="AW49" i="9" s="1"/>
  <c r="AW46" i="9"/>
  <c r="AT98" i="9"/>
  <c r="AW98" i="9" s="1"/>
  <c r="AT100" i="9"/>
  <c r="AW100" i="9" s="1"/>
  <c r="AT97" i="9"/>
  <c r="AW97" i="9" s="1"/>
  <c r="AT99" i="9"/>
  <c r="AW99" i="9" s="1"/>
  <c r="AT101" i="9"/>
  <c r="AW101" i="9" s="1"/>
  <c r="AT96" i="9"/>
  <c r="AW96" i="9" s="1"/>
  <c r="AW95" i="9"/>
  <c r="AT55" i="9"/>
  <c r="AW55" i="9" s="1"/>
  <c r="AT57" i="9"/>
  <c r="AW57" i="9" s="1"/>
  <c r="AT59" i="9"/>
  <c r="AW59" i="9" s="1"/>
  <c r="AT54" i="9"/>
  <c r="AW54" i="9" s="1"/>
  <c r="AT56" i="9"/>
  <c r="AW56" i="9" s="1"/>
  <c r="AT58" i="9"/>
  <c r="AW58" i="9" s="1"/>
  <c r="AW53" i="9"/>
  <c r="L78" i="9"/>
  <c r="O78" i="9" s="1"/>
  <c r="L80" i="9"/>
  <c r="O80" i="9" s="1"/>
  <c r="L76" i="9"/>
  <c r="O76" i="9" s="1"/>
  <c r="O74" i="9"/>
  <c r="L54" i="9"/>
  <c r="O54" i="9" s="1"/>
  <c r="L58" i="9"/>
  <c r="O58" i="9" s="1"/>
  <c r="L57" i="9"/>
  <c r="O57" i="9" s="1"/>
  <c r="L56" i="9"/>
  <c r="O56" i="9" s="1"/>
  <c r="L59" i="9"/>
  <c r="O59" i="9" s="1"/>
  <c r="L55" i="9"/>
  <c r="O55" i="9" s="1"/>
  <c r="L71" i="9"/>
  <c r="O71" i="9" s="1"/>
  <c r="L73" i="9"/>
  <c r="O73" i="9" s="1"/>
  <c r="L70" i="9"/>
  <c r="O70" i="9" s="1"/>
  <c r="L69" i="9"/>
  <c r="O69" i="9" s="1"/>
  <c r="L68" i="9"/>
  <c r="O68" i="9" s="1"/>
  <c r="L72" i="9"/>
  <c r="O72" i="9" s="1"/>
  <c r="O67" i="9"/>
  <c r="L87" i="9"/>
  <c r="O87" i="9" s="1"/>
  <c r="L86" i="9"/>
  <c r="O86" i="9" s="1"/>
  <c r="L85" i="9"/>
  <c r="O85" i="9" s="1"/>
  <c r="L84" i="9"/>
  <c r="O84" i="9" s="1"/>
  <c r="L83" i="9"/>
  <c r="O83" i="9" s="1"/>
  <c r="L82" i="9"/>
  <c r="O82" i="9" s="1"/>
  <c r="L52" i="9"/>
  <c r="O52" i="9" s="1"/>
  <c r="L51" i="9"/>
  <c r="O51" i="9" s="1"/>
  <c r="L50" i="9"/>
  <c r="O50" i="9" s="1"/>
  <c r="L49" i="9"/>
  <c r="O49" i="9" s="1"/>
  <c r="L48" i="9"/>
  <c r="O48" i="9" s="1"/>
  <c r="L47" i="9"/>
  <c r="O47" i="9" s="1"/>
  <c r="L35" i="9"/>
  <c r="O35" i="9" s="1"/>
  <c r="L34" i="9"/>
  <c r="O34" i="9" s="1"/>
  <c r="L33" i="9"/>
  <c r="O33" i="9" s="1"/>
  <c r="L37" i="9"/>
  <c r="O37" i="9" s="1"/>
  <c r="L38" i="9"/>
  <c r="O38" i="9" s="1"/>
  <c r="L36" i="9"/>
  <c r="O36" i="9" s="1"/>
  <c r="O81" i="9"/>
  <c r="L90" i="9"/>
  <c r="O90" i="9" s="1"/>
  <c r="L89" i="9"/>
  <c r="O89" i="9" s="1"/>
  <c r="L93" i="9"/>
  <c r="O93" i="9" s="1"/>
  <c r="L92" i="9"/>
  <c r="O92" i="9" s="1"/>
  <c r="L94" i="9"/>
  <c r="O94" i="9" s="1"/>
  <c r="L91" i="9"/>
  <c r="O91" i="9" s="1"/>
  <c r="L21" i="9"/>
  <c r="O21" i="9" s="1"/>
  <c r="L24" i="9"/>
  <c r="O24" i="9" s="1"/>
  <c r="O18" i="9"/>
  <c r="L20" i="9"/>
  <c r="O20" i="9" s="1"/>
  <c r="L23" i="9"/>
  <c r="O23" i="9" s="1"/>
  <c r="L22" i="9"/>
  <c r="O22" i="9" s="1"/>
  <c r="L19" i="9"/>
  <c r="O19" i="9" s="1"/>
  <c r="O53" i="9"/>
  <c r="L31" i="9"/>
  <c r="O31" i="9" s="1"/>
  <c r="L30" i="9"/>
  <c r="O30" i="9" s="1"/>
  <c r="L29" i="9"/>
  <c r="O29" i="9" s="1"/>
  <c r="L28" i="9"/>
  <c r="O28" i="9" s="1"/>
  <c r="L27" i="9"/>
  <c r="O27" i="9" s="1"/>
  <c r="L26" i="9"/>
  <c r="O26" i="9" s="1"/>
  <c r="L108" i="9"/>
  <c r="O108" i="9" s="1"/>
  <c r="L107" i="9"/>
  <c r="O107" i="9" s="1"/>
  <c r="L106" i="9"/>
  <c r="O106" i="9" s="1"/>
  <c r="O102" i="9"/>
  <c r="L104" i="9"/>
  <c r="O104" i="9" s="1"/>
  <c r="L105" i="9"/>
  <c r="O105" i="9" s="1"/>
  <c r="L103" i="9"/>
  <c r="O103" i="9" s="1"/>
  <c r="B27" i="12"/>
  <c r="B28" i="12"/>
  <c r="C29" i="12"/>
  <c r="B29" i="12"/>
  <c r="B34" i="12"/>
  <c r="I34" i="12" s="1"/>
  <c r="B37" i="12"/>
  <c r="G38" i="12" s="1"/>
  <c r="C31" i="12"/>
  <c r="C32" i="12"/>
  <c r="C34" i="12"/>
  <c r="C28" i="12"/>
  <c r="B31" i="12"/>
  <c r="B32" i="12"/>
  <c r="B35" i="12"/>
  <c r="I35" i="12" s="1"/>
  <c r="B30" i="12"/>
  <c r="C33" i="12"/>
  <c r="C27" i="12"/>
  <c r="C35" i="12"/>
  <c r="C30" i="12"/>
  <c r="C26" i="12"/>
  <c r="C36" i="12"/>
  <c r="B36" i="12"/>
  <c r="I36" i="12" s="1"/>
  <c r="B26" i="12"/>
  <c r="B33" i="12"/>
  <c r="AT239" i="9" l="1"/>
  <c r="AW238" i="9"/>
  <c r="L484" i="9"/>
  <c r="O483" i="9"/>
  <c r="L477" i="9"/>
  <c r="O476" i="9"/>
  <c r="AW358" i="9"/>
  <c r="AT359" i="9"/>
  <c r="AW427" i="9"/>
  <c r="AT428" i="9"/>
  <c r="AW308" i="9"/>
  <c r="AT309" i="9"/>
  <c r="L302" i="9"/>
  <c r="O301" i="9"/>
  <c r="AW421" i="9"/>
  <c r="AT422" i="9"/>
  <c r="AW378" i="9"/>
  <c r="AT379" i="9"/>
  <c r="AW371" i="9"/>
  <c r="AT372" i="9"/>
  <c r="L246" i="9"/>
  <c r="O245" i="9"/>
  <c r="O427" i="9"/>
  <c r="L428" i="9"/>
  <c r="L421" i="9"/>
  <c r="O420" i="9"/>
  <c r="O434" i="9"/>
  <c r="L435" i="9"/>
  <c r="AW169" i="9"/>
  <c r="AT170" i="9"/>
  <c r="D38" i="12"/>
  <c r="E38" i="12"/>
  <c r="I38" i="12"/>
  <c r="AW266" i="9"/>
  <c r="AT267" i="9"/>
  <c r="AW330" i="9"/>
  <c r="AT331" i="9"/>
  <c r="AW350" i="9"/>
  <c r="AT351" i="9"/>
  <c r="AW282" i="9"/>
  <c r="AT283" i="9"/>
  <c r="AW283" i="9" s="1"/>
  <c r="L407" i="9"/>
  <c r="O406" i="9"/>
  <c r="O287" i="9"/>
  <c r="L288" i="9"/>
  <c r="O315" i="9"/>
  <c r="L316" i="9"/>
  <c r="O308" i="9"/>
  <c r="L309" i="9"/>
  <c r="L386" i="9"/>
  <c r="O385" i="9"/>
  <c r="L379" i="9"/>
  <c r="O378" i="9"/>
  <c r="AT337" i="9"/>
  <c r="AW336" i="9"/>
  <c r="O343" i="9"/>
  <c r="L344" i="9"/>
  <c r="AW434" i="9"/>
  <c r="AT435" i="9"/>
  <c r="AW469" i="9"/>
  <c r="AT470" i="9"/>
  <c r="O322" i="9"/>
  <c r="L323" i="9"/>
  <c r="O455" i="9"/>
  <c r="L456" i="9"/>
  <c r="AW365" i="9"/>
  <c r="AT366" i="9"/>
  <c r="AT386" i="9"/>
  <c r="AW385" i="9"/>
  <c r="L358" i="9"/>
  <c r="O357" i="9"/>
  <c r="L393" i="9"/>
  <c r="O392" i="9"/>
  <c r="L400" i="9"/>
  <c r="O399" i="9"/>
  <c r="AW407" i="9"/>
  <c r="AT408" i="9"/>
  <c r="AW259" i="9"/>
  <c r="AT260" i="9"/>
  <c r="AW245" i="9"/>
  <c r="AT246" i="9"/>
  <c r="AW202" i="9"/>
  <c r="AT203" i="9"/>
  <c r="AW315" i="9"/>
  <c r="AT316" i="9"/>
  <c r="AW294" i="9"/>
  <c r="AT295" i="9"/>
  <c r="O469" i="9"/>
  <c r="L470" i="9"/>
  <c r="L295" i="9"/>
  <c r="O294" i="9"/>
  <c r="L449" i="9"/>
  <c r="O448" i="9"/>
  <c r="O463" i="9"/>
  <c r="L464" i="9"/>
  <c r="L442" i="9"/>
  <c r="O441" i="9"/>
  <c r="O268" i="9"/>
  <c r="L269" i="9"/>
  <c r="O269" i="9" s="1"/>
  <c r="O280" i="9"/>
  <c r="L281" i="9"/>
  <c r="L274" i="9"/>
  <c r="O273" i="9"/>
  <c r="L253" i="9"/>
  <c r="O252" i="9"/>
  <c r="L260" i="9"/>
  <c r="O259" i="9"/>
  <c r="L415" i="9"/>
  <c r="O414" i="9"/>
  <c r="O351" i="9"/>
  <c r="L352" i="9"/>
  <c r="O329" i="9"/>
  <c r="L330" i="9"/>
  <c r="AW252" i="9"/>
  <c r="AT253" i="9"/>
  <c r="AW301" i="9"/>
  <c r="AT302" i="9"/>
  <c r="AW343" i="9"/>
  <c r="AT344" i="9"/>
  <c r="AW392" i="9"/>
  <c r="AT393" i="9"/>
  <c r="AW441" i="9"/>
  <c r="AT442" i="9"/>
  <c r="AW490" i="9"/>
  <c r="AT491" i="9"/>
  <c r="AW231" i="9"/>
  <c r="AT232" i="9"/>
  <c r="L239" i="9"/>
  <c r="O238" i="9"/>
  <c r="O231" i="9"/>
  <c r="P231" i="9" s="1"/>
  <c r="L232" i="9"/>
  <c r="L478" i="9"/>
  <c r="O477" i="9"/>
  <c r="L485" i="9"/>
  <c r="O484" i="9"/>
  <c r="L374" i="9"/>
  <c r="O374" i="9" s="1"/>
  <c r="O373" i="9"/>
  <c r="AI5" i="10"/>
  <c r="D9" i="3"/>
  <c r="U7" i="10"/>
  <c r="AI6" i="10" s="1"/>
  <c r="C11" i="3"/>
  <c r="C10" i="3"/>
  <c r="L226" i="9"/>
  <c r="O225" i="9"/>
  <c r="AT219" i="9"/>
  <c r="AG219" i="9"/>
  <c r="L217" i="9"/>
  <c r="O216" i="9"/>
  <c r="AW209" i="9"/>
  <c r="AT210" i="9"/>
  <c r="O203" i="9"/>
  <c r="L204" i="9"/>
  <c r="O209" i="9"/>
  <c r="L210" i="9"/>
  <c r="L199" i="9"/>
  <c r="O199" i="9" s="1"/>
  <c r="O198" i="9"/>
  <c r="AF151" i="9"/>
  <c r="L191" i="9"/>
  <c r="O190" i="9"/>
  <c r="AW174" i="9"/>
  <c r="AT175" i="9"/>
  <c r="AW181" i="9"/>
  <c r="AT182" i="9"/>
  <c r="AE188" i="9"/>
  <c r="AE189" i="9" s="1"/>
  <c r="AE190" i="9" s="1"/>
  <c r="AE191" i="9" s="1"/>
  <c r="AE192" i="9" s="1"/>
  <c r="AC195" i="9"/>
  <c r="L184" i="9"/>
  <c r="O183" i="9"/>
  <c r="AF167" i="9"/>
  <c r="AF168" i="9" s="1"/>
  <c r="AF169" i="9" s="1"/>
  <c r="AF170" i="9" s="1"/>
  <c r="AF171" i="9" s="1"/>
  <c r="AF172" i="9"/>
  <c r="AE153" i="9"/>
  <c r="AE154" i="9" s="1"/>
  <c r="AE155" i="9" s="1"/>
  <c r="AE156" i="9" s="1"/>
  <c r="AE157" i="9" s="1"/>
  <c r="AF152" i="9"/>
  <c r="AD162" i="9"/>
  <c r="AG162" i="9" s="1"/>
  <c r="AD160" i="9"/>
  <c r="AG160" i="9" s="1"/>
  <c r="AD159" i="9"/>
  <c r="AG159" i="9" s="1"/>
  <c r="AD161" i="9"/>
  <c r="AG161" i="9" s="1"/>
  <c r="AD164" i="9"/>
  <c r="AG164" i="9" s="1"/>
  <c r="AG158" i="9"/>
  <c r="AD163" i="9"/>
  <c r="AG163" i="9" s="1"/>
  <c r="AD153" i="9"/>
  <c r="AG153" i="9" s="1"/>
  <c r="AD154" i="9"/>
  <c r="AG154" i="9" s="1"/>
  <c r="AD155" i="9"/>
  <c r="AG155" i="9" s="1"/>
  <c r="AD156" i="9"/>
  <c r="AG156" i="9" s="1"/>
  <c r="AD157" i="9"/>
  <c r="AG157" i="9" s="1"/>
  <c r="AG151" i="9"/>
  <c r="AD152" i="9"/>
  <c r="AG152" i="9" s="1"/>
  <c r="AE125" i="9"/>
  <c r="AE126" i="9" s="1"/>
  <c r="AE127" i="9" s="1"/>
  <c r="AE128" i="9" s="1"/>
  <c r="AE129" i="9" s="1"/>
  <c r="AF124" i="9"/>
  <c r="AD131" i="9"/>
  <c r="AG131" i="9" s="1"/>
  <c r="AD132" i="9"/>
  <c r="AG132" i="9" s="1"/>
  <c r="AD133" i="9"/>
  <c r="AG133" i="9" s="1"/>
  <c r="AD134" i="9"/>
  <c r="AG134" i="9" s="1"/>
  <c r="AD135" i="9"/>
  <c r="AG135" i="9" s="1"/>
  <c r="AD136" i="9"/>
  <c r="AG136" i="9" s="1"/>
  <c r="L155" i="9"/>
  <c r="O154" i="9"/>
  <c r="AT132" i="9"/>
  <c r="AW131" i="9"/>
  <c r="L162" i="9"/>
  <c r="O161" i="9"/>
  <c r="AD143" i="9"/>
  <c r="AG143" i="9" s="1"/>
  <c r="AD139" i="9"/>
  <c r="AG139" i="9" s="1"/>
  <c r="AD138" i="9"/>
  <c r="AG138" i="9" s="1"/>
  <c r="AD140" i="9"/>
  <c r="AG140" i="9" s="1"/>
  <c r="AD141" i="9"/>
  <c r="AG141" i="9" s="1"/>
  <c r="AD142" i="9"/>
  <c r="AG142" i="9" s="1"/>
  <c r="L147" i="9"/>
  <c r="O146" i="9"/>
  <c r="AW145" i="9"/>
  <c r="AT146" i="9"/>
  <c r="AW153" i="9"/>
  <c r="AT154" i="9"/>
  <c r="AT162" i="9"/>
  <c r="AW161" i="9"/>
  <c r="AF131" i="9"/>
  <c r="AE132" i="9"/>
  <c r="AE133" i="9" s="1"/>
  <c r="AE134" i="9" s="1"/>
  <c r="AE135" i="9" s="1"/>
  <c r="AE136" i="9" s="1"/>
  <c r="AW140" i="9"/>
  <c r="AT141" i="9"/>
  <c r="AF139" i="9"/>
  <c r="AF140" i="9" s="1"/>
  <c r="AF141" i="9" s="1"/>
  <c r="AF142" i="9" s="1"/>
  <c r="AF143" i="9" s="1"/>
  <c r="AF144" i="9"/>
  <c r="AD116" i="9"/>
  <c r="AD117" i="9" s="1"/>
  <c r="AG117" i="9" s="1"/>
  <c r="AW123" i="9"/>
  <c r="L125" i="9"/>
  <c r="O124" i="9"/>
  <c r="AE116" i="9" a="1"/>
  <c r="AE117" i="9" a="1"/>
  <c r="AE118" i="9" s="1"/>
  <c r="AE119" i="9" s="1"/>
  <c r="AE120" i="9" s="1"/>
  <c r="AE121" i="9" s="1"/>
  <c r="AE122" i="9" s="1"/>
  <c r="AU110" i="9" a="1"/>
  <c r="AU111" i="9" s="1"/>
  <c r="AU112" i="9" s="1"/>
  <c r="AU113" i="9" s="1"/>
  <c r="AU114" i="9" s="1"/>
  <c r="AU115" i="9" s="1"/>
  <c r="AS115" i="9"/>
  <c r="AS108" i="9"/>
  <c r="AV116" i="9"/>
  <c r="AV117" i="9" s="1"/>
  <c r="AV118" i="9" s="1"/>
  <c r="AV119" i="9" s="1"/>
  <c r="AV120" i="9" s="1"/>
  <c r="AV121" i="9" s="1"/>
  <c r="AV122" i="9" s="1"/>
  <c r="AU117" i="9"/>
  <c r="AU118" i="9" s="1"/>
  <c r="AU119" i="9" s="1"/>
  <c r="AU120" i="9" s="1"/>
  <c r="AU121" i="9" s="1"/>
  <c r="AU122" i="9" s="1"/>
  <c r="AW118" i="9"/>
  <c r="AU124" i="9"/>
  <c r="AU125" i="9" s="1"/>
  <c r="AU126" i="9" s="1"/>
  <c r="AU127" i="9" s="1"/>
  <c r="AU128" i="9" s="1"/>
  <c r="AU129" i="9" s="1"/>
  <c r="AV123" i="9"/>
  <c r="AV124" i="9" s="1"/>
  <c r="AV125" i="9" s="1"/>
  <c r="AV126" i="9" s="1"/>
  <c r="AV127" i="9" s="1"/>
  <c r="AV128" i="9" s="1"/>
  <c r="AV129" i="9" s="1"/>
  <c r="AT125" i="9"/>
  <c r="AW125" i="9" s="1"/>
  <c r="AW121" i="9"/>
  <c r="AW119" i="9"/>
  <c r="AW116" i="9"/>
  <c r="AW120" i="9"/>
  <c r="AW117" i="9"/>
  <c r="AQ102" i="9"/>
  <c r="AT102" i="9" s="1"/>
  <c r="AE110" i="9" a="1"/>
  <c r="L118" i="9"/>
  <c r="L119" i="9" s="1"/>
  <c r="L120" i="9" s="1"/>
  <c r="L121" i="9" s="1"/>
  <c r="L122" i="9" s="1"/>
  <c r="G30" i="12"/>
  <c r="H30" i="12"/>
  <c r="D30" i="12"/>
  <c r="E30" i="12"/>
  <c r="F30" i="12"/>
  <c r="I30" i="12"/>
  <c r="K27" i="12" a="1"/>
  <c r="K28" i="12" a="1"/>
  <c r="F29" i="12"/>
  <c r="F32" i="12"/>
  <c r="D29" i="12"/>
  <c r="E29" i="12"/>
  <c r="H29" i="12"/>
  <c r="I29" i="12"/>
  <c r="G29" i="12"/>
  <c r="H28" i="12"/>
  <c r="D28" i="12"/>
  <c r="E28" i="12"/>
  <c r="I28" i="12"/>
  <c r="G28" i="12"/>
  <c r="F28" i="12"/>
  <c r="H33" i="12"/>
  <c r="D33" i="12"/>
  <c r="E33" i="12"/>
  <c r="I33" i="12"/>
  <c r="G33" i="12"/>
  <c r="F34" i="12"/>
  <c r="G27" i="12"/>
  <c r="H27" i="12"/>
  <c r="D27" i="12"/>
  <c r="E27" i="12"/>
  <c r="M12" i="3"/>
  <c r="I27" i="12"/>
  <c r="F31" i="12"/>
  <c r="F33" i="12"/>
  <c r="I31" i="12"/>
  <c r="G31" i="12"/>
  <c r="D31" i="12"/>
  <c r="E31" i="12"/>
  <c r="H31" i="12"/>
  <c r="D32" i="12"/>
  <c r="E32" i="12"/>
  <c r="I32" i="12"/>
  <c r="H32" i="12"/>
  <c r="G32" i="12"/>
  <c r="G26" i="12"/>
  <c r="H26" i="12"/>
  <c r="M11" i="3"/>
  <c r="E26" i="12"/>
  <c r="D26" i="12"/>
  <c r="I26" i="12"/>
  <c r="F26" i="12"/>
  <c r="N11" i="3" s="1"/>
  <c r="G34" i="12"/>
  <c r="E34" i="12"/>
  <c r="D34" i="12"/>
  <c r="F27" i="12"/>
  <c r="N12" i="3" s="1"/>
  <c r="I21" i="3"/>
  <c r="I8" i="3"/>
  <c r="G35" i="12"/>
  <c r="L110" i="9"/>
  <c r="O109" i="9"/>
  <c r="AE102" i="9" a="1"/>
  <c r="D35" i="12"/>
  <c r="E35" i="12"/>
  <c r="F35" i="12"/>
  <c r="J5" i="3"/>
  <c r="I5" i="3"/>
  <c r="G36" i="12"/>
  <c r="G37" i="12"/>
  <c r="D36" i="12"/>
  <c r="E36" i="12"/>
  <c r="F36" i="12"/>
  <c r="AD102" i="9"/>
  <c r="AD109" i="9"/>
  <c r="G116" i="9"/>
  <c r="F116" i="9"/>
  <c r="H116" i="9" s="1"/>
  <c r="O116" i="9"/>
  <c r="F115" i="9"/>
  <c r="H115" i="9" s="1"/>
  <c r="G115" i="9"/>
  <c r="C37" i="12"/>
  <c r="I37" i="12" s="1"/>
  <c r="AW422" i="9" l="1"/>
  <c r="AT423" i="9"/>
  <c r="AW423" i="9" s="1"/>
  <c r="AT240" i="9"/>
  <c r="AW239" i="9"/>
  <c r="AT429" i="9"/>
  <c r="AW428" i="9"/>
  <c r="AT380" i="9"/>
  <c r="AW380" i="9" s="1"/>
  <c r="AW379" i="9"/>
  <c r="AW359" i="9"/>
  <c r="AT360" i="9"/>
  <c r="AW360" i="9" s="1"/>
  <c r="AW309" i="9"/>
  <c r="AT310" i="9"/>
  <c r="O302" i="9"/>
  <c r="L303" i="9"/>
  <c r="AW372" i="9"/>
  <c r="AT373" i="9"/>
  <c r="L247" i="9"/>
  <c r="O246" i="9"/>
  <c r="O428" i="9"/>
  <c r="L429" i="9"/>
  <c r="O421" i="9"/>
  <c r="L422" i="9"/>
  <c r="O435" i="9"/>
  <c r="L436" i="9"/>
  <c r="AW331" i="9"/>
  <c r="AT332" i="9"/>
  <c r="AW332" i="9" s="1"/>
  <c r="AT171" i="9"/>
  <c r="AW171" i="9" s="1"/>
  <c r="AW170" i="9"/>
  <c r="AW267" i="9"/>
  <c r="AT268" i="9"/>
  <c r="AW351" i="9"/>
  <c r="AT352" i="9"/>
  <c r="O407" i="9"/>
  <c r="L408" i="9"/>
  <c r="L289" i="9"/>
  <c r="O288" i="9"/>
  <c r="O316" i="9"/>
  <c r="L317" i="9"/>
  <c r="O309" i="9"/>
  <c r="L310" i="9"/>
  <c r="L387" i="9"/>
  <c r="O386" i="9"/>
  <c r="O379" i="9"/>
  <c r="L380" i="9"/>
  <c r="AW337" i="9"/>
  <c r="AT338" i="9"/>
  <c r="AT381" i="9"/>
  <c r="AW381" i="9" s="1"/>
  <c r="L345" i="9"/>
  <c r="O344" i="9"/>
  <c r="AW435" i="9"/>
  <c r="AT436" i="9"/>
  <c r="AW470" i="9"/>
  <c r="AT471" i="9"/>
  <c r="O323" i="9"/>
  <c r="L324" i="9"/>
  <c r="O456" i="9"/>
  <c r="L457" i="9"/>
  <c r="AW366" i="9"/>
  <c r="AT367" i="9"/>
  <c r="AW367" i="9" s="1"/>
  <c r="AT387" i="9"/>
  <c r="AW386" i="9"/>
  <c r="L394" i="9"/>
  <c r="O393" i="9"/>
  <c r="L401" i="9"/>
  <c r="O400" i="9"/>
  <c r="D10" i="3"/>
  <c r="D11" i="3"/>
  <c r="O358" i="9"/>
  <c r="L359" i="9"/>
  <c r="AT204" i="9"/>
  <c r="AW203" i="9"/>
  <c r="AW408" i="9"/>
  <c r="AT409" i="9"/>
  <c r="AW409" i="9" s="1"/>
  <c r="AW260" i="9"/>
  <c r="AT261" i="9"/>
  <c r="AW246" i="9"/>
  <c r="AT247" i="9"/>
  <c r="AW316" i="9"/>
  <c r="AT317" i="9"/>
  <c r="AW295" i="9"/>
  <c r="AT296" i="9"/>
  <c r="O470" i="9"/>
  <c r="L471" i="9"/>
  <c r="L296" i="9"/>
  <c r="O295" i="9"/>
  <c r="L450" i="9"/>
  <c r="O449" i="9"/>
  <c r="L465" i="9"/>
  <c r="O465" i="9" s="1"/>
  <c r="O464" i="9"/>
  <c r="L443" i="9"/>
  <c r="O442" i="9"/>
  <c r="O281" i="9"/>
  <c r="L282" i="9"/>
  <c r="O274" i="9"/>
  <c r="L275" i="9"/>
  <c r="L254" i="9"/>
  <c r="O253" i="9"/>
  <c r="L261" i="9"/>
  <c r="O260" i="9"/>
  <c r="L416" i="9"/>
  <c r="O416" i="9" s="1"/>
  <c r="O415" i="9"/>
  <c r="O352" i="9"/>
  <c r="L353" i="9"/>
  <c r="O353" i="9" s="1"/>
  <c r="L331" i="9"/>
  <c r="O330" i="9"/>
  <c r="AW253" i="9"/>
  <c r="AT254" i="9"/>
  <c r="AW302" i="9"/>
  <c r="AT303" i="9"/>
  <c r="AW344" i="9"/>
  <c r="AT345" i="9"/>
  <c r="AW393" i="9"/>
  <c r="AT394" i="9"/>
  <c r="AW442" i="9"/>
  <c r="AT443" i="9"/>
  <c r="AW491" i="9"/>
  <c r="AT492" i="9"/>
  <c r="AW232" i="9"/>
  <c r="AT233" i="9"/>
  <c r="L240" i="9"/>
  <c r="O239" i="9"/>
  <c r="O232" i="9"/>
  <c r="L233" i="9"/>
  <c r="L479" i="9"/>
  <c r="O479" i="9" s="1"/>
  <c r="O478" i="9"/>
  <c r="L486" i="9"/>
  <c r="O486" i="9" s="1"/>
  <c r="O485" i="9"/>
  <c r="V8" i="10"/>
  <c r="O226" i="9"/>
  <c r="L227" i="9"/>
  <c r="O227" i="9" s="1"/>
  <c r="AT220" i="9"/>
  <c r="AW220" i="9" s="1"/>
  <c r="AW219" i="9"/>
  <c r="L218" i="9"/>
  <c r="O217" i="9"/>
  <c r="AT211" i="9"/>
  <c r="AW210" i="9"/>
  <c r="J8" i="3"/>
  <c r="L205" i="9"/>
  <c r="O204" i="9"/>
  <c r="O210" i="9"/>
  <c r="L211" i="9"/>
  <c r="D37" i="12"/>
  <c r="E37" i="12"/>
  <c r="F37" i="12"/>
  <c r="L192" i="9"/>
  <c r="O192" i="9" s="1"/>
  <c r="O191" i="9"/>
  <c r="AW175" i="9"/>
  <c r="AT176" i="9"/>
  <c r="AW182" i="9"/>
  <c r="AT183" i="9"/>
  <c r="AF189" i="9"/>
  <c r="AF190" i="9" s="1"/>
  <c r="AF191" i="9" s="1"/>
  <c r="AF192" i="9" s="1"/>
  <c r="AF193" i="9"/>
  <c r="AC196" i="9"/>
  <c r="L185" i="9"/>
  <c r="O185" i="9" s="1"/>
  <c r="O184" i="9"/>
  <c r="AG116" i="9"/>
  <c r="AF153" i="9"/>
  <c r="AF154" i="9" s="1"/>
  <c r="AF155" i="9" s="1"/>
  <c r="AF156" i="9" s="1"/>
  <c r="AF157" i="9" s="1"/>
  <c r="AF158" i="9"/>
  <c r="AD122" i="9"/>
  <c r="AG122" i="9" s="1"/>
  <c r="AD121" i="9"/>
  <c r="AG121" i="9" s="1"/>
  <c r="AD120" i="9"/>
  <c r="AG120" i="9" s="1"/>
  <c r="AD119" i="9"/>
  <c r="AG119" i="9" s="1"/>
  <c r="AD118" i="9"/>
  <c r="AG118" i="9" s="1"/>
  <c r="L148" i="9"/>
  <c r="O147" i="9"/>
  <c r="AT142" i="9"/>
  <c r="AW141" i="9"/>
  <c r="L156" i="9"/>
  <c r="O155" i="9"/>
  <c r="AF132" i="9"/>
  <c r="AF133" i="9" s="1"/>
  <c r="AF134" i="9" s="1"/>
  <c r="AF135" i="9" s="1"/>
  <c r="AF136" i="9" s="1"/>
  <c r="AF137" i="9"/>
  <c r="L163" i="9"/>
  <c r="O162" i="9"/>
  <c r="AT163" i="9"/>
  <c r="AW162" i="9"/>
  <c r="AW132" i="9"/>
  <c r="AT133" i="9"/>
  <c r="AT155" i="9"/>
  <c r="AW154" i="9"/>
  <c r="AW146" i="9"/>
  <c r="AT147" i="9"/>
  <c r="AF125" i="9"/>
  <c r="AF126" i="9" s="1"/>
  <c r="AF127" i="9" s="1"/>
  <c r="AF128" i="9" s="1"/>
  <c r="AF129" i="9" s="1"/>
  <c r="AF130" i="9"/>
  <c r="AD124" i="9"/>
  <c r="AG124" i="9" s="1"/>
  <c r="AD125" i="9"/>
  <c r="AG125" i="9" s="1"/>
  <c r="AD127" i="9"/>
  <c r="AG127" i="9" s="1"/>
  <c r="AD126" i="9"/>
  <c r="AG126" i="9" s="1"/>
  <c r="AD128" i="9"/>
  <c r="AG128" i="9" s="1"/>
  <c r="AG123" i="9"/>
  <c r="L126" i="9"/>
  <c r="O125" i="9"/>
  <c r="AF117" i="9"/>
  <c r="AF123" i="9" s="1"/>
  <c r="M110" i="9" a="1"/>
  <c r="M111" i="9" s="1"/>
  <c r="M112" i="9" s="1"/>
  <c r="AU102" i="9" a="1"/>
  <c r="AV102" i="9" s="1"/>
  <c r="AV103" i="9" s="1"/>
  <c r="AV104" i="9" s="1"/>
  <c r="AV105" i="9" s="1"/>
  <c r="AV106" i="9" s="1"/>
  <c r="AV107" i="9" s="1"/>
  <c r="AV108" i="9" s="1"/>
  <c r="AT126" i="9"/>
  <c r="AW126" i="9" s="1"/>
  <c r="AT109" i="9"/>
  <c r="AW109" i="9" s="1"/>
  <c r="AF110" i="9"/>
  <c r="AE111" i="9"/>
  <c r="AE112" i="9" s="1"/>
  <c r="AE113" i="9" s="1"/>
  <c r="AE114" i="9" s="1"/>
  <c r="AE115" i="9" s="1"/>
  <c r="AF102" i="9"/>
  <c r="AF103" i="9" s="1"/>
  <c r="AF104" i="9" s="1"/>
  <c r="AF105" i="9" s="1"/>
  <c r="AF106" i="9" s="1"/>
  <c r="AF107" i="9" s="1"/>
  <c r="AF108" i="9" s="1"/>
  <c r="AE103" i="9"/>
  <c r="AE104" i="9" s="1"/>
  <c r="AE105" i="9" s="1"/>
  <c r="AE106" i="9" s="1"/>
  <c r="AE107" i="9" s="1"/>
  <c r="AE108" i="9" s="1"/>
  <c r="AE109" i="9" s="1"/>
  <c r="AF109" i="9" s="1"/>
  <c r="L111" i="9"/>
  <c r="O110" i="9"/>
  <c r="AG109" i="9"/>
  <c r="AD115" i="9"/>
  <c r="AG115" i="9" s="1"/>
  <c r="AD110" i="9"/>
  <c r="AG110" i="9" s="1"/>
  <c r="AD112" i="9"/>
  <c r="AG112" i="9" s="1"/>
  <c r="AD114" i="9"/>
  <c r="AG114" i="9" s="1"/>
  <c r="AD113" i="9"/>
  <c r="AG113" i="9" s="1"/>
  <c r="AD111" i="9"/>
  <c r="AG111" i="9" s="1"/>
  <c r="AG102" i="9"/>
  <c r="AD105" i="9"/>
  <c r="AG105" i="9" s="1"/>
  <c r="AD104" i="9"/>
  <c r="AG104" i="9" s="1"/>
  <c r="AD103" i="9"/>
  <c r="AG103" i="9" s="1"/>
  <c r="AD107" i="9"/>
  <c r="AG107" i="9" s="1"/>
  <c r="AD108" i="9"/>
  <c r="AG108" i="9" s="1"/>
  <c r="AD106" i="9"/>
  <c r="AG106" i="9" s="1"/>
  <c r="AT107" i="9"/>
  <c r="AW107" i="9" s="1"/>
  <c r="AT105" i="9"/>
  <c r="AW105" i="9" s="1"/>
  <c r="AT104" i="9"/>
  <c r="AW104" i="9" s="1"/>
  <c r="AW102" i="9"/>
  <c r="AT103" i="9"/>
  <c r="AW103" i="9" s="1"/>
  <c r="AT106" i="9"/>
  <c r="AW106" i="9" s="1"/>
  <c r="AT108" i="9"/>
  <c r="AW108" i="9" s="1"/>
  <c r="G118" i="9"/>
  <c r="F118" i="9"/>
  <c r="H118" i="9" s="1"/>
  <c r="O118" i="9"/>
  <c r="G117" i="9"/>
  <c r="H8" i="3" s="1"/>
  <c r="F117" i="9"/>
  <c r="O117" i="9"/>
  <c r="AW240" i="9" l="1"/>
  <c r="AT241" i="9"/>
  <c r="AW241" i="9" s="1"/>
  <c r="AW429" i="9"/>
  <c r="AT430" i="9"/>
  <c r="AW430" i="9" s="1"/>
  <c r="AW310" i="9"/>
  <c r="AT311" i="9"/>
  <c r="AW311" i="9" s="1"/>
  <c r="O303" i="9"/>
  <c r="L304" i="9"/>
  <c r="O304" i="9" s="1"/>
  <c r="O247" i="9"/>
  <c r="L248" i="9"/>
  <c r="O248" i="9" s="1"/>
  <c r="O429" i="9"/>
  <c r="L430" i="9"/>
  <c r="O430" i="9" s="1"/>
  <c r="O422" i="9"/>
  <c r="L423" i="9"/>
  <c r="O423" i="9" s="1"/>
  <c r="AW373" i="9"/>
  <c r="AT374" i="9"/>
  <c r="AW374" i="9" s="1"/>
  <c r="O436" i="9"/>
  <c r="L437" i="9"/>
  <c r="O437" i="9" s="1"/>
  <c r="AW268" i="9"/>
  <c r="AT269" i="9"/>
  <c r="AW269" i="9" s="1"/>
  <c r="AW352" i="9"/>
  <c r="AT353" i="9"/>
  <c r="AW353" i="9" s="1"/>
  <c r="L409" i="9"/>
  <c r="O409" i="9" s="1"/>
  <c r="O408" i="9"/>
  <c r="L290" i="9"/>
  <c r="O290" i="9" s="1"/>
  <c r="O289" i="9"/>
  <c r="O317" i="9"/>
  <c r="L318" i="9"/>
  <c r="O318" i="9" s="1"/>
  <c r="O310" i="9"/>
  <c r="L311" i="9"/>
  <c r="O311" i="9" s="1"/>
  <c r="L388" i="9"/>
  <c r="O388" i="9" s="1"/>
  <c r="O387" i="9"/>
  <c r="O380" i="9"/>
  <c r="L381" i="9"/>
  <c r="O381" i="9" s="1"/>
  <c r="AT339" i="9"/>
  <c r="AW339" i="9" s="1"/>
  <c r="AW338" i="9"/>
  <c r="L458" i="9"/>
  <c r="O458" i="9" s="1"/>
  <c r="O457" i="9"/>
  <c r="L395" i="9"/>
  <c r="O395" i="9" s="1"/>
  <c r="O394" i="9"/>
  <c r="L402" i="9"/>
  <c r="O402" i="9" s="1"/>
  <c r="O401" i="9"/>
  <c r="AT205" i="9"/>
  <c r="AW204" i="9"/>
  <c r="L346" i="9"/>
  <c r="O346" i="9" s="1"/>
  <c r="O345" i="9"/>
  <c r="AW436" i="9"/>
  <c r="AT437" i="9"/>
  <c r="AW437" i="9" s="1"/>
  <c r="AW471" i="9"/>
  <c r="AT472" i="9"/>
  <c r="AW472" i="9" s="1"/>
  <c r="O324" i="9"/>
  <c r="L325" i="9"/>
  <c r="O325" i="9" s="1"/>
  <c r="AT388" i="9"/>
  <c r="AW388" i="9" s="1"/>
  <c r="AW387" i="9"/>
  <c r="L360" i="9"/>
  <c r="O360" i="9" s="1"/>
  <c r="O359" i="9"/>
  <c r="AT262" i="9"/>
  <c r="AW262" i="9" s="1"/>
  <c r="AW261" i="9"/>
  <c r="AW247" i="9"/>
  <c r="AT248" i="9"/>
  <c r="AW248" i="9" s="1"/>
  <c r="AW317" i="9"/>
  <c r="AT318" i="9"/>
  <c r="AW318" i="9" s="1"/>
  <c r="AW296" i="9"/>
  <c r="AT297" i="9"/>
  <c r="AW297" i="9" s="1"/>
  <c r="L472" i="9"/>
  <c r="O472" i="9" s="1"/>
  <c r="O471" i="9"/>
  <c r="L297" i="9"/>
  <c r="O297" i="9" s="1"/>
  <c r="O296" i="9"/>
  <c r="L451" i="9"/>
  <c r="O451" i="9" s="1"/>
  <c r="O450" i="9"/>
  <c r="L444" i="9"/>
  <c r="O444" i="9" s="1"/>
  <c r="O443" i="9"/>
  <c r="O282" i="9"/>
  <c r="L283" i="9"/>
  <c r="O283" i="9" s="1"/>
  <c r="L276" i="9"/>
  <c r="O276" i="9" s="1"/>
  <c r="O275" i="9"/>
  <c r="L255" i="9"/>
  <c r="O255" i="9" s="1"/>
  <c r="O254" i="9"/>
  <c r="L262" i="9"/>
  <c r="O262" i="9" s="1"/>
  <c r="O261" i="9"/>
  <c r="O331" i="9"/>
  <c r="L332" i="9"/>
  <c r="O332" i="9" s="1"/>
  <c r="AW254" i="9"/>
  <c r="AT255" i="9"/>
  <c r="AW255" i="9" s="1"/>
  <c r="AW303" i="9"/>
  <c r="AT304" i="9"/>
  <c r="AW304" i="9" s="1"/>
  <c r="AW345" i="9"/>
  <c r="AT346" i="9"/>
  <c r="AW346" i="9" s="1"/>
  <c r="AW394" i="9"/>
  <c r="AT395" i="9"/>
  <c r="AW395" i="9" s="1"/>
  <c r="AW443" i="9"/>
  <c r="AT444" i="9"/>
  <c r="AW444" i="9" s="1"/>
  <c r="AW492" i="9"/>
  <c r="AT493" i="9"/>
  <c r="AW493" i="9" s="1"/>
  <c r="AW233" i="9"/>
  <c r="AT234" i="9"/>
  <c r="AW234" i="9" s="1"/>
  <c r="L241" i="9"/>
  <c r="O241" i="9" s="1"/>
  <c r="O240" i="9"/>
  <c r="O233" i="9"/>
  <c r="L234" i="9"/>
  <c r="O234" i="9" s="1"/>
  <c r="M113" i="9"/>
  <c r="M114" i="9" s="1"/>
  <c r="M115" i="9" s="1"/>
  <c r="N291" i="9" a="1"/>
  <c r="N292" i="9" s="1"/>
  <c r="N293" i="9" s="1"/>
  <c r="N294" i="9" s="1"/>
  <c r="N295" i="9" s="1"/>
  <c r="N296" i="9" s="1"/>
  <c r="N297" i="9" s="1"/>
  <c r="L219" i="9"/>
  <c r="O218" i="9"/>
  <c r="AT212" i="9"/>
  <c r="AW211" i="9"/>
  <c r="L206" i="9"/>
  <c r="O206" i="9" s="1"/>
  <c r="O205" i="9"/>
  <c r="L212" i="9"/>
  <c r="O211" i="9"/>
  <c r="AT177" i="9"/>
  <c r="AW176" i="9"/>
  <c r="AT184" i="9"/>
  <c r="AW183" i="9"/>
  <c r="AC197" i="9"/>
  <c r="L164" i="9"/>
  <c r="O164" i="9" s="1"/>
  <c r="O163" i="9"/>
  <c r="AT156" i="9"/>
  <c r="AW155" i="9"/>
  <c r="AU103" i="9"/>
  <c r="AU104" i="9" s="1"/>
  <c r="AU105" i="9" s="1"/>
  <c r="AU106" i="9" s="1"/>
  <c r="AU107" i="9" s="1"/>
  <c r="AU108" i="9" s="1"/>
  <c r="AU109" i="9" s="1"/>
  <c r="AV109" i="9" s="1"/>
  <c r="AV110" i="9" s="1"/>
  <c r="AV111" i="9" s="1"/>
  <c r="AV112" i="9" s="1"/>
  <c r="AV113" i="9" s="1"/>
  <c r="AV114" i="9" s="1"/>
  <c r="AV115" i="9" s="1"/>
  <c r="L157" i="9"/>
  <c r="O157" i="9" s="1"/>
  <c r="O156" i="9"/>
  <c r="AT134" i="9"/>
  <c r="AW133" i="9"/>
  <c r="AT143" i="9"/>
  <c r="AW143" i="9" s="1"/>
  <c r="AW142" i="9"/>
  <c r="AW147" i="9"/>
  <c r="AT148" i="9"/>
  <c r="AT164" i="9"/>
  <c r="AW164" i="9" s="1"/>
  <c r="AW163" i="9"/>
  <c r="L149" i="9"/>
  <c r="O148" i="9"/>
  <c r="AF118" i="9"/>
  <c r="AF119" i="9" s="1"/>
  <c r="AF120" i="9" s="1"/>
  <c r="AF121" i="9" s="1"/>
  <c r="AF122" i="9" s="1"/>
  <c r="L127" i="9"/>
  <c r="O127" i="9" s="1"/>
  <c r="O126" i="9"/>
  <c r="AT110" i="9"/>
  <c r="AT111" i="9" s="1"/>
  <c r="AT127" i="9"/>
  <c r="AW127" i="9" s="1"/>
  <c r="AF116" i="9"/>
  <c r="AF111" i="9"/>
  <c r="AF112" i="9" s="1"/>
  <c r="AF113" i="9" s="1"/>
  <c r="AF114" i="9" s="1"/>
  <c r="AF115" i="9" s="1"/>
  <c r="H117" i="9"/>
  <c r="H5" i="3" s="1"/>
  <c r="J7" i="3"/>
  <c r="I6" i="3"/>
  <c r="L112" i="9"/>
  <c r="O111" i="9"/>
  <c r="H24" i="12"/>
  <c r="F119" i="9"/>
  <c r="H119" i="9" s="1"/>
  <c r="O119" i="9"/>
  <c r="G119" i="9"/>
  <c r="E9" i="3"/>
  <c r="F9" i="3" s="1"/>
  <c r="AT206" i="9" l="1"/>
  <c r="AW206" i="9" s="1"/>
  <c r="AW205" i="9"/>
  <c r="L220" i="9"/>
  <c r="O220" i="9" s="1"/>
  <c r="O219" i="9"/>
  <c r="AT213" i="9"/>
  <c r="AW213" i="9" s="1"/>
  <c r="AW212" i="9"/>
  <c r="L213" i="9"/>
  <c r="O213" i="9" s="1"/>
  <c r="O212" i="9"/>
  <c r="AT178" i="9"/>
  <c r="AW178" i="9" s="1"/>
  <c r="AW177" i="9"/>
  <c r="AW184" i="9"/>
  <c r="AT185" i="9"/>
  <c r="AW185" i="9" s="1"/>
  <c r="AW110" i="9"/>
  <c r="AC198" i="9"/>
  <c r="L150" i="9"/>
  <c r="O150" i="9" s="1"/>
  <c r="O149" i="9"/>
  <c r="AT135" i="9"/>
  <c r="AW134" i="9"/>
  <c r="AT149" i="9"/>
  <c r="AW148" i="9"/>
  <c r="AT157" i="9"/>
  <c r="AW157" i="9" s="1"/>
  <c r="AW156" i="9"/>
  <c r="L128" i="9"/>
  <c r="O128" i="9" s="1"/>
  <c r="AT128" i="9"/>
  <c r="AW128" i="9" s="1"/>
  <c r="I9" i="3"/>
  <c r="AT112" i="9"/>
  <c r="AW111" i="9"/>
  <c r="L113" i="9"/>
  <c r="O112" i="9"/>
  <c r="F121" i="9"/>
  <c r="H121" i="9" s="1"/>
  <c r="G121" i="9"/>
  <c r="O121" i="9"/>
  <c r="F120" i="9"/>
  <c r="H120" i="9" s="1"/>
  <c r="O120" i="9"/>
  <c r="G120" i="9"/>
  <c r="AT150" i="9" l="1"/>
  <c r="AW150" i="9" s="1"/>
  <c r="AW149" i="9"/>
  <c r="AW135" i="9"/>
  <c r="AT136" i="9"/>
  <c r="AW136" i="9" s="1"/>
  <c r="L129" i="9"/>
  <c r="O129" i="9" s="1"/>
  <c r="H6" i="3"/>
  <c r="AT129" i="9"/>
  <c r="AW129" i="9" s="1"/>
  <c r="L114" i="9"/>
  <c r="O113" i="9"/>
  <c r="AT113" i="9"/>
  <c r="AW112" i="9"/>
  <c r="H122" i="9"/>
  <c r="O122" i="9"/>
  <c r="AC199" i="9" l="1"/>
  <c r="AA193" i="9"/>
  <c r="AC200" i="9"/>
  <c r="M116" i="9" a="1"/>
  <c r="AT114" i="9"/>
  <c r="AW113" i="9"/>
  <c r="L115" i="9"/>
  <c r="O115" i="9" s="1"/>
  <c r="O114" i="9"/>
  <c r="AD193" i="9" l="1"/>
  <c r="AD195" i="9" s="1"/>
  <c r="AG195" i="9" s="1"/>
  <c r="AD200" i="9"/>
  <c r="AE194" i="9" a="1"/>
  <c r="AE193" i="9" a="1"/>
  <c r="AC201" i="9"/>
  <c r="M117" i="9"/>
  <c r="M118" i="9" s="1"/>
  <c r="M119" i="9" s="1"/>
  <c r="N116" i="9"/>
  <c r="N117" i="9" s="1"/>
  <c r="N118" i="9" s="1"/>
  <c r="N119" i="9" s="1"/>
  <c r="N120" i="9" s="1"/>
  <c r="N121" i="9" s="1"/>
  <c r="N122" i="9" s="1"/>
  <c r="AT115" i="9"/>
  <c r="AW115" i="9" s="1"/>
  <c r="AW114" i="9"/>
  <c r="K25" i="12" a="1"/>
  <c r="K26" i="12" a="1"/>
  <c r="I25" i="12"/>
  <c r="E25" i="12"/>
  <c r="G25" i="12"/>
  <c r="M10" i="3"/>
  <c r="D25" i="12"/>
  <c r="H25" i="12"/>
  <c r="F25" i="12"/>
  <c r="N10" i="3" s="1"/>
  <c r="E3" i="3"/>
  <c r="B21" i="12"/>
  <c r="H21" i="12" s="1" a="1"/>
  <c r="B18" i="12"/>
  <c r="H18" i="12" s="1" a="1"/>
  <c r="C19" i="12"/>
  <c r="F22" i="12" a="1"/>
  <c r="B20" i="12"/>
  <c r="H20" i="12" s="1" a="1"/>
  <c r="D22" i="12" a="1"/>
  <c r="C18" i="12"/>
  <c r="C21" i="12"/>
  <c r="C20" i="12"/>
  <c r="B19" i="12"/>
  <c r="H19" i="12" s="1" a="1"/>
  <c r="B15" i="12"/>
  <c r="H15" i="12" s="1" a="1"/>
  <c r="C16" i="12"/>
  <c r="C17" i="12"/>
  <c r="B17" i="12"/>
  <c r="H17" i="12" s="1" a="1"/>
  <c r="B16" i="12"/>
  <c r="H16" i="12" s="1" a="1"/>
  <c r="C15" i="12"/>
  <c r="AD194" i="9" l="1"/>
  <c r="AG194" i="9" s="1"/>
  <c r="AG193" i="9"/>
  <c r="AD199" i="9"/>
  <c r="AG199" i="9" s="1"/>
  <c r="AD198" i="9"/>
  <c r="AG198" i="9" s="1"/>
  <c r="AD196" i="9"/>
  <c r="AG196" i="9" s="1"/>
  <c r="M120" i="9"/>
  <c r="M121" i="9" s="1"/>
  <c r="M122" i="9" s="1"/>
  <c r="N298" i="9" a="1"/>
  <c r="N299" i="9" s="1"/>
  <c r="N300" i="9" s="1"/>
  <c r="N301" i="9" s="1"/>
  <c r="N302" i="9" s="1"/>
  <c r="N303" i="9" s="1"/>
  <c r="N304" i="9" s="1"/>
  <c r="E5" i="3"/>
  <c r="AD197" i="9"/>
  <c r="AG197" i="9" s="1"/>
  <c r="AD202" i="9"/>
  <c r="AG202" i="9" s="1"/>
  <c r="AD201" i="9"/>
  <c r="AG201" i="9" s="1"/>
  <c r="AD205" i="9"/>
  <c r="AG205" i="9" s="1"/>
  <c r="AD206" i="9"/>
  <c r="AG206" i="9" s="1"/>
  <c r="AD203" i="9"/>
  <c r="AG203" i="9" s="1"/>
  <c r="AD204" i="9"/>
  <c r="AG204" i="9" s="1"/>
  <c r="AG200" i="9"/>
  <c r="AE195" i="9"/>
  <c r="AE196" i="9" s="1"/>
  <c r="AE197" i="9" s="1"/>
  <c r="AE198" i="9" s="1"/>
  <c r="AE199" i="9" s="1"/>
  <c r="AF194" i="9"/>
  <c r="D15" i="12"/>
  <c r="E15" i="12"/>
  <c r="G15" i="12"/>
  <c r="I15" i="12"/>
  <c r="M7" i="3"/>
  <c r="F14" i="12"/>
  <c r="N6" i="3" s="1"/>
  <c r="G20" i="12"/>
  <c r="E20" i="12"/>
  <c r="D20" i="12"/>
  <c r="I20" i="12"/>
  <c r="D21" i="12"/>
  <c r="E21" i="12"/>
  <c r="G21" i="12"/>
  <c r="I21" i="12"/>
  <c r="F19" i="12"/>
  <c r="F17" i="12"/>
  <c r="G18" i="12"/>
  <c r="E18" i="12"/>
  <c r="I18" i="12"/>
  <c r="D18" i="12"/>
  <c r="E19" i="12"/>
  <c r="D19" i="12"/>
  <c r="G19" i="12"/>
  <c r="I19" i="12"/>
  <c r="E16" i="12"/>
  <c r="D16" i="12"/>
  <c r="G16" i="12"/>
  <c r="I16" i="12"/>
  <c r="M8" i="3"/>
  <c r="M6" i="3"/>
  <c r="D14" i="12"/>
  <c r="I14" i="12"/>
  <c r="G14" i="12"/>
  <c r="E14" i="12"/>
  <c r="F15" i="12"/>
  <c r="N7" i="3" s="1"/>
  <c r="F20" i="12"/>
  <c r="F21" i="12"/>
  <c r="F18" i="12"/>
  <c r="F16" i="12"/>
  <c r="N8" i="3" s="1"/>
  <c r="D17" i="12"/>
  <c r="E17" i="12"/>
  <c r="I17" i="12"/>
  <c r="G17" i="12"/>
  <c r="AE201" i="9" a="1"/>
  <c r="I19" i="3"/>
  <c r="AE202" i="9" l="1"/>
  <c r="AE203" i="9" s="1"/>
  <c r="AE204" i="9" s="1"/>
  <c r="AE205" i="9" s="1"/>
  <c r="AE206" i="9" s="1"/>
  <c r="AF201" i="9"/>
  <c r="AF207" i="9" s="1"/>
  <c r="AF195" i="9"/>
  <c r="AF196" i="9" s="1"/>
  <c r="AF197" i="9" s="1"/>
  <c r="AF198" i="9" s="1"/>
  <c r="AF199" i="9" s="1"/>
  <c r="AF200" i="9"/>
  <c r="AE200" i="9" a="1"/>
  <c r="AF202" i="9" l="1"/>
  <c r="AF203" i="9" s="1"/>
  <c r="AF204" i="9" s="1"/>
  <c r="AF205" i="9" s="1"/>
  <c r="AF206" i="9" s="1"/>
  <c r="I487" i="9" l="1"/>
  <c r="B3" i="12"/>
  <c r="H3" i="12" s="1" a="1"/>
  <c r="B10" i="12"/>
  <c r="B4" i="12"/>
  <c r="H4" i="12" s="1" a="1"/>
  <c r="B5" i="12"/>
  <c r="H5" i="12" s="1" a="1"/>
  <c r="B7" i="12"/>
  <c r="H7" i="12" s="1" a="1"/>
  <c r="D11" i="12" a="1"/>
  <c r="B6" i="12"/>
  <c r="H6" i="12" s="1" a="1"/>
  <c r="B9" i="12"/>
  <c r="H9" i="12" s="1" a="1"/>
  <c r="F11" i="12" a="1"/>
  <c r="B8" i="12"/>
  <c r="H8" i="12" s="1" a="1"/>
  <c r="H17" i="3"/>
  <c r="I17" i="3" s="1"/>
  <c r="L487" i="9" l="1"/>
  <c r="M487" i="9" a="1"/>
  <c r="M488" i="9" s="1"/>
  <c r="M489" i="9" s="1"/>
  <c r="M490" i="9" s="1"/>
  <c r="M491" i="9" s="1"/>
  <c r="M492" i="9" s="1"/>
  <c r="M493" i="9" s="1"/>
  <c r="F10" i="12"/>
  <c r="H10" i="12" a="1"/>
  <c r="I10" i="12" s="1"/>
  <c r="F4" i="12"/>
  <c r="N3" i="3" s="1"/>
  <c r="I4" i="12"/>
  <c r="F5" i="12"/>
  <c r="N4" i="3" s="1"/>
  <c r="I5" i="12"/>
  <c r="F7" i="12"/>
  <c r="I7" i="12"/>
  <c r="F6" i="12"/>
  <c r="I6" i="12"/>
  <c r="F9" i="12"/>
  <c r="I9" i="12"/>
  <c r="F8" i="12"/>
  <c r="I8" i="12"/>
  <c r="F3" i="12"/>
  <c r="N2" i="3" s="1"/>
  <c r="I3" i="12"/>
  <c r="D3" i="12"/>
  <c r="G3" i="12"/>
  <c r="M2" i="3"/>
  <c r="E3" i="12"/>
  <c r="E10" i="12"/>
  <c r="D10" i="12"/>
  <c r="G10" i="12"/>
  <c r="M3" i="3"/>
  <c r="D4" i="12"/>
  <c r="E4" i="12"/>
  <c r="G4" i="12"/>
  <c r="E5" i="12"/>
  <c r="G5" i="12"/>
  <c r="D5" i="12"/>
  <c r="M4" i="3"/>
  <c r="E7" i="12"/>
  <c r="D7" i="12"/>
  <c r="G7" i="12"/>
  <c r="E6" i="12"/>
  <c r="G6" i="12"/>
  <c r="D6" i="12"/>
  <c r="E9" i="12"/>
  <c r="G9" i="12"/>
  <c r="D9" i="12"/>
  <c r="E8" i="12"/>
  <c r="D8" i="12"/>
  <c r="G8" i="12"/>
  <c r="L488" i="9" l="1"/>
  <c r="O487" i="9"/>
  <c r="O488" i="9" l="1"/>
  <c r="L489" i="9"/>
  <c r="L490" i="9" l="1"/>
  <c r="O489" i="9"/>
  <c r="L491" i="9" l="1"/>
  <c r="O490" i="9"/>
  <c r="O491" i="9" l="1"/>
  <c r="L492" i="9"/>
  <c r="AG4" i="10"/>
  <c r="E8" i="3" s="1"/>
  <c r="AG2" i="10"/>
  <c r="AG7" i="10" s="1"/>
  <c r="L493" i="9" l="1"/>
  <c r="O493" i="9" s="1"/>
  <c r="O492" i="9"/>
  <c r="E7" i="3"/>
  <c r="AI2" i="10" l="1"/>
  <c r="AH7" i="10"/>
  <c r="E10" i="3"/>
  <c r="F10" i="3" s="1"/>
  <c r="AG8" i="10"/>
  <c r="E11" i="3" s="1"/>
  <c r="AI7" i="10" l="1"/>
  <c r="AI8" i="10" l="1"/>
  <c r="AJ7" i="10"/>
  <c r="AJ8"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BB98B6F-33A9-4C30-9FF9-4976C4A9C0BC}" keepAlive="1" name="Query - Changes" description="Connection to the 'Changes' query in the workbook." type="5" refreshedVersion="8" minRefreshableVersion="3" background="1" saveData="1">
    <dbPr connection="Provider=Microsoft.Mashup.OleDb.1;Data Source=$Workbook$;Location=Changes;Extended Properties=&quot;&quot;" command="SELECT * FROM [Changes]"/>
  </connection>
  <connection id="2" xr16:uid="{D946A248-AA92-48AE-B876-D765DA2E9158}" keepAlive="1" name="Query - Live Gold" description="Connection to the 'Live Gold' query in the workbook." type="5" refreshedVersion="8" background="1" saveData="1">
    <dbPr connection="Provider=Microsoft.Mashup.OleDb.1;Data Source=$Workbook$;Location=&quot;Live Gold&quot;;Extended Properties=&quot;&quot;" command="SELECT * FROM [Live Gold]"/>
  </connection>
  <connection id="3" xr16:uid="{0F3D2DDA-DBC5-439E-8D74-3561CD80041A}" keepAlive="1" name="Query - Live Silver" description="Connection to the 'Live Silver' query in the workbook." type="5" refreshedVersion="8" background="1" saveData="1">
    <dbPr connection="Provider=Microsoft.Mashup.OleDb.1;Data Source=$Workbook$;Location=&quot;Live Silver&quot;;Extended Properties=&quot;&quot;" command="SELECT * FROM [Live Silver]"/>
  </connection>
  <connection id="4" xr16:uid="{9C1EED49-F9F7-4630-84CF-0CC540711A22}" keepAlive="1" name="Query - Live USD" description="Connection to the 'Live USD' query in the workbook." type="5" refreshedVersion="8" minRefreshableVersion="3" background="1" saveData="1">
    <dbPr connection="Provider=Microsoft.Mashup.OleDb.1;Data Source=$Workbook$;Location=&quot;Live USD&quot;;Extended Properties=&quot;&quot;" command="SELECT * FROM [Live US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<sst xmlns="http://schemas.openxmlformats.org/spreadsheetml/2006/main" count="3485" uniqueCount="1609">
  <si>
    <t>Column1</t>
  </si>
  <si>
    <t>Column2</t>
  </si>
  <si>
    <t>Column3</t>
  </si>
  <si>
    <t>GRAM ALTIN</t>
  </si>
  <si>
    <t>DOLAR</t>
  </si>
  <si>
    <t>GRAM GÜMÜŞ</t>
  </si>
  <si>
    <t>Altın Kuru</t>
  </si>
  <si>
    <t>Alış</t>
  </si>
  <si>
    <t>Satış</t>
  </si>
  <si>
    <t>Gram Altın</t>
  </si>
  <si>
    <t>Gram Gümüş</t>
  </si>
  <si>
    <t>Spread</t>
  </si>
  <si>
    <t>Döviz Kuru</t>
  </si>
  <si>
    <t>Amerikan Doları</t>
  </si>
  <si>
    <t>Daily Change</t>
  </si>
  <si>
    <t>%Spread</t>
  </si>
  <si>
    <t>Tarih</t>
  </si>
  <si>
    <t>Kapanış</t>
  </si>
  <si>
    <t>19 Haziran 2025</t>
  </si>
  <si>
    <t>20 Haziran 2025</t>
  </si>
  <si>
    <t>23 Haziran 2025</t>
  </si>
  <si>
    <t>24 Haziran 2025</t>
  </si>
  <si>
    <t>25 Haziran 2025</t>
  </si>
  <si>
    <t>26 Haziran 2025</t>
  </si>
  <si>
    <t>27 Haziran 2025</t>
  </si>
  <si>
    <t>30 Haziran 2025</t>
  </si>
  <si>
    <t>1 Temmuz 2025</t>
  </si>
  <si>
    <t>2 Temmuz 2025</t>
  </si>
  <si>
    <t>3 Temmuz 2025</t>
  </si>
  <si>
    <t>4 Temmuz 2025</t>
  </si>
  <si>
    <t>7 Temmuz 2025</t>
  </si>
  <si>
    <t>8 Temmuz 2025</t>
  </si>
  <si>
    <t>9 Temmuz 2025</t>
  </si>
  <si>
    <t>10 Temmuz 2025</t>
  </si>
  <si>
    <t>11 Temmuz 2025</t>
  </si>
  <si>
    <t>14 Temmuz 2025</t>
  </si>
  <si>
    <t>15 Temmuz 2025</t>
  </si>
  <si>
    <t>16 Temmuz 2025</t>
  </si>
  <si>
    <t>17 Temmuz 2025</t>
  </si>
  <si>
    <t>18 Temmuz 2025</t>
  </si>
  <si>
    <t>Weekly Average</t>
  </si>
  <si>
    <t>Weekly Average Change</t>
  </si>
  <si>
    <t>Weekly % Change</t>
  </si>
  <si>
    <t>0,00</t>
  </si>
  <si>
    <t>20 Nisan 2025</t>
  </si>
  <si>
    <t>21 Nisan 2025</t>
  </si>
  <si>
    <t>22 Nisan 2025</t>
  </si>
  <si>
    <t>23 Nisan 2025</t>
  </si>
  <si>
    <t>24 Nisan 2025</t>
  </si>
  <si>
    <t>25 Nisan 2025</t>
  </si>
  <si>
    <t>26 Nisan 2025</t>
  </si>
  <si>
    <t>27 Nisan 2025</t>
  </si>
  <si>
    <t>28 Nisan 2025</t>
  </si>
  <si>
    <t>29 Nisan 2025</t>
  </si>
  <si>
    <t>30 Nisan 2025</t>
  </si>
  <si>
    <t>1 Mayıs 2025</t>
  </si>
  <si>
    <t>2 Mayıs 2025</t>
  </si>
  <si>
    <t>3 Mayıs 2025</t>
  </si>
  <si>
    <t>4 Mayıs 2025</t>
  </si>
  <si>
    <t>5 Mayıs 2025</t>
  </si>
  <si>
    <t>6 Mayıs 2025</t>
  </si>
  <si>
    <t>7 Mayıs 2025</t>
  </si>
  <si>
    <t>8 Mayıs 2025</t>
  </si>
  <si>
    <t>9 Mayıs 2025</t>
  </si>
  <si>
    <t>10 Mayıs 2025</t>
  </si>
  <si>
    <t>11 Mayıs 2025</t>
  </si>
  <si>
    <t>12 Mayıs 2025</t>
  </si>
  <si>
    <t>13 Mayıs 2025</t>
  </si>
  <si>
    <t>14 Mayıs 2025</t>
  </si>
  <si>
    <t>15 Mayıs 2025</t>
  </si>
  <si>
    <t>16 Mayıs 2025</t>
  </si>
  <si>
    <t>17 Mayıs 2025</t>
  </si>
  <si>
    <t>18 Mayıs 2025</t>
  </si>
  <si>
    <t>19 Mayıs 2025</t>
  </si>
  <si>
    <t>20 Mayıs 2025</t>
  </si>
  <si>
    <t>21 Mayıs 2025</t>
  </si>
  <si>
    <t>22 Mayıs 2025</t>
  </si>
  <si>
    <t>23 Mayıs 2025</t>
  </si>
  <si>
    <t>24 Mayıs 2025</t>
  </si>
  <si>
    <t>25 Mayıs 2025</t>
  </si>
  <si>
    <t>26 Mayıs 2025</t>
  </si>
  <si>
    <t>27 Mayıs 2025</t>
  </si>
  <si>
    <t>28 Mayıs 2025</t>
  </si>
  <si>
    <t>29 Mayıs 2025</t>
  </si>
  <si>
    <t>30 Mayıs 2025</t>
  </si>
  <si>
    <t>31 Mayıs 2025</t>
  </si>
  <si>
    <t>1 Haziran 2025</t>
  </si>
  <si>
    <t>2 Haziran 2025</t>
  </si>
  <si>
    <t>3 Haziran 2025</t>
  </si>
  <si>
    <t>4 Haziran 2025</t>
  </si>
  <si>
    <t>5 Haziran 2025</t>
  </si>
  <si>
    <t>6 Haziran 2025</t>
  </si>
  <si>
    <t>7 Haziran 2025</t>
  </si>
  <si>
    <t>8 Haziran 2025</t>
  </si>
  <si>
    <t>9 Haziran 2025</t>
  </si>
  <si>
    <t>10 Haziran 2025</t>
  </si>
  <si>
    <t>11 Haziran 2025</t>
  </si>
  <si>
    <t>12 Haziran 2025</t>
  </si>
  <si>
    <t>13 Haziran 2025</t>
  </si>
  <si>
    <t>14 Haziran 2025</t>
  </si>
  <si>
    <t>15 Haziran 2025</t>
  </si>
  <si>
    <t>16 Haziran 2025</t>
  </si>
  <si>
    <t>17 Haziran 2025</t>
  </si>
  <si>
    <t>18 Haziran 2025</t>
  </si>
  <si>
    <t>21 Haziran 2025</t>
  </si>
  <si>
    <t>22 Haziran 2025</t>
  </si>
  <si>
    <t>28 Haziran 2025</t>
  </si>
  <si>
    <t>29 Haziran 2025</t>
  </si>
  <si>
    <t>5 Temmuz 2025</t>
  </si>
  <si>
    <t>6 Temmuz 2025</t>
  </si>
  <si>
    <t>12 Temmuz 2025</t>
  </si>
  <si>
    <t>13 Temmuz 2025</t>
  </si>
  <si>
    <t>19 Temmuz 2025</t>
  </si>
  <si>
    <t>19 Nisan 2025</t>
  </si>
  <si>
    <t>Price</t>
  </si>
  <si>
    <t>Date</t>
  </si>
  <si>
    <t>20 Temmuz 2025</t>
  </si>
  <si>
    <t>21 Temmuz 2025</t>
  </si>
  <si>
    <t>22 Temmuz 2025</t>
  </si>
  <si>
    <t>23 Temmuz 2025</t>
  </si>
  <si>
    <t>24 Temmuz 2025</t>
  </si>
  <si>
    <t>25 Temmuz 2025</t>
  </si>
  <si>
    <t>26 Temmuz 2025</t>
  </si>
  <si>
    <t>27 Temmuz 2025</t>
  </si>
  <si>
    <t>28 Temmuz 2025</t>
  </si>
  <si>
    <t>29 Temmuz 2025</t>
  </si>
  <si>
    <t>30 Temmuz 2025</t>
  </si>
  <si>
    <t>31 Temmuz 2025</t>
  </si>
  <si>
    <t>N/A</t>
  </si>
  <si>
    <t>1 Ağustos 2025</t>
  </si>
  <si>
    <t>2 Ağustos 2025</t>
  </si>
  <si>
    <t>3 Ağustos 2025</t>
  </si>
  <si>
    <t>Today's Prices</t>
  </si>
  <si>
    <t>Gold</t>
  </si>
  <si>
    <t>Silver</t>
  </si>
  <si>
    <t>USD</t>
  </si>
  <si>
    <t>Today's %Change</t>
  </si>
  <si>
    <t>Weekly Volitility</t>
  </si>
  <si>
    <t>Daily Change (Live)</t>
  </si>
  <si>
    <t>Buying Price</t>
  </si>
  <si>
    <t>Signal B</t>
  </si>
  <si>
    <t>Daily %</t>
  </si>
  <si>
    <t>Weekly Trend</t>
  </si>
  <si>
    <t>This Week's Trend</t>
  </si>
  <si>
    <t>40,88</t>
  </si>
  <si>
    <t>40,70</t>
  </si>
  <si>
    <t>40,51</t>
  </si>
  <si>
    <t>42,39</t>
  </si>
  <si>
    <t>42,04</t>
  </si>
  <si>
    <t>41,39</t>
  </si>
  <si>
    <t>41,87</t>
  </si>
  <si>
    <t>41,89</t>
  </si>
  <si>
    <t>41,51</t>
  </si>
  <si>
    <t>41,34</t>
  </si>
  <si>
    <t>40,94</t>
  </si>
  <si>
    <t>40,60</t>
  </si>
  <si>
    <t>40,26</t>
  </si>
  <si>
    <t>40,61</t>
  </si>
  <si>
    <t>40,63</t>
  </si>
  <si>
    <t>41,04</t>
  </si>
  <si>
    <t>41,85</t>
  </si>
  <si>
    <t>40,93</t>
  </si>
  <si>
    <t>40,64</t>
  </si>
  <si>
    <t>41,42</t>
  </si>
  <si>
    <t>41,33</t>
  </si>
  <si>
    <t>41,86</t>
  </si>
  <si>
    <t>40,83</t>
  </si>
  <si>
    <t>40,90</t>
  </si>
  <si>
    <t>40,97</t>
  </si>
  <si>
    <t>41,05</t>
  </si>
  <si>
    <t>41,94</t>
  </si>
  <si>
    <t>42,42</t>
  </si>
  <si>
    <t>42,05</t>
  </si>
  <si>
    <t>42,77</t>
  </si>
  <si>
    <t>42,78</t>
  </si>
  <si>
    <t>42,60</t>
  </si>
  <si>
    <t>42,43</t>
  </si>
  <si>
    <t>42,10</t>
  </si>
  <si>
    <t>42,62</t>
  </si>
  <si>
    <t>42,19</t>
  </si>
  <si>
    <t>42,23</t>
  </si>
  <si>
    <t>44,47</t>
  </si>
  <si>
    <t>44,12</t>
  </si>
  <si>
    <t>44,20</t>
  </si>
  <si>
    <t>45,54</t>
  </si>
  <si>
    <t>45,93</t>
  </si>
  <si>
    <t>46,07</t>
  </si>
  <si>
    <t>46,08</t>
  </si>
  <si>
    <t>46,99</t>
  </si>
  <si>
    <t>46,77</t>
  </si>
  <si>
    <t>46,48</t>
  </si>
  <si>
    <t>46,68</t>
  </si>
  <si>
    <t>46,52</t>
  </si>
  <si>
    <t>46,74</t>
  </si>
  <si>
    <t>46,69</t>
  </si>
  <si>
    <t>47,91</t>
  </si>
  <si>
    <t>47,37</t>
  </si>
  <si>
    <t>46,56</t>
  </si>
  <si>
    <t>46,57</t>
  </si>
  <si>
    <t>46,64</t>
  </si>
  <si>
    <t>46,89</t>
  </si>
  <si>
    <t>46,42</t>
  </si>
  <si>
    <t>47,10</t>
  </si>
  <si>
    <t>47,63</t>
  </si>
  <si>
    <t>46,71</t>
  </si>
  <si>
    <t>47,01</t>
  </si>
  <si>
    <t>46,87</t>
  </si>
  <si>
    <t>46,75</t>
  </si>
  <si>
    <t>47,85</t>
  </si>
  <si>
    <t>47,99</t>
  </si>
  <si>
    <t>48,00</t>
  </si>
  <si>
    <t>47,61</t>
  </si>
  <si>
    <t>48,01</t>
  </si>
  <si>
    <t>47,75</t>
  </si>
  <si>
    <t>48,13</t>
  </si>
  <si>
    <t>48,72</t>
  </si>
  <si>
    <t>48,74</t>
  </si>
  <si>
    <t>49,12</t>
  </si>
  <si>
    <t>49,17</t>
  </si>
  <si>
    <t>49,32</t>
  </si>
  <si>
    <t>49,48</t>
  </si>
  <si>
    <t>49,57</t>
  </si>
  <si>
    <t>50,31</t>
  </si>
  <si>
    <t>COV</t>
  </si>
  <si>
    <t>arih</t>
  </si>
  <si>
    <t>Weekly Volatility</t>
  </si>
  <si>
    <t>This Week's Volatility</t>
  </si>
  <si>
    <t>DOLLAR (TCMB)</t>
  </si>
  <si>
    <t>Signal</t>
  </si>
  <si>
    <t>Trendline</t>
  </si>
  <si>
    <t>%DrawDown</t>
  </si>
  <si>
    <t>Acilis</t>
  </si>
  <si>
    <t>Drawdown</t>
  </si>
  <si>
    <t>Daily % Change</t>
  </si>
  <si>
    <t>30-Day % Change</t>
  </si>
  <si>
    <t>7-Day % Change</t>
  </si>
  <si>
    <t>Momentum Score</t>
  </si>
  <si>
    <t>Selling Price</t>
  </si>
  <si>
    <t>Last Buy Date</t>
  </si>
  <si>
    <t>Last Buy Price</t>
  </si>
  <si>
    <t>Last Buy Amount</t>
  </si>
  <si>
    <t>Net Worth</t>
  </si>
  <si>
    <t>Last Buy Cost (TRY)</t>
  </si>
  <si>
    <t>Last Buy Current Value (TRY)</t>
  </si>
  <si>
    <t>Total Cost</t>
  </si>
  <si>
    <t>Asset</t>
  </si>
  <si>
    <t>Buy/Sell</t>
  </si>
  <si>
    <t>Buying Rate</t>
  </si>
  <si>
    <t>Cost</t>
  </si>
  <si>
    <t>Net Amount</t>
  </si>
  <si>
    <t>Market Rate</t>
  </si>
  <si>
    <t>Amount (g)</t>
  </si>
  <si>
    <t>PnL</t>
  </si>
  <si>
    <t>ROI</t>
  </si>
  <si>
    <t>Average Cost</t>
  </si>
  <si>
    <t>Amount ($)</t>
  </si>
  <si>
    <t>LIVE PRICES</t>
  </si>
  <si>
    <t>VALUE</t>
  </si>
  <si>
    <t>MIN</t>
  </si>
  <si>
    <t>MAX</t>
  </si>
  <si>
    <t>%</t>
  </si>
  <si>
    <t>MAE</t>
  </si>
  <si>
    <t>SMAPE</t>
  </si>
  <si>
    <t>CI (95%)</t>
  </si>
  <si>
    <t>Ledger</t>
  </si>
  <si>
    <t>Forecast</t>
  </si>
  <si>
    <t>1D</t>
  </si>
  <si>
    <t>3D</t>
  </si>
  <si>
    <t>7D</t>
  </si>
  <si>
    <t>Confidence</t>
  </si>
  <si>
    <t>Inflation (Calc)</t>
  </si>
  <si>
    <t>Asset Value</t>
  </si>
  <si>
    <t>Gold Buy</t>
  </si>
  <si>
    <t>Silver Buy</t>
  </si>
  <si>
    <t>USD Buy</t>
  </si>
  <si>
    <t>In USD</t>
  </si>
  <si>
    <t>CI%</t>
  </si>
  <si>
    <t>%Increase</t>
  </si>
  <si>
    <t>51,89</t>
  </si>
  <si>
    <t>51,91</t>
  </si>
  <si>
    <t>51,86</t>
  </si>
  <si>
    <t>$</t>
  </si>
  <si>
    <t>4 Ağustos 2025</t>
  </si>
  <si>
    <t>5 Ağustos 2025</t>
  </si>
  <si>
    <t>6 Ağustos 2025</t>
  </si>
  <si>
    <t>7 Ağustos 2025</t>
  </si>
  <si>
    <t>8 Ağustos 2025</t>
  </si>
  <si>
    <t>9 Ağustos 2025</t>
  </si>
  <si>
    <t>48,49</t>
  </si>
  <si>
    <t>10 Ağustos 2025</t>
  </si>
  <si>
    <t>11 Ağustos 2025</t>
  </si>
  <si>
    <t>12 Ağustos 2025</t>
  </si>
  <si>
    <t>13 Ağustos 2025</t>
  </si>
  <si>
    <t>14 Ağustos 2025</t>
  </si>
  <si>
    <t>15 Ağustos 2025</t>
  </si>
  <si>
    <t>16 Ağustos 2025</t>
  </si>
  <si>
    <t>17 Ağustos 2025</t>
  </si>
  <si>
    <t>18 Ağustos 2025</t>
  </si>
  <si>
    <t>19 Ağustos 2025</t>
  </si>
  <si>
    <t>20 Ağustos 2025</t>
  </si>
  <si>
    <t>21 Ağustos 2025</t>
  </si>
  <si>
    <t>22 Ağustos 2025</t>
  </si>
  <si>
    <t>23 Ağustos 2025</t>
  </si>
  <si>
    <t>24 Ağustos 2025</t>
  </si>
  <si>
    <t>25 Ağustos 2025</t>
  </si>
  <si>
    <t>26 Ağustos 2025</t>
  </si>
  <si>
    <t>27 Ağustos 2025</t>
  </si>
  <si>
    <t>28 Ağustos 2025</t>
  </si>
  <si>
    <t>29 Ağustos 2025</t>
  </si>
  <si>
    <t>30 Ağustos 2025</t>
  </si>
  <si>
    <t>31 Ağustos 2025</t>
  </si>
  <si>
    <t>1 Eylül 2025</t>
  </si>
  <si>
    <t>2 Eylül 2025</t>
  </si>
  <si>
    <t>3 Eylül 2025</t>
  </si>
  <si>
    <t>4 Eylül 2025</t>
  </si>
  <si>
    <t>5 Eylül 2025</t>
  </si>
  <si>
    <t>6 Eylül 2025</t>
  </si>
  <si>
    <t>7 Eylül 2025</t>
  </si>
  <si>
    <t>8 Eylül 2025</t>
  </si>
  <si>
    <t>9 Eylül 2025</t>
  </si>
  <si>
    <t>10 Eylül 2025</t>
  </si>
  <si>
    <t>11 Eylül 2025</t>
  </si>
  <si>
    <t>12 Eylül 2025</t>
  </si>
  <si>
    <t>13 Eylül 2025</t>
  </si>
  <si>
    <t>14 Eylül 2025</t>
  </si>
  <si>
    <t>15 Eylül 2025</t>
  </si>
  <si>
    <t>16 Eylül 2025</t>
  </si>
  <si>
    <t>17 Eylül 2025</t>
  </si>
  <si>
    <t>18 Eylül 2025</t>
  </si>
  <si>
    <t>19 Eylül 2025</t>
  </si>
  <si>
    <t>20 Eylül 2025</t>
  </si>
  <si>
    <t>21 Eylül 2025</t>
  </si>
  <si>
    <t>22 Eylül 2025</t>
  </si>
  <si>
    <t>23 Eylül 2025</t>
  </si>
  <si>
    <t>24 Eylül 2025</t>
  </si>
  <si>
    <t>25 Eylül 2025</t>
  </si>
  <si>
    <t>26 Eylül 2025</t>
  </si>
  <si>
    <t>27 Eylül 2025</t>
  </si>
  <si>
    <t>28 Eylül 2025</t>
  </si>
  <si>
    <t>29 Eylül 2025</t>
  </si>
  <si>
    <t>30 Eylül 2025</t>
  </si>
  <si>
    <t>1 Ekim 2025</t>
  </si>
  <si>
    <t>2 Ekim 2025</t>
  </si>
  <si>
    <t>3 Ekim 2025</t>
  </si>
  <si>
    <t>4 Ekim 2025</t>
  </si>
  <si>
    <t>5 Ekim 2025</t>
  </si>
  <si>
    <t>51,72</t>
  </si>
  <si>
    <t>51,70</t>
  </si>
  <si>
    <t>51,93</t>
  </si>
  <si>
    <t>52,00</t>
  </si>
  <si>
    <t>50,32</t>
  </si>
  <si>
    <t>50,76</t>
  </si>
  <si>
    <t>50,96</t>
  </si>
  <si>
    <t>51,11</t>
  </si>
  <si>
    <t>51,14</t>
  </si>
  <si>
    <t>50,09</t>
  </si>
  <si>
    <t>50,47</t>
  </si>
  <si>
    <t>51,25</t>
  </si>
  <si>
    <t>50,65</t>
  </si>
  <si>
    <t>50,59</t>
  </si>
  <si>
    <t>50,75</t>
  </si>
  <si>
    <t>50,73</t>
  </si>
  <si>
    <t>49,87</t>
  </si>
  <si>
    <t>50,62</t>
  </si>
  <si>
    <t>50,88</t>
  </si>
  <si>
    <t>51,76</t>
  </si>
  <si>
    <t>52,09</t>
  </si>
  <si>
    <t>51,61</t>
  </si>
  <si>
    <t>51,78</t>
  </si>
  <si>
    <t>51,68</t>
  </si>
  <si>
    <t>52,47</t>
  </si>
  <si>
    <t>53,25</t>
  </si>
  <si>
    <t>53,35</t>
  </si>
  <si>
    <t>54,64</t>
  </si>
  <si>
    <t>55,06</t>
  </si>
  <si>
    <t>55,44</t>
  </si>
  <si>
    <t>54,66</t>
  </si>
  <si>
    <t>54,92</t>
  </si>
  <si>
    <t>55,26</t>
  </si>
  <si>
    <t>55,78</t>
  </si>
  <si>
    <t>55,09</t>
  </si>
  <si>
    <t>55,42</t>
  </si>
  <si>
    <t>56,13</t>
  </si>
  <si>
    <t>56,70</t>
  </si>
  <si>
    <t>57,07</t>
  </si>
  <si>
    <t>57,73</t>
  </si>
  <si>
    <t>57,50</t>
  </si>
  <si>
    <t>56,14</t>
  </si>
  <si>
    <t>56,44</t>
  </si>
  <si>
    <t>58,05</t>
  </si>
  <si>
    <t>58,22</t>
  </si>
  <si>
    <t>59,47</t>
  </si>
  <si>
    <t>59,52</t>
  </si>
  <si>
    <t>59,29</t>
  </si>
  <si>
    <t>61,16</t>
  </si>
  <si>
    <t>62,46</t>
  </si>
  <si>
    <t>62,64</t>
  </si>
  <si>
    <t>63,71</t>
  </si>
  <si>
    <t>63,26</t>
  </si>
  <si>
    <t>64,17</t>
  </si>
  <si>
    <t>63,74</t>
  </si>
  <si>
    <t>65,15</t>
  </si>
  <si>
    <t>65,35</t>
  </si>
  <si>
    <t>9 Ekim 2025</t>
  </si>
  <si>
    <t>10 Ekim 2025</t>
  </si>
  <si>
    <t>11 Ekim 2025</t>
  </si>
  <si>
    <t>12 Ekim 2025</t>
  </si>
  <si>
    <t>13 Ekim 2025</t>
  </si>
  <si>
    <t>14 Ekim 2025</t>
  </si>
  <si>
    <t>15 Ekim 2025</t>
  </si>
  <si>
    <t>16 Ekim 2025</t>
  </si>
  <si>
    <t>17 Ekim 2025</t>
  </si>
  <si>
    <t>18 Ekim 2025</t>
  </si>
  <si>
    <t>19 Ekim 2025</t>
  </si>
  <si>
    <t>20 Ekim 2025</t>
  </si>
  <si>
    <t>21 Ekim 2025</t>
  </si>
  <si>
    <t>22 Ekim 2025</t>
  </si>
  <si>
    <t>23 Ekim 2025</t>
  </si>
  <si>
    <t>24 Ekim 2025</t>
  </si>
  <si>
    <t>25 Ekim 2025</t>
  </si>
  <si>
    <t>26 Ekim 2025</t>
  </si>
  <si>
    <t>27 Ekim 2025</t>
  </si>
  <si>
    <t>28 Ekim 2025</t>
  </si>
  <si>
    <t>66,79</t>
  </si>
  <si>
    <t>68,43</t>
  </si>
  <si>
    <t>69,85</t>
  </si>
  <si>
    <t>71,41</t>
  </si>
  <si>
    <t>70,50</t>
  </si>
  <si>
    <t>72,42</t>
  </si>
  <si>
    <t>73,99</t>
  </si>
  <si>
    <t>71,51</t>
  </si>
  <si>
    <t>71,82</t>
  </si>
  <si>
    <t>66,94</t>
  </si>
  <si>
    <t>66,44</t>
  </si>
  <si>
    <t>66,92</t>
  </si>
  <si>
    <t>66,64</t>
  </si>
  <si>
    <t>66,73</t>
  </si>
  <si>
    <t>66,80</t>
  </si>
  <si>
    <t>64,39</t>
  </si>
  <si>
    <t>64,67</t>
  </si>
  <si>
    <t>4.180,00</t>
  </si>
  <si>
    <t>4.210,00</t>
  </si>
  <si>
    <t>4.319,00</t>
  </si>
  <si>
    <t>4.370,00</t>
  </si>
  <si>
    <t>4.260,00</t>
  </si>
  <si>
    <t>4.195,00</t>
  </si>
  <si>
    <t>4.229,00</t>
  </si>
  <si>
    <t>4.208,00</t>
  </si>
  <si>
    <t>4.225,00</t>
  </si>
  <si>
    <t>4.115,00</t>
  </si>
  <si>
    <t>4.160,00</t>
  </si>
  <si>
    <t>4.135,00</t>
  </si>
  <si>
    <t>4.228,00</t>
  </si>
  <si>
    <t>4.312,00</t>
  </si>
  <si>
    <t>4.280,00</t>
  </si>
  <si>
    <t>4.275,00</t>
  </si>
  <si>
    <t>4.258,00</t>
  </si>
  <si>
    <t>4.150,00</t>
  </si>
  <si>
    <t>4.105,00</t>
  </si>
  <si>
    <t>4.130,00</t>
  </si>
  <si>
    <t>4.169,00</t>
  </si>
  <si>
    <t>4.243,00</t>
  </si>
  <si>
    <t>4.240,00</t>
  </si>
  <si>
    <t>4.295,00</t>
  </si>
  <si>
    <t>4.248,00</t>
  </si>
  <si>
    <t>4.207,00</t>
  </si>
  <si>
    <t>4.235,00</t>
  </si>
  <si>
    <t>4.230,00</t>
  </si>
  <si>
    <t>4.270,00</t>
  </si>
  <si>
    <t>4.325,00</t>
  </si>
  <si>
    <t>4.366,00</t>
  </si>
  <si>
    <t>4.282,00</t>
  </si>
  <si>
    <t>4.365,00</t>
  </si>
  <si>
    <t>4.445,00</t>
  </si>
  <si>
    <t>4.403,00</t>
  </si>
  <si>
    <t>4.410,00</t>
  </si>
  <si>
    <t>4.392,00</t>
  </si>
  <si>
    <t>4.400,00</t>
  </si>
  <si>
    <t>4.415,00</t>
  </si>
  <si>
    <t>4.320,00</t>
  </si>
  <si>
    <t>4.310,00</t>
  </si>
  <si>
    <t>4.340,00</t>
  </si>
  <si>
    <t>4.335,00</t>
  </si>
  <si>
    <t>4.305,00</t>
  </si>
  <si>
    <t>4.330,00</t>
  </si>
  <si>
    <t>4.344,72</t>
  </si>
  <si>
    <t>4.350,00</t>
  </si>
  <si>
    <t>4.385,00</t>
  </si>
  <si>
    <t>4.425,00</t>
  </si>
  <si>
    <t>4.480,00</t>
  </si>
  <si>
    <t>4.500,00</t>
  </si>
  <si>
    <t>4.450,00</t>
  </si>
  <si>
    <t>4.380,00</t>
  </si>
  <si>
    <t>4.430,00</t>
  </si>
  <si>
    <t>4.441,00</t>
  </si>
  <si>
    <t>4.460,00</t>
  </si>
  <si>
    <t>4.455,00</t>
  </si>
  <si>
    <t>4.465,00</t>
  </si>
  <si>
    <t>4.490,00</t>
  </si>
  <si>
    <t>4.475,00</t>
  </si>
  <si>
    <t>4.470,00</t>
  </si>
  <si>
    <t>4.520,00</t>
  </si>
  <si>
    <t>4.495,00</t>
  </si>
  <si>
    <t>4.510,00</t>
  </si>
  <si>
    <t>4.540,00</t>
  </si>
  <si>
    <t>4.600,00</t>
  </si>
  <si>
    <t>4.625,00</t>
  </si>
  <si>
    <t>4.695,00</t>
  </si>
  <si>
    <t>4.780,00</t>
  </si>
  <si>
    <t>4.770,00</t>
  </si>
  <si>
    <t>4.850,00</t>
  </si>
  <si>
    <t>4.840,00</t>
  </si>
  <si>
    <t>4.940,00</t>
  </si>
  <si>
    <t>4.970,00</t>
  </si>
  <si>
    <t>4.982,00</t>
  </si>
  <si>
    <t>4.975,00</t>
  </si>
  <si>
    <t>4.995,00</t>
  </si>
  <si>
    <t>5.070,00</t>
  </si>
  <si>
    <t>5.050,00</t>
  </si>
  <si>
    <t>5.030,00</t>
  </si>
  <si>
    <t>5.060,00</t>
  </si>
  <si>
    <t>5.125,00</t>
  </si>
  <si>
    <t>5.240,00</t>
  </si>
  <si>
    <t>5.210,00</t>
  </si>
  <si>
    <t>5.200,00</t>
  </si>
  <si>
    <t>5.250,00</t>
  </si>
  <si>
    <t>5.265,00</t>
  </si>
  <si>
    <t>5.310,00</t>
  </si>
  <si>
    <t>5.360,00</t>
  </si>
  <si>
    <t>5.410,00</t>
  </si>
  <si>
    <t>5.430,00</t>
  </si>
  <si>
    <t>6 Ekim 2025</t>
  </si>
  <si>
    <t>5.550,00</t>
  </si>
  <si>
    <t>7 Ekim 2025</t>
  </si>
  <si>
    <t>5.680,00</t>
  </si>
  <si>
    <t>8 Ekim 2025</t>
  </si>
  <si>
    <t>5.860,00</t>
  </si>
  <si>
    <t>5.780,00</t>
  </si>
  <si>
    <t>5.690,00</t>
  </si>
  <si>
    <t>5.730,00</t>
  </si>
  <si>
    <t>5.770,00</t>
  </si>
  <si>
    <t>5.792,00</t>
  </si>
  <si>
    <t>5.930,00</t>
  </si>
  <si>
    <t>6.150,00</t>
  </si>
  <si>
    <t>6.320,00</t>
  </si>
  <si>
    <t>6.210,00</t>
  </si>
  <si>
    <t>6.290,00</t>
  </si>
  <si>
    <t>5.910,00</t>
  </si>
  <si>
    <t>5.990,00</t>
  </si>
  <si>
    <t>6.020,00</t>
  </si>
  <si>
    <t>5.790,00</t>
  </si>
  <si>
    <t>5.699,00</t>
  </si>
  <si>
    <t>30 Ekim 2025</t>
  </si>
  <si>
    <t>5.739,00</t>
  </si>
  <si>
    <t>31 Ekim 2025</t>
  </si>
  <si>
    <t>5.753,00</t>
  </si>
  <si>
    <t>1 Kasım 2025</t>
  </si>
  <si>
    <t>5.700,00</t>
  </si>
  <si>
    <t>3 Kasım 2025</t>
  </si>
  <si>
    <t>4 Kasım 2025</t>
  </si>
  <si>
    <t>5.635,00</t>
  </si>
  <si>
    <t>5 Kasım 2025</t>
  </si>
  <si>
    <t>5.608,00</t>
  </si>
  <si>
    <t>6 Kasım 2025</t>
  </si>
  <si>
    <t>5.670,00</t>
  </si>
  <si>
    <t>7 Kasım 2025</t>
  </si>
  <si>
    <t>8 Kasım 2025</t>
  </si>
  <si>
    <t>10 Kasım 2025</t>
  </si>
  <si>
    <t>11 Kasım 2025</t>
  </si>
  <si>
    <t>12 Kasım 2025</t>
  </si>
  <si>
    <t>2 Kasım 2025</t>
  </si>
  <si>
    <t>9 Kasım 2025</t>
  </si>
  <si>
    <t>29 Ekim 2025</t>
  </si>
  <si>
    <t>13 Kasım 2025</t>
  </si>
  <si>
    <t>14 Kasım 2025</t>
  </si>
  <si>
    <t>15 Kasım 2025</t>
  </si>
  <si>
    <t>16 Kasım 2025</t>
  </si>
  <si>
    <t>17 Kasım 2025</t>
  </si>
  <si>
    <t>18 Kasım 2025</t>
  </si>
  <si>
    <t>19 Kasım 2025</t>
  </si>
  <si>
    <t>20 Kasım 2025</t>
  </si>
  <si>
    <t>21 Kasım 2025</t>
  </si>
  <si>
    <t>22 Kasım 2025</t>
  </si>
  <si>
    <t>23 Kasım 2025</t>
  </si>
  <si>
    <t>67,01</t>
  </si>
  <si>
    <t>67,07</t>
  </si>
  <si>
    <t>66,28</t>
  </si>
  <si>
    <t>64,90</t>
  </si>
  <si>
    <t>66,27</t>
  </si>
  <si>
    <t>66,06</t>
  </si>
  <si>
    <t>Serial Number</t>
  </si>
  <si>
    <t>Value</t>
  </si>
  <si>
    <t>Source</t>
  </si>
  <si>
    <t>Status</t>
  </si>
  <si>
    <t>Date Purchased</t>
  </si>
  <si>
    <t>Buy Rate (TL)</t>
  </si>
  <si>
    <t>Location</t>
  </si>
  <si>
    <t>Current Value</t>
  </si>
  <si>
    <t>Profit</t>
  </si>
  <si>
    <t>Year</t>
  </si>
  <si>
    <t>ID</t>
  </si>
  <si>
    <t>(Length SN)</t>
  </si>
  <si>
    <t>Reciept</t>
  </si>
  <si>
    <t>USD NW</t>
  </si>
  <si>
    <t>Net Assets</t>
  </si>
  <si>
    <t>Total USD</t>
  </si>
  <si>
    <t>Net Cost</t>
  </si>
  <si>
    <t>Total Sale</t>
  </si>
  <si>
    <t>24 Kasım 2025</t>
  </si>
  <si>
    <t>25 Kasım 2025</t>
  </si>
  <si>
    <t>26 Kasım 2025</t>
  </si>
  <si>
    <t>27 Kasım 2025</t>
  </si>
  <si>
    <t>28 Kasım 2025</t>
  </si>
  <si>
    <t>29 Kasım 2025</t>
  </si>
  <si>
    <t>30 Kasım 2025</t>
  </si>
  <si>
    <t>1 Aralık 2025</t>
  </si>
  <si>
    <t>2 Aralık 2025</t>
  </si>
  <si>
    <t>3 Aralık 2025</t>
  </si>
  <si>
    <t>4 Aralık 2025</t>
  </si>
  <si>
    <t>5 Aralık 2025</t>
  </si>
  <si>
    <t>6 Aralık 2025</t>
  </si>
  <si>
    <t>7 Aralık 2025</t>
  </si>
  <si>
    <t>8 Aralık 2025</t>
  </si>
  <si>
    <t>9 Aralık 2025</t>
  </si>
  <si>
    <t>10 Aralık 2025</t>
  </si>
  <si>
    <t>11 Aralık 2025</t>
  </si>
  <si>
    <t>12 Aralık 2025</t>
  </si>
  <si>
    <t>13 Aralık 2025</t>
  </si>
  <si>
    <t>14 Aralık 2025</t>
  </si>
  <si>
    <t>15 Aralık 2025</t>
  </si>
  <si>
    <t>16 Aralık 2025</t>
  </si>
  <si>
    <t>17 Aralık 2025</t>
  </si>
  <si>
    <t>18 Aralık 2025</t>
  </si>
  <si>
    <t>19 Aralık 2025</t>
  </si>
  <si>
    <t>20 Aralık 2025</t>
  </si>
  <si>
    <t>21 Aralık 2025</t>
  </si>
  <si>
    <t>22 Aralık 2025</t>
  </si>
  <si>
    <t>23 Aralık 2025</t>
  </si>
  <si>
    <t>24 Aralık 2025</t>
  </si>
  <si>
    <t>25 Aralık 2025</t>
  </si>
  <si>
    <t>26 Aralık 2025</t>
  </si>
  <si>
    <t>27 Aralık 2025</t>
  </si>
  <si>
    <t>28 Aralık 2025</t>
  </si>
  <si>
    <t>29 Aralık 2025</t>
  </si>
  <si>
    <t>30 Aralık 2025</t>
  </si>
  <si>
    <t>31 Aralık 2025</t>
  </si>
  <si>
    <t>1 Ocak 2026</t>
  </si>
  <si>
    <t>2 Ocak 2026</t>
  </si>
  <si>
    <t>3 Ocak 2026</t>
  </si>
  <si>
    <t>4 Ocak 2026</t>
  </si>
  <si>
    <t>5 Ocak 2026</t>
  </si>
  <si>
    <t>6 Ocak 2026</t>
  </si>
  <si>
    <t>7 Ocak 2026</t>
  </si>
  <si>
    <t>8 Ocak 2026</t>
  </si>
  <si>
    <t>9 Ocak 2026</t>
  </si>
  <si>
    <t>10 Ocak 2026</t>
  </si>
  <si>
    <t>11 Ocak 2026</t>
  </si>
  <si>
    <t>12 Ocak 2026</t>
  </si>
  <si>
    <t>13 Ocak 2026</t>
  </si>
  <si>
    <t>14 Ocak 2026</t>
  </si>
  <si>
    <t>15 Ocak 2026</t>
  </si>
  <si>
    <t>16 Ocak 2026</t>
  </si>
  <si>
    <t>17 Ocak 2026</t>
  </si>
  <si>
    <t>18 Ocak 2026</t>
  </si>
  <si>
    <t>19 Ocak 2026</t>
  </si>
  <si>
    <t>20 Ocak 2026</t>
  </si>
  <si>
    <t>21 Ocak 2026</t>
  </si>
  <si>
    <t>22 Ocak 2026</t>
  </si>
  <si>
    <t>23 Ocak 2026</t>
  </si>
  <si>
    <t>24 Ocak 2026</t>
  </si>
  <si>
    <t>25 Ocak 2026</t>
  </si>
  <si>
    <t>26 Ocak 2026</t>
  </si>
  <si>
    <t>27 Ocak 2026</t>
  </si>
  <si>
    <t>28 Ocak 2026</t>
  </si>
  <si>
    <t>29 Ocak 2026</t>
  </si>
  <si>
    <t>30 Ocak 2026</t>
  </si>
  <si>
    <t>31 Ocak 2026</t>
  </si>
  <si>
    <t>1 Şubat 2026</t>
  </si>
  <si>
    <t>2 Şubat 2026</t>
  </si>
  <si>
    <t>3 Şubat 2026</t>
  </si>
  <si>
    <t>4 Şubat 2026</t>
  </si>
  <si>
    <t>5 Şubat 2026</t>
  </si>
  <si>
    <t>6 Şubat 2026</t>
  </si>
  <si>
    <t>7 Şubat 2026</t>
  </si>
  <si>
    <t>8 Şubat 2026</t>
  </si>
  <si>
    <t>9 Şubat 2026</t>
  </si>
  <si>
    <t>10 Şubat 2026</t>
  </si>
  <si>
    <t>11 Şubat 2026</t>
  </si>
  <si>
    <t>12 Şubat 2026</t>
  </si>
  <si>
    <t>13 Şubat 2026</t>
  </si>
  <si>
    <t>14 Şubat 2026</t>
  </si>
  <si>
    <t>15 Şubat 2026</t>
  </si>
  <si>
    <t>16 Şubat 2026</t>
  </si>
  <si>
    <t>17 Şubat 2026</t>
  </si>
  <si>
    <t>18 Şubat 2026</t>
  </si>
  <si>
    <t>19 Şubat 2026</t>
  </si>
  <si>
    <t>20 Şubat 2026</t>
  </si>
  <si>
    <t>21 Şubat 2026</t>
  </si>
  <si>
    <t>22 Şubat 2026</t>
  </si>
  <si>
    <t>23 Şubat 2026</t>
  </si>
  <si>
    <t>24 Şubat 2026</t>
  </si>
  <si>
    <t>25 Şubat 2026</t>
  </si>
  <si>
    <t>26 Şubat 2026</t>
  </si>
  <si>
    <t>27 Şubat 2026</t>
  </si>
  <si>
    <t>28 Şubat 2026</t>
  </si>
  <si>
    <t>1 Mart 2026</t>
  </si>
  <si>
    <t>2 Mart 2026</t>
  </si>
  <si>
    <t>3 Mart 2026</t>
  </si>
  <si>
    <t>4 Mart 2026</t>
  </si>
  <si>
    <t>5 Mart 2026</t>
  </si>
  <si>
    <t>6 Mart 2026</t>
  </si>
  <si>
    <t>7 Mart 2026</t>
  </si>
  <si>
    <t>8 Mart 2026</t>
  </si>
  <si>
    <t>9 Mart 2026</t>
  </si>
  <si>
    <t>10 Mart 2026</t>
  </si>
  <si>
    <t>11 Mart 2026</t>
  </si>
  <si>
    <t>12 Mart 2026</t>
  </si>
  <si>
    <t>13 Mart 2026</t>
  </si>
  <si>
    <t>14 Mart 2026</t>
  </si>
  <si>
    <t>15 Mart 2026</t>
  </si>
  <si>
    <t>16 Mart 2026</t>
  </si>
  <si>
    <t>17 Mart 2026</t>
  </si>
  <si>
    <t>18 Mart 2026</t>
  </si>
  <si>
    <t>19 Mart 2026</t>
  </si>
  <si>
    <t>20 Mart 2026</t>
  </si>
  <si>
    <t>21 Mart 2026</t>
  </si>
  <si>
    <t>22 Mart 2026</t>
  </si>
  <si>
    <t>23 Mart 2026</t>
  </si>
  <si>
    <t>24 Mart 2026</t>
  </si>
  <si>
    <t>25 Mart 2026</t>
  </si>
  <si>
    <t>26 Mart 2026</t>
  </si>
  <si>
    <t>27 Mart 2026</t>
  </si>
  <si>
    <t>28 Mart 2026</t>
  </si>
  <si>
    <t>29 Mart 2026</t>
  </si>
  <si>
    <t>30 Mart 2026</t>
  </si>
  <si>
    <t>31 Mart 2026</t>
  </si>
  <si>
    <t>1 Nisan 2026</t>
  </si>
  <si>
    <t>2 Nisan 2026</t>
  </si>
  <si>
    <t>3 Nisan 2026</t>
  </si>
  <si>
    <t>4 Nisan 2026</t>
  </si>
  <si>
    <t>5 Nisan 2026</t>
  </si>
  <si>
    <t>6 Nisan 2026</t>
  </si>
  <si>
    <t>7 Nisan 2026</t>
  </si>
  <si>
    <t>8 Nisan 2026</t>
  </si>
  <si>
    <t>9 Nisan 2026</t>
  </si>
  <si>
    <t>10 Nisan 2026</t>
  </si>
  <si>
    <t>11 Nisan 2026</t>
  </si>
  <si>
    <t>12 Nisan 2026</t>
  </si>
  <si>
    <t>13 Nisan 2026</t>
  </si>
  <si>
    <t>14 Nisan 2026</t>
  </si>
  <si>
    <t>15 Nisan 2026</t>
  </si>
  <si>
    <t>16 Nisan 2026</t>
  </si>
  <si>
    <t>17 Nisan 2026</t>
  </si>
  <si>
    <t>18 Nisan 2026</t>
  </si>
  <si>
    <t>19 Nisan 2026</t>
  </si>
  <si>
    <t>20 Nisan 2026</t>
  </si>
  <si>
    <t>21 Nisan 2026</t>
  </si>
  <si>
    <t>22 Nisan 2026</t>
  </si>
  <si>
    <t>23 Nisan 2026</t>
  </si>
  <si>
    <t>24 Nisan 2026</t>
  </si>
  <si>
    <t>25 Nisan 2026</t>
  </si>
  <si>
    <t>26 Nisan 2026</t>
  </si>
  <si>
    <t>27 Nisan 2026</t>
  </si>
  <si>
    <t>28 Nisan 2026</t>
  </si>
  <si>
    <t>29 Nisan 2026</t>
  </si>
  <si>
    <t>30 Nisan 2026</t>
  </si>
  <si>
    <t>1 Mayıs 2026</t>
  </si>
  <si>
    <t>2 Mayıs 2026</t>
  </si>
  <si>
    <t>3 Mayıs 2026</t>
  </si>
  <si>
    <t>4 Mayıs 2026</t>
  </si>
  <si>
    <t>5 Mayıs 2026</t>
  </si>
  <si>
    <t>6 Mayıs 2026</t>
  </si>
  <si>
    <t>7 Mayıs 2026</t>
  </si>
  <si>
    <t>8 Mayıs 2026</t>
  </si>
  <si>
    <t>9 Mayıs 2026</t>
  </si>
  <si>
    <t>10 Mayıs 2026</t>
  </si>
  <si>
    <t>11 Mayıs 2026</t>
  </si>
  <si>
    <t>12 Mayıs 2026</t>
  </si>
  <si>
    <t>13 Mayıs 2026</t>
  </si>
  <si>
    <t>14 Mayıs 2026</t>
  </si>
  <si>
    <t>15 Mayıs 2026</t>
  </si>
  <si>
    <t>16 Mayıs 2026</t>
  </si>
  <si>
    <t>17 Mayıs 2026</t>
  </si>
  <si>
    <t>18 Mayıs 2026</t>
  </si>
  <si>
    <t>19 Mayıs 2026</t>
  </si>
  <si>
    <t>20 Mayıs 2026</t>
  </si>
  <si>
    <t>21 Mayıs 2026</t>
  </si>
  <si>
    <t>22 Mayıs 2026</t>
  </si>
  <si>
    <t>23 Mayıs 2026</t>
  </si>
  <si>
    <t>24 Mayıs 2026</t>
  </si>
  <si>
    <t>25 Mayıs 2026</t>
  </si>
  <si>
    <t>26 Mayıs 2026</t>
  </si>
  <si>
    <t>27 Mayıs 2026</t>
  </si>
  <si>
    <t>28 Mayıs 2026</t>
  </si>
  <si>
    <t>29 Mayıs 2026</t>
  </si>
  <si>
    <t>30 Mayıs 2026</t>
  </si>
  <si>
    <t>31 Mayıs 2026</t>
  </si>
  <si>
    <t>1 Haziran 2026</t>
  </si>
  <si>
    <t>2 Haziran 2026</t>
  </si>
  <si>
    <t>3 Haziran 2026</t>
  </si>
  <si>
    <t>4 Haziran 2026</t>
  </si>
  <si>
    <t>5 Haziran 2026</t>
  </si>
  <si>
    <t>6 Haziran 2026</t>
  </si>
  <si>
    <t>7 Haziran 2026</t>
  </si>
  <si>
    <t>8 Haziran 2026</t>
  </si>
  <si>
    <t>9 Haziran 2026</t>
  </si>
  <si>
    <t>10 Haziran 2026</t>
  </si>
  <si>
    <t>11 Haziran 2026</t>
  </si>
  <si>
    <t>12 Haziran 2026</t>
  </si>
  <si>
    <t>13 Haziran 2026</t>
  </si>
  <si>
    <t>14 Haziran 2026</t>
  </si>
  <si>
    <t>15 Haziran 2026</t>
  </si>
  <si>
    <t>16 Haziran 2026</t>
  </si>
  <si>
    <t>17 Haziran 2026</t>
  </si>
  <si>
    <t>18 Haziran 2026</t>
  </si>
  <si>
    <t>19 Haziran 2026</t>
  </si>
  <si>
    <t>20 Haziran 2026</t>
  </si>
  <si>
    <t>21 Haziran 2026</t>
  </si>
  <si>
    <t>22 Haziran 2026</t>
  </si>
  <si>
    <t>23 Haziran 2026</t>
  </si>
  <si>
    <t>24 Haziran 2026</t>
  </si>
  <si>
    <t>25 Haziran 2026</t>
  </si>
  <si>
    <t>26 Haziran 2026</t>
  </si>
  <si>
    <t>27 Haziran 2026</t>
  </si>
  <si>
    <t>28 Haziran 2026</t>
  </si>
  <si>
    <t>29 Haziran 2026</t>
  </si>
  <si>
    <t>30 Haziran 2026</t>
  </si>
  <si>
    <t>1 Temmuz 2026</t>
  </si>
  <si>
    <t>2 Temmuz 2026</t>
  </si>
  <si>
    <t>3 Temmuz 2026</t>
  </si>
  <si>
    <t>4 Temmuz 2026</t>
  </si>
  <si>
    <t>5 Temmuz 2026</t>
  </si>
  <si>
    <t>6 Temmuz 2026</t>
  </si>
  <si>
    <t>7 Temmuz 2026</t>
  </si>
  <si>
    <t>8 Temmuz 2026</t>
  </si>
  <si>
    <t>9 Temmuz 2026</t>
  </si>
  <si>
    <t>10 Temmuz 2026</t>
  </si>
  <si>
    <t>11 Temmuz 2026</t>
  </si>
  <si>
    <t>12 Temmuz 2026</t>
  </si>
  <si>
    <t>13 Temmuz 2026</t>
  </si>
  <si>
    <t>14 Temmuz 2026</t>
  </si>
  <si>
    <t>15 Temmuz 2026</t>
  </si>
  <si>
    <t>16 Temmuz 2026</t>
  </si>
  <si>
    <t>17 Temmuz 2026</t>
  </si>
  <si>
    <t>18 Temmuz 2026</t>
  </si>
  <si>
    <t>19 Temmuz 2026</t>
  </si>
  <si>
    <t>20 Temmuz 2026</t>
  </si>
  <si>
    <t>21 Temmuz 2026</t>
  </si>
  <si>
    <t>22 Temmuz 2026</t>
  </si>
  <si>
    <t>23 Temmuz 2026</t>
  </si>
  <si>
    <t>24 Temmuz 2026</t>
  </si>
  <si>
    <t>25 Temmuz 2026</t>
  </si>
  <si>
    <t>26 Temmuz 2026</t>
  </si>
  <si>
    <t>27 Temmuz 2026</t>
  </si>
  <si>
    <t>28 Temmuz 2026</t>
  </si>
  <si>
    <t>29 Temmuz 2026</t>
  </si>
  <si>
    <t>30 Temmuz 2026</t>
  </si>
  <si>
    <t>31 Temmuz 2026</t>
  </si>
  <si>
    <t>1 Ağustos 2026</t>
  </si>
  <si>
    <t>2 Ağustos 2026</t>
  </si>
  <si>
    <t>3 Ağustos 2026</t>
  </si>
  <si>
    <t>4 Ağustos 2026</t>
  </si>
  <si>
    <t>5 Ağustos 2026</t>
  </si>
  <si>
    <t>6 Ağustos 2026</t>
  </si>
  <si>
    <t>7 Ağustos 2026</t>
  </si>
  <si>
    <t>8 Ağustos 2026</t>
  </si>
  <si>
    <t>9 Ağustos 2026</t>
  </si>
  <si>
    <t>Raw Change</t>
  </si>
  <si>
    <t>5.389,18</t>
  </si>
  <si>
    <t>5.434,09</t>
  </si>
  <si>
    <t>5.432,26</t>
  </si>
  <si>
    <t>5.583,18</t>
  </si>
  <si>
    <t>5.583,40</t>
  </si>
  <si>
    <t>5.606,29</t>
  </si>
  <si>
    <t>5.606,32</t>
  </si>
  <si>
    <t>5.698,19</t>
  </si>
  <si>
    <t>5.697,11</t>
  </si>
  <si>
    <t>5.656,47</t>
  </si>
  <si>
    <t>5.656,28</t>
  </si>
  <si>
    <t>5.551,47</t>
  </si>
  <si>
    <t>5.550,31</t>
  </si>
  <si>
    <t>5.496,24</t>
  </si>
  <si>
    <t>5.497,21</t>
  </si>
  <si>
    <t>5.538,52</t>
  </si>
  <si>
    <t>5.538,88</t>
  </si>
  <si>
    <t>5.550,69</t>
  </si>
  <si>
    <t>5.551,01</t>
  </si>
  <si>
    <t>5.553,67</t>
  </si>
  <si>
    <t>5.553,79</t>
  </si>
  <si>
    <t>5.552,10</t>
  </si>
  <si>
    <t>5.552,52</t>
  </si>
  <si>
    <t>5.636,99</t>
  </si>
  <si>
    <t>5.636,27</t>
  </si>
  <si>
    <t>5.635,23</t>
  </si>
  <si>
    <t>5.635,63</t>
  </si>
  <si>
    <t>5.682,50</t>
  </si>
  <si>
    <t>5.682,55</t>
  </si>
  <si>
    <t>5.675,48</t>
  </si>
  <si>
    <t>5.763,55</t>
  </si>
  <si>
    <t>5.764,63</t>
  </si>
  <si>
    <t>5.781,31</t>
  </si>
  <si>
    <t>5.781,25</t>
  </si>
  <si>
    <t>5.745,87</t>
  </si>
  <si>
    <t>5.745,21</t>
  </si>
  <si>
    <t>5.740,46</t>
  </si>
  <si>
    <t>5.740,34</t>
  </si>
  <si>
    <t>5.753,02</t>
  </si>
  <si>
    <t>5.746,23</t>
  </si>
  <si>
    <t>5.742,32</t>
  </si>
  <si>
    <t>5.736,97</t>
  </si>
  <si>
    <t>5.737,24</t>
  </si>
  <si>
    <t>5.768,24</t>
  </si>
  <si>
    <t>5.767,61</t>
  </si>
  <si>
    <t>5.793,26</t>
  </si>
  <si>
    <t>5.793,23</t>
  </si>
  <si>
    <t>5.856,86</t>
  </si>
  <si>
    <t>5.856,87</t>
  </si>
  <si>
    <t>5.902,25</t>
  </si>
  <si>
    <t>5.902,95</t>
  </si>
  <si>
    <t>5.909,27</t>
  </si>
  <si>
    <t>5.909,60</t>
  </si>
  <si>
    <t>5.909,09</t>
  </si>
  <si>
    <t>5.963,43</t>
  </si>
  <si>
    <t>5.963,41</t>
  </si>
  <si>
    <t>5.955,57</t>
  </si>
  <si>
    <t>5.954,46</t>
  </si>
  <si>
    <t>5.972,23</t>
  </si>
  <si>
    <t>5.971,40</t>
  </si>
  <si>
    <t>6.110,33</t>
  </si>
  <si>
    <t>6.192,84</t>
  </si>
  <si>
    <t>6.192,72</t>
  </si>
  <si>
    <t>6.170,59</t>
  </si>
  <si>
    <t>6.171,22</t>
  </si>
  <si>
    <t>6.170,88</t>
  </si>
  <si>
    <t>6.250,52</t>
  </si>
  <si>
    <t>6.249,34</t>
  </si>
  <si>
    <t>5.982,56</t>
  </si>
  <si>
    <t>5.982,95</t>
  </si>
  <si>
    <t>5.992,28</t>
  </si>
  <si>
    <t>5.993,40</t>
  </si>
  <si>
    <t>5.953,31</t>
  </si>
  <si>
    <t>5.953,18</t>
  </si>
  <si>
    <t>5.966,21</t>
  </si>
  <si>
    <t>5.991,88</t>
  </si>
  <si>
    <t>5.993,00</t>
  </si>
  <si>
    <t>6.147,49</t>
  </si>
  <si>
    <t>6.147,86</t>
  </si>
  <si>
    <t>6.217,38</t>
  </si>
  <si>
    <t>6.217,13</t>
  </si>
  <si>
    <t>6.159,22</t>
  </si>
  <si>
    <t>6.159,09</t>
  </si>
  <si>
    <t>6.194,83</t>
  </si>
  <si>
    <t>6.251,35</t>
  </si>
  <si>
    <t>6.251,43</t>
  </si>
  <si>
    <t>6.367,50</t>
  </si>
  <si>
    <t>6.367,69</t>
  </si>
  <si>
    <t>6.363,38</t>
  </si>
  <si>
    <t>6.363,54</t>
  </si>
  <si>
    <t>6.430,96</t>
  </si>
  <si>
    <t>6.431,25</t>
  </si>
  <si>
    <t>6.394,96</t>
  </si>
  <si>
    <t>6.394,94</t>
  </si>
  <si>
    <t>6.375,38</t>
  </si>
  <si>
    <t>6.385,36</t>
  </si>
  <si>
    <t>6.496,42</t>
  </si>
  <si>
    <t>6.496,39</t>
  </si>
  <si>
    <t>6.617,30</t>
  </si>
  <si>
    <t>6.719,15</t>
  </si>
  <si>
    <t>6.716,26</t>
  </si>
  <si>
    <t>6.837,89</t>
  </si>
  <si>
    <t>6.945,51</t>
  </si>
  <si>
    <t>6.946,56</t>
  </si>
  <si>
    <t>7.046,50</t>
  </si>
  <si>
    <t>7.046,73</t>
  </si>
  <si>
    <t>7.227,40</t>
  </si>
  <si>
    <t>7.224,52</t>
  </si>
  <si>
    <t>7.502,59</t>
  </si>
  <si>
    <t>7.727,13</t>
  </si>
  <si>
    <t>7.530,65</t>
  </si>
  <si>
    <t>7.530,58</t>
  </si>
  <si>
    <t>6.788,96</t>
  </si>
  <si>
    <t>6.804,04</t>
  </si>
  <si>
    <t>6.505,95</t>
  </si>
  <si>
    <t>6.510,77</t>
  </si>
  <si>
    <t>6.908,30</t>
  </si>
  <si>
    <t>6.912,61</t>
  </si>
  <si>
    <t>6.908,64</t>
  </si>
  <si>
    <t>6.909,95</t>
  </si>
  <si>
    <t>6.732,52</t>
  </si>
  <si>
    <t>6.735,40</t>
  </si>
  <si>
    <t>6.943,53</t>
  </si>
  <si>
    <t>6.952,07</t>
  </si>
  <si>
    <t>7.119,10</t>
  </si>
  <si>
    <t>7.118,31</t>
  </si>
  <si>
    <t>7.057,71</t>
  </si>
  <si>
    <t>7.056,60</t>
  </si>
  <si>
    <t>7.138,95</t>
  </si>
  <si>
    <t>7.136,68</t>
  </si>
  <si>
    <t>6.899,16</t>
  </si>
  <si>
    <t>6.898,15</t>
  </si>
  <si>
    <t>7.075,98</t>
  </si>
  <si>
    <t>7.072,24</t>
  </si>
  <si>
    <t>7.015,72</t>
  </si>
  <si>
    <t>7.015,69</t>
  </si>
  <si>
    <t>6.858,06</t>
  </si>
  <si>
    <t>6.858,12</t>
  </si>
  <si>
    <t>7.012,47</t>
  </si>
  <si>
    <t>7.013,99</t>
  </si>
  <si>
    <t>7.037,44</t>
  </si>
  <si>
    <t>7.037,71</t>
  </si>
  <si>
    <t>7.183,04</t>
  </si>
  <si>
    <t>7.187,69</t>
  </si>
  <si>
    <t>7.380,25</t>
  </si>
  <si>
    <t>7.380,19</t>
  </si>
  <si>
    <t>7.280,17</t>
  </si>
  <si>
    <t>7.279,55</t>
  </si>
  <si>
    <t>7.266,74</t>
  </si>
  <si>
    <t>7.267,19</t>
  </si>
  <si>
    <t>7.332,73</t>
  </si>
  <si>
    <t>7.333,50</t>
  </si>
  <si>
    <t>7.435,91</t>
  </si>
  <si>
    <t>7.433,63</t>
  </si>
  <si>
    <t>7.535,65</t>
  </si>
  <si>
    <t>7.537,18</t>
  </si>
  <si>
    <t>7.208,20</t>
  </si>
  <si>
    <t>7.203,33</t>
  </si>
  <si>
    <t>7.258,69</t>
  </si>
  <si>
    <t>7.257,78</t>
  </si>
  <si>
    <t>7.181,99</t>
  </si>
  <si>
    <t>7.301,96</t>
  </si>
  <si>
    <t>7.314,94</t>
  </si>
  <si>
    <t>7.276,39</t>
  </si>
  <si>
    <t>7.276,42</t>
  </si>
  <si>
    <t>7.355,56</t>
  </si>
  <si>
    <t>7.353,76</t>
  </si>
  <si>
    <t>7.336,37</t>
  </si>
  <si>
    <t>7.337,18</t>
  </si>
  <si>
    <t>7.206,33</t>
  </si>
  <si>
    <t>7.206,36</t>
  </si>
  <si>
    <t>7.136,03</t>
  </si>
  <si>
    <t>7.138,16</t>
  </si>
  <si>
    <t>7.109,17</t>
  </si>
  <si>
    <t>7.109,48</t>
  </si>
  <si>
    <t>7.113,06</t>
  </si>
  <si>
    <t>7.114,38</t>
  </si>
  <si>
    <t>6.849,31</t>
  </si>
  <si>
    <t>6.853,31</t>
  </si>
  <si>
    <t>6.621,92</t>
  </si>
  <si>
    <t>6.623,20</t>
  </si>
  <si>
    <t>6.406,80</t>
  </si>
  <si>
    <t>6.406,40</t>
  </si>
  <si>
    <t>6.277,88</t>
  </si>
  <si>
    <t>6.279,20</t>
  </si>
  <si>
    <t>6.377,14</t>
  </si>
  <si>
    <t>6.376,09</t>
  </si>
  <si>
    <t>6.425,38</t>
  </si>
  <si>
    <t>6.423,57</t>
  </si>
  <si>
    <t>6.243,80</t>
  </si>
  <si>
    <t>6.247,36</t>
  </si>
  <si>
    <t>6.418,21</t>
  </si>
  <si>
    <t>6.419,88</t>
  </si>
  <si>
    <t>6.446,16</t>
  </si>
  <si>
    <t>6.445,45</t>
  </si>
  <si>
    <t>6.673,09</t>
  </si>
  <si>
    <t>6.673,46</t>
  </si>
  <si>
    <t>6.803,48</t>
  </si>
  <si>
    <t>6.805,31</t>
  </si>
  <si>
    <t>6.686,50</t>
  </si>
  <si>
    <t>6.695,46</t>
  </si>
  <si>
    <t>6.704,43</t>
  </si>
  <si>
    <t>6.704,26</t>
  </si>
  <si>
    <t>6.661,62</t>
  </si>
  <si>
    <t>6.663,30</t>
  </si>
  <si>
    <t>6.750,90</t>
  </si>
  <si>
    <t>6.749,26</t>
  </si>
  <si>
    <t>6.755,24</t>
  </si>
  <si>
    <t>6.757,94</t>
  </si>
  <si>
    <t>6.830,60</t>
  </si>
  <si>
    <t>6.812,73</t>
  </si>
  <si>
    <t>6.818,64</t>
  </si>
  <si>
    <t>6.812,74</t>
  </si>
  <si>
    <t>6.814,81</t>
  </si>
  <si>
    <t>6.961,33</t>
  </si>
  <si>
    <t>6.962,93</t>
  </si>
  <si>
    <t>6.892,49</t>
  </si>
  <si>
    <t>6.893,09</t>
  </si>
  <si>
    <t>6.891,84</t>
  </si>
  <si>
    <t>6.897,41</t>
  </si>
  <si>
    <t>6.966,26</t>
  </si>
  <si>
    <t>6.965,26</t>
  </si>
  <si>
    <t>6.953,68</t>
  </si>
  <si>
    <t>6.953,91</t>
  </si>
  <si>
    <t>6.810,98</t>
  </si>
  <si>
    <t>6.811,31</t>
  </si>
  <si>
    <t>6.845,46</t>
  </si>
  <si>
    <t>6.846,11</t>
  </si>
  <si>
    <t>6.779,37</t>
  </si>
  <si>
    <t>6.782,76</t>
  </si>
  <si>
    <t>6.815,04</t>
  </si>
  <si>
    <t>6.816,06</t>
  </si>
  <si>
    <t>6.780,22</t>
  </si>
  <si>
    <t>6.656,37</t>
  </si>
  <si>
    <t>6.656,48</t>
  </si>
  <si>
    <t>6.591,35</t>
  </si>
  <si>
    <t>6.592,39</t>
  </si>
  <si>
    <t>6.715,58</t>
  </si>
  <si>
    <t>6.715,75</t>
  </si>
  <si>
    <t>6.703,28</t>
  </si>
  <si>
    <t>6.702,25</t>
  </si>
  <si>
    <t>6.571,29</t>
  </si>
  <si>
    <t>6.569,53</t>
  </si>
  <si>
    <t>6.624,31</t>
  </si>
  <si>
    <t>6.625,30</t>
  </si>
  <si>
    <t>6.819,81</t>
  </si>
  <si>
    <t>6.819,96</t>
  </si>
  <si>
    <t>6.816,09</t>
  </si>
  <si>
    <t>6.817,36</t>
  </si>
  <si>
    <t>6.875,62</t>
  </si>
  <si>
    <t>6.872,17</t>
  </si>
  <si>
    <t>6.906,30</t>
  </si>
  <si>
    <t>6.906,26</t>
  </si>
  <si>
    <t>6.880,92</t>
  </si>
  <si>
    <t>6.881,30</t>
  </si>
  <si>
    <t>6.847,66</t>
  </si>
  <si>
    <t>6.847,40</t>
  </si>
  <si>
    <t>6.793,88</t>
  </si>
  <si>
    <t>6.794,19</t>
  </si>
  <si>
    <t>6.644,89</t>
  </si>
  <si>
    <t>6.645,89</t>
  </si>
  <si>
    <t>6.691,79</t>
  </si>
  <si>
    <t>6.691,63</t>
  </si>
  <si>
    <t>6.568,74</t>
  </si>
  <si>
    <t>6.568,92</t>
  </si>
  <si>
    <t>6.660,33</t>
  </si>
  <si>
    <t>6.660,57</t>
  </si>
  <si>
    <t>6.659,23</t>
  </si>
  <si>
    <t>6.659,00</t>
  </si>
  <si>
    <t>6.630,84</t>
  </si>
  <si>
    <t>6.627,12</t>
  </si>
  <si>
    <t>6.717,48</t>
  </si>
  <si>
    <t>6.717,25</t>
  </si>
  <si>
    <t>6.649,80</t>
  </si>
  <si>
    <t>6.651,01</t>
  </si>
  <si>
    <t>6.577,76</t>
  </si>
  <si>
    <t>6.576,94</t>
  </si>
  <si>
    <t>6.631,44</t>
  </si>
  <si>
    <t>6.633,36</t>
  </si>
  <si>
    <t>6.687,67</t>
  </si>
  <si>
    <t>6.692,37</t>
  </si>
  <si>
    <t>6.619,34</t>
  </si>
  <si>
    <t>6.619,12</t>
  </si>
  <si>
    <t>6.630,89</t>
  </si>
  <si>
    <t>6.631,37</t>
  </si>
  <si>
    <t>6.554,05</t>
  </si>
  <si>
    <t>6.553,84</t>
  </si>
  <si>
    <t>6.623,02</t>
  </si>
  <si>
    <t>6.622,78</t>
  </si>
  <si>
    <t>6.409,16</t>
  </si>
  <si>
    <t>6.411,63</t>
  </si>
  <si>
    <t>6.421,59</t>
  </si>
  <si>
    <t>6.419,09</t>
  </si>
  <si>
    <t>6.319,02</t>
  </si>
  <si>
    <t>6.318,38</t>
  </si>
  <si>
    <t>6.038,95</t>
  </si>
  <si>
    <t>6.038,89</t>
  </si>
  <si>
    <t>6.257,78</t>
  </si>
  <si>
    <t>6.257,76</t>
  </si>
  <si>
    <t>6.277,08</t>
  </si>
  <si>
    <t>6.276,34</t>
  </si>
  <si>
    <t>6.414,20</t>
  </si>
  <si>
    <t>6.413,65</t>
  </si>
  <si>
    <t>6.446,83</t>
  </si>
  <si>
    <t>6.447,88</t>
  </si>
  <si>
    <t>6.345,04</t>
  </si>
  <si>
    <t>6.345,79</t>
  </si>
  <si>
    <t>6.287,11</t>
  </si>
  <si>
    <t>6.286,24</t>
  </si>
  <si>
    <t>6.205,50</t>
  </si>
  <si>
    <t>6.195,76</t>
  </si>
  <si>
    <t>6.262,23</t>
  </si>
  <si>
    <t>6.262,46</t>
  </si>
  <si>
    <t>6.143,05</t>
  </si>
  <si>
    <t>6.143,26</t>
  </si>
  <si>
    <t>5.980,23</t>
  </si>
  <si>
    <t>5.979,11</t>
  </si>
  <si>
    <t>6.029,24</t>
  </si>
  <si>
    <t>6.029,98</t>
  </si>
  <si>
    <t>6.130,13</t>
  </si>
  <si>
    <t>6.129,47</t>
  </si>
  <si>
    <t>6.023,74</t>
  </si>
  <si>
    <t>6.023,63</t>
  </si>
  <si>
    <t>6.011,41</t>
  </si>
  <si>
    <t>6.011,91</t>
  </si>
  <si>
    <t>6.048,16</t>
  </si>
  <si>
    <t>6.048,27</t>
  </si>
  <si>
    <t>6.191,65</t>
  </si>
  <si>
    <t>6.192,40</t>
  </si>
  <si>
    <t>6.277,78</t>
  </si>
  <si>
    <t>6.276,65</t>
  </si>
  <si>
    <t>6.269,71</t>
  </si>
  <si>
    <t>6.270,13</t>
  </si>
  <si>
    <t>6.184,52</t>
  </si>
  <si>
    <t>6.183,66</t>
  </si>
  <si>
    <t>6.136,01</t>
  </si>
  <si>
    <t>6.139,09</t>
  </si>
  <si>
    <t>6.218,33</t>
  </si>
  <si>
    <t>6.219,93</t>
  </si>
  <si>
    <t>6.225,55</t>
  </si>
  <si>
    <t>6.207,37</t>
  </si>
  <si>
    <t>6.046,58</t>
  </si>
  <si>
    <t>6.048,18</t>
  </si>
  <si>
    <t>6.127,33</t>
  </si>
  <si>
    <t>6.127,07</t>
  </si>
  <si>
    <t>6.141,33</t>
  </si>
  <si>
    <t>6.141,38</t>
  </si>
  <si>
    <t>6.021,61</t>
  </si>
  <si>
    <t>6.021,90</t>
  </si>
  <si>
    <t>6.093,03</t>
  </si>
  <si>
    <t>6.093,15</t>
  </si>
  <si>
    <t>6.079,02</t>
  </si>
  <si>
    <t>6.078,64</t>
  </si>
  <si>
    <t>6.186,44</t>
  </si>
  <si>
    <t>6.186,70</t>
  </si>
  <si>
    <t>6.270,48</t>
  </si>
  <si>
    <t>6.154,79</t>
  </si>
  <si>
    <t>6.154,73</t>
  </si>
  <si>
    <t>6.168,06</t>
  </si>
  <si>
    <t>6.168,00</t>
  </si>
  <si>
    <t>6.205,59</t>
  </si>
  <si>
    <t>6.206,08</t>
  </si>
  <si>
    <t>6.137,05</t>
  </si>
  <si>
    <t>6.137,09</t>
  </si>
  <si>
    <t>6.198,02</t>
  </si>
  <si>
    <t>6.197,84</t>
  </si>
  <si>
    <t>6.257,53</t>
  </si>
  <si>
    <t>6.259,43</t>
  </si>
  <si>
    <t>6.175,37</t>
  </si>
  <si>
    <t>6.174,22</t>
  </si>
  <si>
    <t>6.197,07</t>
  </si>
  <si>
    <t>6.197,14</t>
  </si>
  <si>
    <t>6.231,26</t>
  </si>
  <si>
    <t>6.231,05</t>
  </si>
  <si>
    <t>6.496,09</t>
  </si>
  <si>
    <t>6.496,33</t>
  </si>
  <si>
    <t>6.492,58</t>
  </si>
  <si>
    <t>6.491,97</t>
  </si>
  <si>
    <t>6.660,82</t>
  </si>
  <si>
    <t>65,03</t>
  </si>
  <si>
    <t>65,72</t>
  </si>
  <si>
    <t>65,69</t>
  </si>
  <si>
    <t>68,58</t>
  </si>
  <si>
    <t>68,60</t>
  </si>
  <si>
    <t>69,55</t>
  </si>
  <si>
    <t>69,54</t>
  </si>
  <si>
    <t>72,37</t>
  </si>
  <si>
    <t>72,38</t>
  </si>
  <si>
    <t>71,08</t>
  </si>
  <si>
    <t>68,85</t>
  </si>
  <si>
    <t>68,81</t>
  </si>
  <si>
    <t>68,24</t>
  </si>
  <si>
    <t>69,19</t>
  </si>
  <si>
    <t>69,18</t>
  </si>
  <si>
    <t>69,77</t>
  </si>
  <si>
    <t>68,80</t>
  </si>
  <si>
    <t>68,18</t>
  </si>
  <si>
    <t>70,12</t>
  </si>
  <si>
    <t>70,11</t>
  </si>
  <si>
    <t>70,21</t>
  </si>
  <si>
    <t>70,17</t>
  </si>
  <si>
    <t>72,82</t>
  </si>
  <si>
    <t>72,92</t>
  </si>
  <si>
    <t>77,12</t>
  </si>
  <si>
    <t>77,15</t>
  </si>
  <si>
    <t>79,03</t>
  </si>
  <si>
    <t>79,04</t>
  </si>
  <si>
    <t>79,98</t>
  </si>
  <si>
    <t>79,95</t>
  </si>
  <si>
    <t>79,85</t>
  </si>
  <si>
    <t>79,84</t>
  </si>
  <si>
    <t>78,07</t>
  </si>
  <si>
    <t>79,81</t>
  </si>
  <si>
    <t>79,57</t>
  </si>
  <si>
    <t>83,29</t>
  </si>
  <si>
    <t>83,27</t>
  </si>
  <si>
    <t>84,63</t>
  </si>
  <si>
    <t>84,66</t>
  </si>
  <si>
    <t>87,09</t>
  </si>
  <si>
    <t>87,07</t>
  </si>
  <si>
    <t>84,94</t>
  </si>
  <si>
    <t>85,03</t>
  </si>
  <si>
    <t>87,97</t>
  </si>
  <si>
    <t>87,96</t>
  </si>
  <si>
    <t>87,44</t>
  </si>
  <si>
    <t>87,42</t>
  </si>
  <si>
    <t>91,32</t>
  </si>
  <si>
    <t>91,28</t>
  </si>
  <si>
    <t>89,89</t>
  </si>
  <si>
    <t>92,51</t>
  </si>
  <si>
    <t>92,49</t>
  </si>
  <si>
    <t>94,85</t>
  </si>
  <si>
    <t>94,86</t>
  </si>
  <si>
    <t>98,51</t>
  </si>
  <si>
    <t>98,50</t>
  </si>
  <si>
    <t>98,97</t>
  </si>
  <si>
    <t>98,98</t>
  </si>
  <si>
    <t>99,08</t>
  </si>
  <si>
    <t>108,22</t>
  </si>
  <si>
    <t>108,20</t>
  </si>
  <si>
    <t>100,53</t>
  </si>
  <si>
    <t>100,57</t>
  </si>
  <si>
    <t>105,03</t>
  </si>
  <si>
    <t>105,04</t>
  </si>
  <si>
    <t>98,11</t>
  </si>
  <si>
    <t>98,13</t>
  </si>
  <si>
    <t>98,94</t>
  </si>
  <si>
    <t>100,39</t>
  </si>
  <si>
    <t>100,60</t>
  </si>
  <si>
    <t>105,40</t>
  </si>
  <si>
    <t>105,42</t>
  </si>
  <si>
    <t>112,51</t>
  </si>
  <si>
    <t>112,48</t>
  </si>
  <si>
    <t>108,36</t>
  </si>
  <si>
    <t>108,39</t>
  </si>
  <si>
    <t>106,45</t>
  </si>
  <si>
    <t>106,43</t>
  </si>
  <si>
    <t>110,69</t>
  </si>
  <si>
    <t>110,70</t>
  </si>
  <si>
    <t>118,08</t>
  </si>
  <si>
    <t>120,34</t>
  </si>
  <si>
    <t>120,30</t>
  </si>
  <si>
    <t>129,52</t>
  </si>
  <si>
    <t>127,71</t>
  </si>
  <si>
    <t>124,33</t>
  </si>
  <si>
    <t>124,90</t>
  </si>
  <si>
    <t>131,24</t>
  </si>
  <si>
    <t>131,21</t>
  </si>
  <si>
    <t>131,11</t>
  </si>
  <si>
    <t>131,12</t>
  </si>
  <si>
    <t>128,98</t>
  </si>
  <si>
    <t>128,91</t>
  </si>
  <si>
    <t>133,71</t>
  </si>
  <si>
    <t>133,76</t>
  </si>
  <si>
    <t>142,97</t>
  </si>
  <si>
    <t>142,99</t>
  </si>
  <si>
    <t>151,33</t>
  </si>
  <si>
    <t>151,32</t>
  </si>
  <si>
    <t>156,58</t>
  </si>
  <si>
    <t>156,46</t>
  </si>
  <si>
    <t>162,57</t>
  </si>
  <si>
    <t>162,59</t>
  </si>
  <si>
    <t>162,69</t>
  </si>
  <si>
    <t>116,50</t>
  </si>
  <si>
    <t>117,82</t>
  </si>
  <si>
    <t>111,88</t>
  </si>
  <si>
    <t>112,00</t>
  </si>
  <si>
    <t>118,80</t>
  </si>
  <si>
    <t>118,87</t>
  </si>
  <si>
    <t>122,37</t>
  </si>
  <si>
    <t>122,45</t>
  </si>
  <si>
    <t>103,03</t>
  </si>
  <si>
    <t>103,12</t>
  </si>
  <si>
    <t>108,67</t>
  </si>
  <si>
    <t>108,94</t>
  </si>
  <si>
    <t>117,62</t>
  </si>
  <si>
    <t>117,59</t>
  </si>
  <si>
    <t>113,73</t>
  </si>
  <si>
    <t>113,66</t>
  </si>
  <si>
    <t>118,64</t>
  </si>
  <si>
    <t>118,59</t>
  </si>
  <si>
    <t>105,06</t>
  </si>
  <si>
    <t>105,01</t>
  </si>
  <si>
    <t>108,35</t>
  </si>
  <si>
    <t>108,29</t>
  </si>
  <si>
    <t>107,70</t>
  </si>
  <si>
    <t>103,10</t>
  </si>
  <si>
    <t>108,89</t>
  </si>
  <si>
    <t>110,38</t>
  </si>
  <si>
    <t>119,18</t>
  </si>
  <si>
    <t>119,22</t>
  </si>
  <si>
    <t>125,36</t>
  </si>
  <si>
    <t>123,11</t>
  </si>
  <si>
    <t>123,09</t>
  </si>
  <si>
    <t>124,77</t>
  </si>
  <si>
    <t>124,67</t>
  </si>
  <si>
    <t>125,41</t>
  </si>
  <si>
    <t>125,40</t>
  </si>
  <si>
    <t>132,58</t>
  </si>
  <si>
    <t>132,54</t>
  </si>
  <si>
    <t>127,22</t>
  </si>
  <si>
    <t>116,75</t>
  </si>
  <si>
    <t>116,61</t>
  </si>
  <si>
    <t>117,58</t>
  </si>
  <si>
    <t>116,10</t>
  </si>
  <si>
    <t>116,08</t>
  </si>
  <si>
    <t>118,88</t>
  </si>
  <si>
    <t>119,31</t>
  </si>
  <si>
    <t>123,26</t>
  </si>
  <si>
    <t>123,27</t>
  </si>
  <si>
    <t>125,14</t>
  </si>
  <si>
    <t>125,15</t>
  </si>
  <si>
    <t>121,57</t>
  </si>
  <si>
    <t>121,59</t>
  </si>
  <si>
    <t>118,99</t>
  </si>
  <si>
    <t>114,59</t>
  </si>
  <si>
    <t>114,71</t>
  </si>
  <si>
    <t>114,72</t>
  </si>
  <si>
    <t>112,72</t>
  </si>
  <si>
    <t>112,74</t>
  </si>
  <si>
    <t>107,14</t>
  </si>
  <si>
    <t>107,18</t>
  </si>
  <si>
    <t>103,76</t>
  </si>
  <si>
    <t>96,60</t>
  </si>
  <si>
    <t>96,67</t>
  </si>
  <si>
    <t>98,54</t>
  </si>
  <si>
    <t>98,56</t>
  </si>
  <si>
    <t>101,61</t>
  </si>
  <si>
    <t>101,59</t>
  </si>
  <si>
    <t>101,62</t>
  </si>
  <si>
    <t>96,96</t>
  </si>
  <si>
    <t>97,11</t>
  </si>
  <si>
    <t>99,60</t>
  </si>
  <si>
    <t>99,62</t>
  </si>
  <si>
    <t>100,20</t>
  </si>
  <si>
    <t>107,41</t>
  </si>
  <si>
    <t>107,42</t>
  </si>
  <si>
    <t>104,43</t>
  </si>
  <si>
    <t>104,57</t>
  </si>
  <si>
    <t>104,72</t>
  </si>
  <si>
    <t>104,71</t>
  </si>
  <si>
    <t>104,32</t>
  </si>
  <si>
    <t>104,34</t>
  </si>
  <si>
    <t>106,08</t>
  </si>
  <si>
    <t>106,12</t>
  </si>
  <si>
    <t>107,99</t>
  </si>
  <si>
    <t>108,92</t>
  </si>
  <si>
    <t>109,02</t>
  </si>
  <si>
    <t>108,64</t>
  </si>
  <si>
    <t>114,43</t>
  </si>
  <si>
    <t>114,42</t>
  </si>
  <si>
    <t>113,63</t>
  </si>
  <si>
    <t>112,88</t>
  </si>
  <si>
    <t>112,96</t>
  </si>
  <si>
    <t>116,48</t>
  </si>
  <si>
    <t>115,06</t>
  </si>
  <si>
    <t>110,65</t>
  </si>
  <si>
    <t>110,67</t>
  </si>
  <si>
    <t>112,24</t>
  </si>
  <si>
    <t>112,27</t>
  </si>
  <si>
    <t>109,00</t>
  </si>
  <si>
    <t>109,06</t>
  </si>
  <si>
    <t>109,53</t>
  </si>
  <si>
    <t>109,54</t>
  </si>
  <si>
    <t>109,34</t>
  </si>
  <si>
    <t>109,37</t>
  </si>
  <si>
    <t>105,90</t>
  </si>
  <si>
    <t>105,89</t>
  </si>
  <si>
    <t>103,49</t>
  </si>
  <si>
    <t>103,51</t>
  </si>
  <si>
    <t>107,20</t>
  </si>
  <si>
    <t>109,52</t>
  </si>
  <si>
    <t>109,50</t>
  </si>
  <si>
    <t>105,71</t>
  </si>
  <si>
    <t>105,68</t>
  </si>
  <si>
    <t>105,94</t>
  </si>
  <si>
    <t>112,49</t>
  </si>
  <si>
    <t>114,10</t>
  </si>
  <si>
    <t>117,17</t>
  </si>
  <si>
    <t>117,11</t>
  </si>
  <si>
    <t>125,61</t>
  </si>
  <si>
    <t>126,37</t>
  </si>
  <si>
    <t>127,85</t>
  </si>
  <si>
    <t>127,84</t>
  </si>
  <si>
    <t>121,96</t>
  </si>
  <si>
    <t>121,97</t>
  </si>
  <si>
    <t>111,19</t>
  </si>
  <si>
    <t>111,21</t>
  </si>
  <si>
    <t>113,87</t>
  </si>
  <si>
    <t>108,03</t>
  </si>
  <si>
    <t>111,25</t>
  </si>
  <si>
    <t>111,26</t>
  </si>
  <si>
    <t>112,44</t>
  </si>
  <si>
    <t>111,06</t>
  </si>
  <si>
    <t>111,00</t>
  </si>
  <si>
    <t>114,65</t>
  </si>
  <si>
    <t>113,57</t>
  </si>
  <si>
    <t>113,59</t>
  </si>
  <si>
    <t>110,20</t>
  </si>
  <si>
    <t>110,18</t>
  </si>
  <si>
    <t>111,58</t>
  </si>
  <si>
    <t>111,62</t>
  </si>
  <si>
    <t>111,01</t>
  </si>
  <si>
    <t>111,02</t>
  </si>
  <si>
    <t>110,52</t>
  </si>
  <si>
    <t>110,51</t>
  </si>
  <si>
    <t>107,54</t>
  </si>
  <si>
    <t>107,55</t>
  </si>
  <si>
    <t>109,38</t>
  </si>
  <si>
    <t>100,37</t>
  </si>
  <si>
    <t>100,41</t>
  </si>
  <si>
    <t>101,11</t>
  </si>
  <si>
    <t>101,09</t>
  </si>
  <si>
    <t>96,91</t>
  </si>
  <si>
    <t>96,92</t>
  </si>
  <si>
    <t>94,10</t>
  </si>
  <si>
    <t>94,09</t>
  </si>
  <si>
    <t>100,10</t>
  </si>
  <si>
    <t>100,08</t>
  </si>
  <si>
    <t>101,24</t>
  </si>
  <si>
    <t>101,23</t>
  </si>
  <si>
    <t>104,19</t>
  </si>
  <si>
    <t>104,25</t>
  </si>
  <si>
    <t>104,27</t>
  </si>
  <si>
    <t>101,19</t>
  </si>
  <si>
    <t>98,17</t>
  </si>
  <si>
    <t>98,15</t>
  </si>
  <si>
    <t>96,80</t>
  </si>
  <si>
    <t>96,65</t>
  </si>
  <si>
    <t>97,28</t>
  </si>
  <si>
    <t>97,27</t>
  </si>
  <si>
    <t>92,05</t>
  </si>
  <si>
    <t>92,04</t>
  </si>
  <si>
    <t>85,87</t>
  </si>
  <si>
    <t>85,85</t>
  </si>
  <si>
    <t>86,67</t>
  </si>
  <si>
    <t>86,68</t>
  </si>
  <si>
    <t>88,74</t>
  </si>
  <si>
    <t>88,73</t>
  </si>
  <si>
    <t>87,48</t>
  </si>
  <si>
    <t>87,45</t>
  </si>
  <si>
    <t>87,89</t>
  </si>
  <si>
    <t>87,87</t>
  </si>
  <si>
    <t>88,72</t>
  </si>
  <si>
    <t>91,59</t>
  </si>
  <si>
    <t>91,58</t>
  </si>
  <si>
    <t>93,88</t>
  </si>
  <si>
    <t>93,86</t>
  </si>
  <si>
    <t>93,44</t>
  </si>
  <si>
    <t>93,45</t>
  </si>
  <si>
    <t>90,34</t>
  </si>
  <si>
    <t>90,33</t>
  </si>
  <si>
    <t>87,75</t>
  </si>
  <si>
    <t>87,76</t>
  </si>
  <si>
    <t>90,46</t>
  </si>
  <si>
    <t>90,48</t>
  </si>
  <si>
    <t>90,22</t>
  </si>
  <si>
    <t>87,15</t>
  </si>
  <si>
    <t>87,17</t>
  </si>
  <si>
    <t>88,82</t>
  </si>
  <si>
    <t>88,79</t>
  </si>
  <si>
    <t>87,43</t>
  </si>
  <si>
    <t>84,13</t>
  </si>
  <si>
    <t>84,14</t>
  </si>
  <si>
    <t>84,84</t>
  </si>
  <si>
    <t>85,56</t>
  </si>
  <si>
    <t>89,25</t>
  </si>
  <si>
    <t>90,70</t>
  </si>
  <si>
    <t>87,65</t>
  </si>
  <si>
    <t>88,60</t>
  </si>
  <si>
    <t>88,59</t>
  </si>
  <si>
    <t>88,95</t>
  </si>
  <si>
    <t>88,96</t>
  </si>
  <si>
    <t>87,06</t>
  </si>
  <si>
    <t>87,88</t>
  </si>
  <si>
    <t>87,86</t>
  </si>
  <si>
    <t>90,03</t>
  </si>
  <si>
    <t>90,05</t>
  </si>
  <si>
    <t>87,99</t>
  </si>
  <si>
    <t>88,97</t>
  </si>
  <si>
    <t>91,02</t>
  </si>
  <si>
    <t>94,94</t>
  </si>
  <si>
    <t>94,18</t>
  </si>
  <si>
    <t>94,20</t>
  </si>
  <si>
    <t>97,34</t>
  </si>
  <si>
    <t>50,33</t>
  </si>
  <si>
    <t>50,34</t>
  </si>
  <si>
    <t>50,35</t>
  </si>
  <si>
    <t>50,36</t>
  </si>
  <si>
    <t>0,01</t>
  </si>
  <si>
    <t>51,87</t>
  </si>
  <si>
    <t>0,02</t>
  </si>
  <si>
    <t>51,88</t>
  </si>
  <si>
    <t>65,36</t>
  </si>
  <si>
    <t>65,37</t>
  </si>
  <si>
    <t>65,38</t>
  </si>
  <si>
    <t>64,68</t>
  </si>
  <si>
    <t>64,69</t>
  </si>
  <si>
    <t>64,70</t>
  </si>
  <si>
    <t>Strong Uptrend</t>
  </si>
  <si>
    <t>Stable</t>
  </si>
  <si>
    <t>Medium Volatility</t>
  </si>
  <si>
    <t>Low Volatility</t>
  </si>
  <si>
    <t>Weekly</t>
  </si>
  <si>
    <t>Monthly</t>
  </si>
  <si>
    <t>3 Month</t>
  </si>
  <si>
    <t>6 Month</t>
  </si>
  <si>
    <t>1 Year</t>
  </si>
  <si>
    <t>47,7111</t>
  </si>
  <si>
    <t>6.660,55</t>
  </si>
  <si>
    <t>97,57</t>
  </si>
  <si>
    <t>Date Sold</t>
  </si>
  <si>
    <t>Selling Rate</t>
  </si>
  <si>
    <t>Total Sales</t>
  </si>
  <si>
    <t>Recovery (Silver)</t>
  </si>
  <si>
    <t>Recovery (USD)</t>
  </si>
  <si>
    <t>Recovery (Gold)</t>
  </si>
  <si>
    <t>6.513,01</t>
  </si>
  <si>
    <t>6.704,50</t>
  </si>
  <si>
    <t>AB 12345678 A</t>
  </si>
  <si>
    <t>Trial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</si>
</sst>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6" formatCode="&quot;$&quot;#,##0_);[Red]\(&quot;$&quot;#,##0\)"/>
    <numFmt numFmtId="44" formatCode="_(&quot;$&quot;* #,##0.00_);_(&quot;$&quot;* \(#,##0.00\);_(&quot;$&quot;* &quot;-&quot;??_);_(@_)"/>
    <numFmt numFmtId="164" formatCode="&quot;$&quot;#,##0.00"/>
    <numFmt numFmtId="165" formatCode="[$-F800]dddd\,\ mmmm\ dd\,\ yyyy"/>
    <numFmt numFmtId="166" formatCode="[$₺-41F]#,##0.00;[Red]\-[$₺-41F]#,##0.00"/>
    <numFmt numFmtId="167" formatCode="[$TRY]\ #,##0.00_);[Red]\([$TRY]\ #,##0.00\)"/>
    <numFmt numFmtId="168" formatCode="0.000000"/>
    <numFmt numFmtId="169" formatCode="[$TRY]\ #,##0.00"/>
    <numFmt numFmtId="170" formatCode="_([$BDT]\ * #,##0.00_);_([$BDT]\ * \(#,##0.00\);_([$BDT]\ * &quot;-&quot;??_);_(@_)"/>
  </numFmts>
  <fonts count="32">
    <font>
      <sz val="11"/>
      <color theme="1"/>
      <name val="Aptos Narrow"/>
      <family val="2"/>
      <scheme val="minor"/>
    </font>
    <font>
      <sz val="11"/>
      <color theme="1"/>
      <name val="Aptos Narrow"/>
      <family val="2"/>
      <scheme val="minor"/>
    </font>
    <font>
      <sz val="8"/>
      <name val="Aptos Narrow"/>
      <family val="2"/>
      <scheme val="minor"/>
    </font>
    <font>
      <sz val="11"/>
      <color theme="1"/>
      <name val="Arial"/>
      <family val="2"/>
    </font>
    <font>
      <sz val="9"/>
      <color rgb="FF98A6B5"/>
      <name val="Arial"/>
      <family val="2"/>
    </font>
    <font>
      <sz val="10"/>
      <color rgb="FF98A6B5"/>
      <name val="Arial"/>
      <family val="2"/>
    </font>
    <font>
      <sz val="11"/>
      <color rgb="FF1A202C"/>
      <name val="Arial"/>
      <family val="2"/>
    </font>
    <font>
      <sz val="11"/>
      <color rgb="FF1A202C"/>
      <name val="Arial"/>
      <family val="2"/>
    </font>
    <font>
      <sz val="11"/>
      <color rgb="FF315EB8"/>
      <name val="Arial"/>
      <family val="2"/>
    </font>
    <font>
      <sz val="11"/>
      <color rgb="FF1A202C"/>
      <name val="Arial"/>
      <family val="2"/>
    </font>
    <font>
      <sz val="11"/>
      <color rgb="FF1A202C"/>
      <name val="Arial"/>
      <family val="2"/>
    </font>
    <font>
      <b/>
      <sz val="11"/>
      <color theme="1"/>
      <name val="Aptos Narrow"/>
      <family val="2"/>
      <scheme val="minor"/>
    </font>
    <font>
      <sz val="26"/>
      <color theme="1"/>
      <name val="Arial"/>
      <family val="2"/>
    </font>
    <font>
      <b/>
      <sz val="11"/>
      <color theme="1"/>
      <name val="Arial"/>
      <family val="2"/>
    </font>
    <font>
      <sz val="11"/>
      <color rgb="FF1A202C"/>
      <name val="Arial"/>
      <family val="2"/>
    </font>
    <font>
      <sz val="11"/>
      <color rgb="FF1A202C"/>
      <name val="Arial"/>
      <family val="2"/>
    </font>
    <font>
      <sz val="11"/>
      <color rgb="FF1A202C"/>
      <name val="Arial"/>
      <family val="2"/>
    </font>
    <font>
      <sz val="11"/>
      <color rgb="FF1A202C"/>
      <name val="Arial"/>
      <family val="2"/>
    </font>
    <font>
      <sz val="11"/>
      <color rgb="FF1A202C"/>
      <name val="Arial"/>
      <family val="2"/>
    </font>
    <font>
      <sz val="11"/>
      <color rgb="FF1A202C"/>
      <name val="Arial"/>
      <family val="2"/>
    </font>
    <font>
      <sz val="11"/>
      <color rgb="FF315EB8"/>
      <name val="Arial"/>
      <family val="2"/>
    </font>
    <font>
      <sz val="11"/>
      <color rgb="FF1A202C"/>
      <name val="Arial"/>
      <family val="2"/>
    </font>
    <font>
      <sz val="11"/>
      <color rgb="FF1A202C"/>
      <name val="Arial"/>
      <family val="2"/>
    </font>
    <font>
      <b/>
      <sz val="11"/>
      <color theme="0"/>
      <name val="Aptos Narrow"/>
      <family val="2"/>
      <scheme val="minor"/>
    </font>
    <font>
      <sz val="11"/>
      <color theme="0"/>
      <name val="Aptos Narrow"/>
      <family val="2"/>
      <scheme val="minor"/>
    </font>
    <font>
      <sz val="11"/>
      <color rgb="FF1A202C"/>
      <name val="Arial"/>
      <family val="2"/>
    </font>
    <font>
      <sz val="11"/>
      <color rgb="FF1A202C"/>
      <name val="Arial"/>
      <family val="2"/>
    </font>
    <font>
      <sz val="11"/>
      <color rgb="FF315EB8"/>
      <name val="Arial"/>
      <family val="2"/>
    </font>
    <font>
      <i/>
      <sz val="11"/>
      <color theme="1"/>
      <name val="Aptos Narrow"/>
      <family val="2"/>
      <scheme val="minor"/>
    </font>
    <font>
      <b/>
      <sz val="11"/>
      <color rgb="FFFF0000"/>
      <name val="Aptos Narrow"/>
      <family val="2"/>
      <scheme val="minor"/>
    </font>
    <font>
      <sz val="11"/>
      <color rgb="FF9C5700"/>
      <name val="Aptos Narrow"/>
      <family val="2"/>
      <scheme val="minor"/>
    </font>
    <font>
      <sz val="11"/>
      <color rgb="FF000000"/>
      <name val="Carlito"/>
    </font>
  </fonts>
  <fills count="9">
    <fill>
      <patternFill patternType="none"/>
    </fill>
    <fill>
      <patternFill patternType="gray125"/>
    </fill>
    <fill>
      <patternFill patternType="solid">
        <fgColor rgb="FFFFFFFF"/>
        <bgColor indexed="64"/>
      </patternFill>
    </fill>
    <fill>
      <patternFill patternType="solid">
        <fgColor rgb="FFFF0000"/>
        <bgColor indexed="64"/>
      </patternFill>
    </fill>
    <fill>
      <patternFill patternType="solid">
        <fgColor rgb="FFFFC000"/>
        <bgColor indexed="64"/>
      </patternFill>
    </fill>
    <fill>
      <patternFill patternType="solid">
        <fgColor theme="6"/>
        <bgColor indexed="64"/>
      </patternFill>
    </fill>
    <fill>
      <patternFill patternType="solid">
        <fgColor theme="2" tint="-0.499984740745262"/>
        <bgColor indexed="64"/>
      </patternFill>
    </fill>
    <fill>
      <patternFill patternType="solid">
        <fgColor rgb="FFC00000"/>
        <bgColor indexed="64"/>
      </patternFill>
    </fill>
    <fill>
      <patternFill patternType="solid">
        <fgColor rgb="FFFFEB9C"/>
      </patternFill>
    </fill>
  </fills>
  <borders count="29">
    <border>
      <left/>
      <right/>
      <top/>
      <bottom/>
      <diagonal/>
    </border>
    <border>
      <left/>
      <right/>
      <top style="medium">
        <color rgb="FFF5F5F5"/>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rgb="FFCCCCCC"/>
      </left>
      <right style="medium">
        <color rgb="FFCCCCCC"/>
      </right>
      <top style="medium">
        <color rgb="FFF5F5F5"/>
      </top>
      <bottom style="medium">
        <color rgb="FFF5F5F5"/>
      </bottom>
      <diagonal/>
    </border>
    <border>
      <left style="medium">
        <color rgb="FFCCCCCC"/>
      </left>
      <right style="medium">
        <color rgb="FFCCCCCC"/>
      </right>
      <top style="medium">
        <color rgb="FFCCCCCC"/>
      </top>
      <bottom style="medium">
        <color rgb="FFF5F5F5"/>
      </bottom>
      <diagonal/>
    </border>
    <border>
      <left style="medium">
        <color rgb="FFCCCCCC"/>
      </left>
      <right style="medium">
        <color rgb="FFCCCCCC"/>
      </right>
      <top style="medium">
        <color rgb="FFCCCCCC"/>
      </top>
      <bottom style="medium">
        <color rgb="FFCCCCCC"/>
      </bottom>
      <diagonal/>
    </border>
    <border>
      <left/>
      <right/>
      <top style="thin">
        <color indexed="64"/>
      </top>
      <bottom/>
      <diagonal/>
    </border>
  </borders>
  <cellStyleXfs count="4">
    <xf numFmtId="0" fontId="0" fillId="0" borderId="0"/>
    <xf numFmtId="9" fontId="1" fillId="0" borderId="0" applyFont="0" applyFill="0" applyBorder="0" applyAlignment="0" applyProtection="0"/>
    <xf numFmtId="44" fontId="1" fillId="0" borderId="0" applyFont="0" applyFill="0" applyBorder="0" applyAlignment="0" applyProtection="0"/>
    <xf numFmtId="0" fontId="30" fillId="8" borderId="0" applyNumberFormat="0" applyBorder="0" applyAlignment="0" applyProtection="0"/>
  </cellStyleXfs>
  <cellXfs count="157">
    <xf numFmtId="0" fontId="0" fillId="0" borderId="0" xfId="0"/>
    <xf numFmtId="14" fontId="0" fillId="0" borderId="0" xfId="0" applyNumberFormat="1"/>
    <xf numFmtId="22" fontId="3" fillId="0" borderId="0" xfId="0" applyNumberFormat="1" applyFont="1" applyAlignment="1">
      <alignment horizontal="center" vertical="center" wrapText="1"/>
    </xf>
    <xf numFmtId="0" fontId="3" fillId="0" borderId="0" xfId="0" applyFont="1" applyAlignment="1">
      <alignment horizontal="center" vertical="center" wrapText="1"/>
    </xf>
    <xf numFmtId="164" fontId="3" fillId="0" borderId="0" xfId="0" applyNumberFormat="1" applyFont="1" applyAlignment="1">
      <alignment horizontal="center" vertical="center" wrapText="1"/>
    </xf>
    <xf numFmtId="10" fontId="3" fillId="0" borderId="0" xfId="1" applyNumberFormat="1" applyFont="1" applyAlignment="1">
      <alignment horizontal="center" vertical="center" wrapText="1"/>
    </xf>
    <xf numFmtId="0" fontId="0" fillId="0" borderId="0" xfId="0" applyAlignment="1">
      <alignment horizontal="center" vertical="center" wrapText="1"/>
    </xf>
    <xf numFmtId="10" fontId="0" fillId="0" borderId="0" xfId="1" applyNumberFormat="1" applyFont="1" applyAlignment="1">
      <alignment horizontal="center" vertical="center" wrapText="1"/>
    </xf>
    <xf numFmtId="14" fontId="3" fillId="0" borderId="0" xfId="0" applyNumberFormat="1" applyFont="1" applyAlignment="1">
      <alignment horizontal="center" vertical="center" wrapText="1"/>
    </xf>
    <xf numFmtId="0" fontId="11" fillId="0" borderId="0" xfId="0" applyFont="1" applyAlignment="1">
      <alignment horizontal="center" vertical="center" wrapText="1"/>
    </xf>
    <xf numFmtId="16" fontId="0" fillId="0" borderId="0" xfId="0" applyNumberFormat="1" applyAlignment="1">
      <alignment horizontal="center" vertical="center" wrapText="1"/>
    </xf>
    <xf numFmtId="10" fontId="11" fillId="0" borderId="0" xfId="1" applyNumberFormat="1" applyFont="1" applyAlignment="1">
      <alignment horizontal="center" vertical="center" wrapText="1"/>
    </xf>
    <xf numFmtId="1" fontId="3" fillId="0" borderId="0" xfId="0" applyNumberFormat="1" applyFont="1" applyAlignment="1">
      <alignment horizontal="center" vertical="center" wrapText="1"/>
    </xf>
    <xf numFmtId="0" fontId="0" fillId="0" borderId="0" xfId="0" applyAlignment="1">
      <alignment vertical="center" wrapText="1"/>
    </xf>
    <xf numFmtId="0" fontId="0" fillId="0" borderId="0" xfId="0" applyAlignment="1">
      <alignment horizontal="center" vertical="center"/>
    </xf>
    <xf numFmtId="14" fontId="0" fillId="0" borderId="0" xfId="0" applyNumberFormat="1" applyAlignment="1">
      <alignment horizontal="center" vertical="center"/>
    </xf>
    <xf numFmtId="10" fontId="0" fillId="0" borderId="0" xfId="1" applyNumberFormat="1" applyFont="1" applyAlignment="1">
      <alignment horizontal="center" vertical="center"/>
    </xf>
    <xf numFmtId="10" fontId="0" fillId="0" borderId="0" xfId="0" applyNumberFormat="1" applyAlignment="1">
      <alignment horizontal="center" vertical="center"/>
    </xf>
    <xf numFmtId="10" fontId="3" fillId="0" borderId="0" xfId="0" applyNumberFormat="1" applyFont="1" applyAlignment="1">
      <alignment horizontal="center" vertical="center" wrapText="1"/>
    </xf>
    <xf numFmtId="10" fontId="3" fillId="0" borderId="0" xfId="1" applyNumberFormat="1" applyFont="1" applyBorder="1" applyAlignment="1">
      <alignment horizontal="center" vertical="center" wrapText="1"/>
    </xf>
    <xf numFmtId="22" fontId="3" fillId="0" borderId="10" xfId="0" applyNumberFormat="1" applyFont="1" applyBorder="1" applyAlignment="1">
      <alignment horizontal="center" vertical="center" wrapText="1"/>
    </xf>
    <xf numFmtId="0" fontId="3" fillId="0" borderId="11" xfId="0" applyFont="1" applyBorder="1" applyAlignment="1">
      <alignment horizontal="center" vertical="center" wrapText="1"/>
    </xf>
    <xf numFmtId="10" fontId="3" fillId="0" borderId="11" xfId="0" applyNumberFormat="1" applyFont="1" applyBorder="1" applyAlignment="1">
      <alignment horizontal="center" vertical="center" wrapText="1"/>
    </xf>
    <xf numFmtId="10" fontId="3" fillId="0" borderId="11" xfId="1" applyNumberFormat="1" applyFont="1" applyBorder="1" applyAlignment="1">
      <alignment horizontal="center" vertical="center" wrapText="1"/>
    </xf>
    <xf numFmtId="22" fontId="3" fillId="0" borderId="12" xfId="0" applyNumberFormat="1" applyFont="1" applyBorder="1" applyAlignment="1">
      <alignment horizontal="center" vertical="center" wrapText="1"/>
    </xf>
    <xf numFmtId="0" fontId="3" fillId="0" borderId="13" xfId="0" applyFont="1" applyBorder="1" applyAlignment="1">
      <alignment horizontal="center" vertical="center" wrapText="1"/>
    </xf>
    <xf numFmtId="0" fontId="3" fillId="0" borderId="10" xfId="0" applyFont="1" applyBorder="1" applyAlignment="1">
      <alignment horizontal="center" vertical="center" wrapText="1"/>
    </xf>
    <xf numFmtId="2" fontId="0" fillId="0" borderId="0" xfId="0" applyNumberFormat="1" applyAlignment="1">
      <alignment horizontal="center" vertical="center" wrapText="1"/>
    </xf>
    <xf numFmtId="2" fontId="11" fillId="0" borderId="0" xfId="0" applyNumberFormat="1" applyFont="1" applyAlignment="1">
      <alignment horizontal="center" vertical="center" wrapText="1"/>
    </xf>
    <xf numFmtId="10" fontId="11" fillId="0" borderId="13" xfId="1" applyNumberFormat="1" applyFont="1" applyBorder="1" applyAlignment="1">
      <alignment horizontal="center" vertical="center" wrapText="1"/>
    </xf>
    <xf numFmtId="0" fontId="3" fillId="0" borderId="12" xfId="0" applyFont="1" applyBorder="1" applyAlignment="1">
      <alignment horizontal="center" vertical="center" wrapText="1"/>
    </xf>
    <xf numFmtId="10" fontId="3" fillId="0" borderId="14"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3" fillId="0" borderId="17" xfId="0" applyFont="1" applyBorder="1" applyAlignment="1">
      <alignment horizontal="center" vertical="center" wrapText="1"/>
    </xf>
    <xf numFmtId="22" fontId="3" fillId="0" borderId="15" xfId="0" applyNumberFormat="1" applyFont="1" applyBorder="1" applyAlignment="1">
      <alignment horizontal="center" vertical="center" wrapText="1"/>
    </xf>
    <xf numFmtId="0" fontId="3" fillId="0" borderId="18" xfId="0" applyFont="1" applyBorder="1" applyAlignment="1">
      <alignment horizontal="center" vertical="center" wrapText="1"/>
    </xf>
    <xf numFmtId="14" fontId="3" fillId="0" borderId="5" xfId="0" applyNumberFormat="1" applyFont="1" applyBorder="1" applyAlignment="1">
      <alignment horizontal="center" vertical="center" wrapText="1"/>
    </xf>
    <xf numFmtId="0" fontId="3" fillId="0" borderId="5" xfId="0" applyFont="1" applyBorder="1" applyAlignment="1">
      <alignment horizontal="center" vertical="center" wrapText="1"/>
    </xf>
    <xf numFmtId="2" fontId="3" fillId="0" borderId="5" xfId="0" applyNumberFormat="1" applyFont="1" applyBorder="1" applyAlignment="1">
      <alignment horizontal="center" vertical="center" wrapText="1"/>
    </xf>
    <xf numFmtId="0" fontId="13" fillId="0" borderId="5" xfId="0" applyFont="1" applyBorder="1" applyAlignment="1">
      <alignment horizontal="center" vertical="center" wrapText="1"/>
    </xf>
    <xf numFmtId="10" fontId="13" fillId="0" borderId="19" xfId="1" applyNumberFormat="1" applyFont="1" applyBorder="1" applyAlignment="1">
      <alignment horizontal="center" vertical="center" wrapText="1"/>
    </xf>
    <xf numFmtId="0" fontId="3" fillId="0" borderId="20" xfId="0" applyFont="1" applyBorder="1" applyAlignment="1">
      <alignment horizontal="center" vertical="center" wrapText="1"/>
    </xf>
    <xf numFmtId="0" fontId="3"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0" fillId="0" borderId="4" xfId="0" applyBorder="1" applyAlignment="1">
      <alignment horizontal="center" vertical="center" wrapText="1"/>
    </xf>
    <xf numFmtId="0" fontId="11" fillId="0" borderId="21" xfId="0" applyFont="1" applyBorder="1" applyAlignment="1">
      <alignment horizontal="center" vertical="center" wrapText="1"/>
    </xf>
    <xf numFmtId="0" fontId="3" fillId="0" borderId="22"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14" fontId="0" fillId="3" borderId="0" xfId="0" applyNumberFormat="1" applyFill="1" applyAlignment="1">
      <alignment horizontal="center" vertical="center"/>
    </xf>
    <xf numFmtId="0" fontId="0" fillId="3" borderId="0" xfId="0" applyFill="1" applyAlignment="1">
      <alignment horizontal="center" vertical="center"/>
    </xf>
    <xf numFmtId="10" fontId="0" fillId="3" borderId="0" xfId="1" applyNumberFormat="1" applyFont="1" applyFill="1" applyAlignment="1">
      <alignment horizontal="center" vertical="center"/>
    </xf>
    <xf numFmtId="14" fontId="11" fillId="0" borderId="0" xfId="0" applyNumberFormat="1" applyFont="1" applyAlignment="1">
      <alignment horizontal="center" vertical="center"/>
    </xf>
    <xf numFmtId="165" fontId="0" fillId="0" borderId="0" xfId="0" applyNumberFormat="1" applyAlignment="1">
      <alignment horizontal="center" vertical="center"/>
    </xf>
    <xf numFmtId="22" fontId="3" fillId="0" borderId="0" xfId="0" applyNumberFormat="1" applyFont="1" applyAlignment="1">
      <alignment horizontal="center" vertical="center"/>
    </xf>
    <xf numFmtId="0" fontId="4" fillId="2" borderId="0" xfId="0" applyFont="1" applyFill="1" applyAlignment="1">
      <alignment horizontal="center" vertical="center"/>
    </xf>
    <xf numFmtId="165" fontId="4" fillId="2" borderId="0" xfId="0" applyNumberFormat="1" applyFont="1" applyFill="1" applyAlignment="1">
      <alignment horizontal="center" vertical="center"/>
    </xf>
    <xf numFmtId="0" fontId="5" fillId="2" borderId="1" xfId="0" applyFont="1" applyFill="1" applyBorder="1" applyAlignment="1">
      <alignment horizontal="center" vertical="center"/>
    </xf>
    <xf numFmtId="0" fontId="6" fillId="2" borderId="1" xfId="0" applyFont="1" applyFill="1" applyBorder="1" applyAlignment="1">
      <alignment horizontal="center" vertical="center"/>
    </xf>
    <xf numFmtId="0" fontId="7" fillId="2" borderId="1" xfId="0" applyFont="1" applyFill="1" applyBorder="1" applyAlignment="1">
      <alignment horizontal="center" vertical="center"/>
    </xf>
    <xf numFmtId="0" fontId="7" fillId="2" borderId="0" xfId="0" applyFont="1" applyFill="1" applyAlignment="1">
      <alignment horizontal="center" vertical="center"/>
    </xf>
    <xf numFmtId="10" fontId="7" fillId="2" borderId="0" xfId="1" applyNumberFormat="1" applyFont="1" applyFill="1" applyAlignment="1">
      <alignment horizontal="center" vertical="center"/>
    </xf>
    <xf numFmtId="3" fontId="6" fillId="2" borderId="1" xfId="0" applyNumberFormat="1" applyFont="1" applyFill="1" applyBorder="1" applyAlignment="1">
      <alignment horizontal="center" vertical="center"/>
    </xf>
    <xf numFmtId="3" fontId="7" fillId="2" borderId="1" xfId="0" applyNumberFormat="1" applyFont="1" applyFill="1" applyBorder="1" applyAlignment="1">
      <alignment horizontal="center" vertical="center"/>
    </xf>
    <xf numFmtId="10" fontId="0" fillId="0" borderId="2" xfId="1" applyNumberFormat="1" applyFont="1" applyBorder="1" applyAlignment="1">
      <alignment horizontal="center" vertical="center"/>
    </xf>
    <xf numFmtId="10" fontId="0" fillId="0" borderId="3" xfId="1" applyNumberFormat="1" applyFont="1" applyBorder="1" applyAlignment="1">
      <alignment horizontal="center" vertical="center"/>
    </xf>
    <xf numFmtId="10" fontId="0" fillId="0" borderId="4" xfId="1" applyNumberFormat="1" applyFont="1" applyBorder="1" applyAlignment="1">
      <alignment horizontal="center" vertical="center"/>
    </xf>
    <xf numFmtId="10" fontId="0" fillId="0" borderId="6" xfId="1" applyNumberFormat="1" applyFont="1" applyBorder="1" applyAlignment="1">
      <alignment horizontal="center" vertical="center"/>
    </xf>
    <xf numFmtId="10" fontId="0" fillId="0" borderId="5" xfId="1" applyNumberFormat="1" applyFont="1" applyBorder="1" applyAlignment="1">
      <alignment horizontal="center" vertical="center"/>
    </xf>
    <xf numFmtId="10" fontId="0" fillId="0" borderId="7" xfId="1" applyNumberFormat="1" applyFont="1" applyBorder="1" applyAlignment="1">
      <alignment horizontal="center" vertical="center"/>
    </xf>
    <xf numFmtId="10" fontId="0" fillId="0" borderId="8" xfId="1" applyNumberFormat="1" applyFont="1" applyBorder="1" applyAlignment="1">
      <alignment horizontal="center" vertical="center"/>
    </xf>
    <xf numFmtId="10" fontId="0" fillId="0" borderId="0" xfId="1" applyNumberFormat="1" applyFont="1" applyBorder="1" applyAlignment="1">
      <alignment horizontal="center" vertical="center"/>
    </xf>
    <xf numFmtId="10" fontId="0" fillId="0" borderId="9" xfId="1" applyNumberFormat="1" applyFont="1" applyBorder="1" applyAlignment="1">
      <alignment horizontal="center" vertical="center"/>
    </xf>
    <xf numFmtId="3" fontId="9" fillId="2" borderId="1" xfId="0" applyNumberFormat="1" applyFont="1" applyFill="1" applyBorder="1" applyAlignment="1">
      <alignment horizontal="center" vertical="center"/>
    </xf>
    <xf numFmtId="3" fontId="10"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10" fontId="0" fillId="0" borderId="0" xfId="1" applyNumberFormat="1" applyFont="1" applyAlignment="1">
      <alignment vertical="center"/>
    </xf>
    <xf numFmtId="0" fontId="5" fillId="2" borderId="1" xfId="0" applyFont="1" applyFill="1" applyBorder="1" applyAlignment="1">
      <alignment horizontal="left" vertical="center"/>
    </xf>
    <xf numFmtId="0" fontId="14" fillId="2" borderId="1" xfId="0" applyFont="1" applyFill="1" applyBorder="1" applyAlignment="1">
      <alignment horizontal="right" vertical="center"/>
    </xf>
    <xf numFmtId="0" fontId="15" fillId="2" borderId="1" xfId="0" applyFont="1" applyFill="1" applyBorder="1" applyAlignment="1">
      <alignment horizontal="right" vertical="center"/>
    </xf>
    <xf numFmtId="3" fontId="14" fillId="2" borderId="1" xfId="0" applyNumberFormat="1" applyFont="1" applyFill="1" applyBorder="1" applyAlignment="1">
      <alignment horizontal="right" vertical="center"/>
    </xf>
    <xf numFmtId="3" fontId="15" fillId="2" borderId="1" xfId="0" applyNumberFormat="1" applyFont="1" applyFill="1" applyBorder="1" applyAlignment="1">
      <alignment horizontal="right" vertical="center"/>
    </xf>
    <xf numFmtId="0" fontId="17" fillId="2" borderId="1" xfId="0" applyFont="1" applyFill="1" applyBorder="1" applyAlignment="1">
      <alignment horizontal="right" vertical="center"/>
    </xf>
    <xf numFmtId="0" fontId="16" fillId="2" borderId="1" xfId="0" applyFont="1" applyFill="1" applyBorder="1" applyAlignment="1">
      <alignment horizontal="right" vertical="center"/>
    </xf>
    <xf numFmtId="3" fontId="16" fillId="2" borderId="1" xfId="0" applyNumberFormat="1" applyFont="1" applyFill="1" applyBorder="1" applyAlignment="1">
      <alignment horizontal="right" vertical="center"/>
    </xf>
    <xf numFmtId="0" fontId="18" fillId="2" borderId="1" xfId="0" applyFont="1" applyFill="1" applyBorder="1" applyAlignment="1">
      <alignment horizontal="right" vertical="center"/>
    </xf>
    <xf numFmtId="0" fontId="19" fillId="2" borderId="1" xfId="0" applyFont="1" applyFill="1" applyBorder="1" applyAlignment="1">
      <alignment horizontal="right" vertical="center"/>
    </xf>
    <xf numFmtId="3" fontId="18" fillId="2" borderId="1" xfId="0" applyNumberFormat="1" applyFont="1" applyFill="1" applyBorder="1" applyAlignment="1">
      <alignment horizontal="right" vertical="center"/>
    </xf>
    <xf numFmtId="3" fontId="19" fillId="2" borderId="1" xfId="0" applyNumberFormat="1" applyFont="1" applyFill="1" applyBorder="1" applyAlignment="1">
      <alignment horizontal="right" vertical="center"/>
    </xf>
    <xf numFmtId="3" fontId="20" fillId="2" borderId="1" xfId="0" applyNumberFormat="1" applyFont="1" applyFill="1" applyBorder="1" applyAlignment="1">
      <alignment horizontal="right" vertical="center"/>
    </xf>
    <xf numFmtId="0" fontId="20" fillId="2" borderId="1" xfId="0" applyFont="1" applyFill="1" applyBorder="1" applyAlignment="1">
      <alignment horizontal="right" vertical="center"/>
    </xf>
    <xf numFmtId="0" fontId="5" fillId="2" borderId="1" xfId="0" applyFont="1" applyFill="1" applyBorder="1" applyAlignment="1">
      <alignment horizontal="left" vertical="center" wrapText="1"/>
    </xf>
    <xf numFmtId="0" fontId="21" fillId="2" borderId="1" xfId="0" applyFont="1" applyFill="1" applyBorder="1" applyAlignment="1">
      <alignment horizontal="right" vertical="center" wrapText="1"/>
    </xf>
    <xf numFmtId="0" fontId="22" fillId="2" borderId="1" xfId="0" applyFont="1" applyFill="1" applyBorder="1" applyAlignment="1">
      <alignment horizontal="right" vertical="center" wrapText="1"/>
    </xf>
    <xf numFmtId="3" fontId="21" fillId="2" borderId="1" xfId="0" applyNumberFormat="1" applyFont="1" applyFill="1" applyBorder="1" applyAlignment="1">
      <alignment horizontal="right" vertical="center" wrapText="1"/>
    </xf>
    <xf numFmtId="3" fontId="22" fillId="2" borderId="1" xfId="0" applyNumberFormat="1" applyFont="1" applyFill="1" applyBorder="1" applyAlignment="1">
      <alignment horizontal="right" vertical="center" wrapText="1"/>
    </xf>
    <xf numFmtId="2" fontId="3" fillId="0" borderId="11" xfId="0" applyNumberFormat="1" applyFont="1" applyBorder="1" applyAlignment="1">
      <alignment horizontal="center" vertical="center" wrapText="1"/>
    </xf>
    <xf numFmtId="2" fontId="0" fillId="0" borderId="0" xfId="0" applyNumberFormat="1" applyAlignment="1">
      <alignment horizontal="center" vertical="center"/>
    </xf>
    <xf numFmtId="2" fontId="3" fillId="0" borderId="0" xfId="0" applyNumberFormat="1" applyFont="1" applyAlignment="1">
      <alignment horizontal="center" vertical="center" wrapText="1"/>
    </xf>
    <xf numFmtId="0" fontId="25" fillId="2" borderId="1" xfId="0" applyFont="1" applyFill="1" applyBorder="1" applyAlignment="1">
      <alignment horizontal="right" vertical="center" wrapText="1"/>
    </xf>
    <xf numFmtId="0" fontId="26" fillId="2" borderId="1" xfId="0" applyFont="1" applyFill="1" applyBorder="1" applyAlignment="1">
      <alignment horizontal="right" vertical="center" wrapText="1"/>
    </xf>
    <xf numFmtId="0" fontId="5" fillId="2" borderId="25" xfId="0" applyFont="1" applyFill="1" applyBorder="1" applyAlignment="1">
      <alignment wrapText="1"/>
    </xf>
    <xf numFmtId="0" fontId="6" fillId="2" borderId="25" xfId="0" applyFont="1" applyFill="1" applyBorder="1" applyAlignment="1">
      <alignment horizontal="right" wrapText="1"/>
    </xf>
    <xf numFmtId="0" fontId="5" fillId="2" borderId="26" xfId="0" applyFont="1" applyFill="1" applyBorder="1" applyAlignment="1">
      <alignment wrapText="1"/>
    </xf>
    <xf numFmtId="0" fontId="6" fillId="2" borderId="26" xfId="0" applyFont="1" applyFill="1" applyBorder="1" applyAlignment="1">
      <alignment horizontal="right" wrapText="1"/>
    </xf>
    <xf numFmtId="0" fontId="6" fillId="2" borderId="27" xfId="0" applyFont="1" applyFill="1" applyBorder="1" applyAlignment="1">
      <alignment horizontal="right" wrapText="1"/>
    </xf>
    <xf numFmtId="0" fontId="5" fillId="2" borderId="26" xfId="0" applyFont="1" applyFill="1" applyBorder="1" applyAlignment="1">
      <alignment vertical="center"/>
    </xf>
    <xf numFmtId="0" fontId="27" fillId="2" borderId="1" xfId="0" applyFont="1" applyFill="1" applyBorder="1" applyAlignment="1">
      <alignment horizontal="right" vertical="center" wrapText="1"/>
    </xf>
    <xf numFmtId="3" fontId="25" fillId="2" borderId="1" xfId="0" applyNumberFormat="1" applyFont="1" applyFill="1" applyBorder="1" applyAlignment="1">
      <alignment horizontal="right" vertical="center" wrapText="1"/>
    </xf>
    <xf numFmtId="3" fontId="26" fillId="2" borderId="1" xfId="0" applyNumberFormat="1" applyFont="1" applyFill="1" applyBorder="1" applyAlignment="1">
      <alignment horizontal="right" vertical="center" wrapText="1"/>
    </xf>
    <xf numFmtId="0" fontId="23" fillId="5" borderId="0" xfId="0" applyFont="1" applyFill="1" applyAlignment="1">
      <alignment horizontal="center" vertical="center" wrapText="1"/>
    </xf>
    <xf numFmtId="164" fontId="23" fillId="5" borderId="0" xfId="2" applyNumberFormat="1" applyFont="1" applyFill="1" applyAlignment="1">
      <alignment horizontal="center" vertical="center" wrapText="1"/>
    </xf>
    <xf numFmtId="0" fontId="0" fillId="4" borderId="0" xfId="0" applyFill="1" applyAlignment="1">
      <alignment horizontal="center" vertical="center" wrapText="1"/>
    </xf>
    <xf numFmtId="0" fontId="24" fillId="6" borderId="0" xfId="0" applyFont="1" applyFill="1" applyAlignment="1">
      <alignment horizontal="center" vertical="center" wrapText="1"/>
    </xf>
    <xf numFmtId="0" fontId="23" fillId="6" borderId="0" xfId="0" applyFont="1" applyFill="1" applyAlignment="1">
      <alignment horizontal="center" vertical="center" wrapText="1"/>
    </xf>
    <xf numFmtId="0" fontId="11" fillId="4" borderId="0" xfId="0" applyFont="1" applyFill="1" applyAlignment="1">
      <alignment horizontal="center" vertical="center" wrapText="1"/>
    </xf>
    <xf numFmtId="14" fontId="0" fillId="0" borderId="0" xfId="0" applyNumberFormat="1" applyAlignment="1">
      <alignment horizontal="center" vertical="center" wrapText="1"/>
    </xf>
    <xf numFmtId="44" fontId="0" fillId="0" borderId="0" xfId="2" applyFont="1" applyAlignment="1">
      <alignment horizontal="left" vertical="center" wrapText="1"/>
    </xf>
    <xf numFmtId="0" fontId="0" fillId="0" borderId="2" xfId="0" applyBorder="1" applyAlignment="1">
      <alignment horizontal="center" vertical="center" wrapText="1"/>
    </xf>
    <xf numFmtId="0" fontId="0" fillId="0" borderId="28" xfId="0" applyBorder="1" applyAlignment="1">
      <alignment horizontal="center" vertical="center" wrapText="1"/>
    </xf>
    <xf numFmtId="0" fontId="0" fillId="0" borderId="3" xfId="0" applyBorder="1" applyAlignment="1">
      <alignment horizontal="center" vertical="center" wrapText="1"/>
    </xf>
    <xf numFmtId="0" fontId="0" fillId="0" borderId="5" xfId="0" applyBorder="1" applyAlignment="1">
      <alignment horizontal="center" vertical="center" wrapText="1"/>
    </xf>
    <xf numFmtId="44" fontId="0" fillId="0" borderId="5" xfId="2" applyFont="1"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169" fontId="23" fillId="7" borderId="8" xfId="0" applyNumberFormat="1" applyFont="1" applyFill="1" applyBorder="1" applyAlignment="1">
      <alignment horizontal="center" vertical="center" wrapText="1"/>
    </xf>
    <xf numFmtId="164" fontId="23" fillId="5" borderId="8" xfId="0" applyNumberFormat="1" applyFont="1" applyFill="1" applyBorder="1" applyAlignment="1">
      <alignment horizontal="center" vertical="center" wrapText="1"/>
    </xf>
    <xf numFmtId="169" fontId="11" fillId="0" borderId="8" xfId="0" applyNumberFormat="1" applyFont="1" applyBorder="1" applyAlignment="1">
      <alignment horizontal="center" vertical="center" wrapText="1"/>
    </xf>
    <xf numFmtId="10" fontId="0" fillId="0" borderId="8" xfId="1" applyNumberFormat="1" applyFont="1" applyBorder="1" applyAlignment="1">
      <alignment horizontal="center" vertical="center" wrapText="1"/>
    </xf>
    <xf numFmtId="44" fontId="11" fillId="0" borderId="3" xfId="2" applyFont="1" applyBorder="1" applyAlignment="1">
      <alignment horizontal="center" vertical="center" wrapText="1"/>
    </xf>
    <xf numFmtId="0" fontId="31" fillId="0" borderId="0" xfId="0" applyFont="1"/>
    <xf numFmtId="14" fontId="0" fillId="0" borderId="0" xfId="0" applyNumberFormat="1" applyAlignment="1">
      <alignment vertical="center" wrapText="1"/>
    </xf>
    <xf numFmtId="165" fontId="0" fillId="0" borderId="0" xfId="0" applyNumberFormat="1" applyAlignment="1">
      <alignment horizontal="center" vertical="center" wrapText="1"/>
    </xf>
    <xf numFmtId="0" fontId="30" fillId="8" borderId="0" xfId="3" applyAlignment="1">
      <alignment horizontal="center" vertical="center" wrapText="1"/>
    </xf>
    <xf numFmtId="0" fontId="30" fillId="8" borderId="11" xfId="3" applyBorder="1" applyAlignment="1">
      <alignment horizontal="center" vertical="center" wrapText="1"/>
    </xf>
    <xf numFmtId="6" fontId="0" fillId="0" borderId="0" xfId="0" applyNumberFormat="1" applyAlignment="1">
      <alignment horizontal="center" vertical="center"/>
    </xf>
    <xf numFmtId="166" fontId="0" fillId="0" borderId="0" xfId="0" applyNumberFormat="1" applyAlignment="1">
      <alignment horizontal="center" vertical="center"/>
    </xf>
    <xf numFmtId="167" fontId="0" fillId="0" borderId="0" xfId="0" applyNumberFormat="1" applyAlignment="1">
      <alignment horizontal="center" vertical="center"/>
    </xf>
    <xf numFmtId="10" fontId="0" fillId="0" borderId="0" xfId="1" applyNumberFormat="1" applyFont="1" applyFill="1" applyAlignment="1">
      <alignment horizontal="center" vertical="center"/>
    </xf>
    <xf numFmtId="168" fontId="0" fillId="0" borderId="0" xfId="0" applyNumberFormat="1" applyAlignment="1">
      <alignment horizontal="center" vertical="center" wrapText="1"/>
    </xf>
    <xf numFmtId="16" fontId="0" fillId="0" borderId="0" xfId="0" applyNumberFormat="1" applyAlignment="1">
      <alignment horizontal="center" vertical="center"/>
    </xf>
    <xf numFmtId="10" fontId="0" fillId="0" borderId="0" xfId="1" applyNumberFormat="1" applyFont="1" applyBorder="1" applyAlignment="1">
      <alignment horizontal="center" vertical="center" wrapText="1"/>
    </xf>
    <xf numFmtId="44" fontId="0" fillId="0" borderId="5" xfId="0" applyNumberFormat="1" applyBorder="1" applyAlignment="1">
      <alignment horizontal="center" vertical="center" wrapText="1"/>
    </xf>
    <xf numFmtId="170" fontId="29" fillId="0" borderId="0" xfId="0" applyNumberFormat="1" applyFont="1" applyAlignment="1">
      <alignment horizontal="center" vertical="center" wrapText="1"/>
    </xf>
    <xf numFmtId="169" fontId="28" fillId="0" borderId="0" xfId="0" applyNumberFormat="1" applyFont="1" applyAlignment="1">
      <alignment horizontal="center" vertical="center" wrapText="1"/>
    </xf>
    <xf numFmtId="44" fontId="28" fillId="0" borderId="0" xfId="2" applyFont="1" applyFill="1" applyBorder="1" applyAlignment="1">
      <alignment horizontal="center" vertical="center" wrapText="1"/>
    </xf>
    <xf numFmtId="170" fontId="28" fillId="0" borderId="0" xfId="0" applyNumberFormat="1" applyFont="1" applyAlignment="1">
      <alignment horizontal="center" vertical="center" wrapText="1"/>
    </xf>
    <xf numFmtId="44" fontId="0" fillId="0" borderId="0" xfId="2" applyFont="1" applyFill="1" applyBorder="1" applyAlignment="1">
      <alignment horizontal="center" vertical="center" wrapText="1"/>
    </xf>
    <xf numFmtId="10" fontId="0" fillId="0" borderId="0" xfId="1" applyNumberFormat="1" applyFont="1" applyFill="1" applyBorder="1" applyAlignment="1">
      <alignment horizontal="center" vertical="center" wrapText="1"/>
    </xf>
    <xf numFmtId="44" fontId="0" fillId="0" borderId="0" xfId="0" applyNumberFormat="1" applyAlignment="1">
      <alignment horizontal="center" vertical="center" wrapText="1"/>
    </xf>
    <xf numFmtId="0" fontId="3" fillId="0" borderId="0" xfId="0" applyFont="1" applyAlignment="1">
      <alignment horizontal="center" vertical="center" wrapText="1"/>
    </xf>
    <xf numFmtId="22" fontId="12" fillId="0" borderId="0" xfId="0" applyNumberFormat="1" applyFont="1" applyAlignment="1">
      <alignment horizontal="center" vertical="center" wrapText="1"/>
    </xf>
    <xf numFmtId="0" fontId="0" fillId="0" borderId="0" xfId="0" applyAlignment="1">
      <alignment horizontal="center" vertical="center"/>
    </xf>
    <xf numFmtId="0" fontId="0" fillId="0" borderId="5" xfId="0" applyBorder="1" applyAlignment="1">
      <alignment horizontal="center" vertical="center"/>
    </xf>
    <xf numFmtId="10" fontId="0" fillId="0" borderId="0" xfId="1" applyNumberFormat="1" applyFont="1" applyAlignment="1">
      <alignment horizontal="center" vertical="center"/>
    </xf>
    <xf numFmtId="0" fontId="0" fillId="0" borderId="0" xfId="0" applyAlignment="1">
      <alignment horizontal="center" vertical="center" wrapText="1"/>
    </xf>
  </cellXfs>
  <cellStyles count="4">
    <cellStyle name="Currency" xfId="2" builtinId="4"/>
    <cellStyle name="Neutral" xfId="3" builtinId="28"/>
    <cellStyle name="Normal" xfId="0" builtinId="0"/>
    <cellStyle name="Percent" xfId="1" builtinId="5"/>
  </cellStyles>
  <dxfs count="783">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theme="0"/>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7" tint="0.59996337778862885"/>
        </patternFill>
      </fill>
    </dxf>
    <dxf>
      <font>
        <color rgb="FF9C5700"/>
      </font>
      <fill>
        <patternFill>
          <bgColor rgb="FFFFEB9C"/>
        </patternFill>
      </fill>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1" indent="0" justifyLastLine="0" shrinkToFit="0" readingOrder="0"/>
    </dxf>
    <dxf>
      <font>
        <strike val="0"/>
        <outline val="0"/>
        <shadow val="0"/>
        <u val="none"/>
        <vertAlign val="baseline"/>
        <sz val="11"/>
        <color theme="1"/>
        <name val="Arial"/>
        <family val="2"/>
        <scheme val="none"/>
      </font>
      <alignment horizontal="center" vertical="center" textRotation="0" wrapText="1" indent="0" justifyLastLine="0" shrinkToFit="0" readingOrder="0"/>
    </dxf>
    <dxf>
      <font>
        <strike val="0"/>
        <outline val="0"/>
        <shadow val="0"/>
        <u val="none"/>
        <vertAlign val="baseline"/>
        <sz val="11"/>
        <color theme="1"/>
        <name val="Arial"/>
        <family val="2"/>
        <scheme val="none"/>
      </font>
      <numFmt numFmtId="0" formatCode="General"/>
      <alignment horizontal="center" vertical="center" textRotation="0" wrapText="1" indent="0" justifyLastLine="0" shrinkToFit="0" readingOrder="0"/>
    </dxf>
    <dxf>
      <font>
        <strike val="0"/>
        <outline val="0"/>
        <shadow val="0"/>
        <u val="none"/>
        <vertAlign val="baseline"/>
        <sz val="11"/>
        <color theme="1"/>
        <name val="Arial"/>
        <family val="2"/>
        <scheme val="none"/>
      </font>
      <numFmt numFmtId="0" formatCode="General"/>
      <alignment horizontal="center" vertical="center" textRotation="0" wrapText="1" indent="0" justifyLastLine="0" shrinkToFit="0" readingOrder="0"/>
    </dxf>
    <dxf>
      <font>
        <strike val="0"/>
        <outline val="0"/>
        <shadow val="0"/>
        <u val="none"/>
        <vertAlign val="baseline"/>
        <sz val="11"/>
        <color theme="1"/>
        <name val="Arial"/>
        <family val="2"/>
        <scheme val="none"/>
      </font>
      <alignment horizontal="center" vertical="center" textRotation="0" wrapText="1" indent="0" justifyLastLine="0" shrinkToFit="0" readingOrder="0"/>
    </dxf>
    <dxf>
      <font>
        <strike val="0"/>
        <outline val="0"/>
        <shadow val="0"/>
        <u val="none"/>
        <vertAlign val="baseline"/>
        <sz val="11"/>
        <color theme="1"/>
        <name val="Arial"/>
        <family val="2"/>
        <scheme val="none"/>
      </font>
      <alignment horizontal="center" vertical="center" textRotation="0" wrapText="1" indent="0" justifyLastLine="0" shrinkToFit="0" readingOrder="0"/>
    </dxf>
    <dxf>
      <font>
        <strike val="0"/>
        <outline val="0"/>
        <shadow val="0"/>
        <u val="none"/>
        <vertAlign val="baseline"/>
        <sz val="11"/>
        <color theme="1"/>
        <name val="Arial"/>
        <family val="2"/>
        <scheme val="none"/>
      </font>
      <alignment horizontal="center" vertical="center" textRotation="0" wrapText="1" indent="0" justifyLastLine="0" shrinkToFit="0" readingOrder="0"/>
    </dxf>
    <dxf>
      <font>
        <strike val="0"/>
        <outline val="0"/>
        <shadow val="0"/>
        <u val="none"/>
        <vertAlign val="baseline"/>
        <sz val="11"/>
        <color theme="1"/>
        <name val="Arial"/>
        <family val="2"/>
        <scheme val="none"/>
      </font>
      <alignment horizontal="center" vertical="center" textRotation="0" wrapText="1" indent="0" justifyLastLine="0" shrinkToFit="0" readingOrder="0"/>
    </dxf>
    <dxf>
      <font>
        <strike val="0"/>
        <outline val="0"/>
        <shadow val="0"/>
        <u val="none"/>
        <vertAlign val="baseline"/>
        <sz val="11"/>
        <color theme="1"/>
        <name val="Arial"/>
        <family val="2"/>
        <scheme val="none"/>
      </font>
      <numFmt numFmtId="0" formatCode="General"/>
      <alignment horizontal="center" vertical="center" textRotation="0" wrapText="1" indent="0" justifyLastLine="0" shrinkToFit="0" readingOrder="0"/>
    </dxf>
    <dxf>
      <font>
        <strike val="0"/>
        <outline val="0"/>
        <shadow val="0"/>
        <u val="none"/>
        <vertAlign val="baseline"/>
        <sz val="11"/>
        <color theme="1"/>
        <name val="Arial"/>
        <family val="2"/>
        <scheme val="none"/>
      </font>
      <alignment horizontal="center" vertical="center" textRotation="0" wrapText="1" indent="0" justifyLastLine="0" shrinkToFit="0" readingOrder="0"/>
    </dxf>
    <dxf>
      <font>
        <strike val="0"/>
        <outline val="0"/>
        <shadow val="0"/>
        <u val="none"/>
        <vertAlign val="baseline"/>
        <sz val="11"/>
        <color theme="1"/>
        <name val="Arial"/>
        <family val="2"/>
        <scheme val="none"/>
      </font>
      <alignment horizontal="center" vertical="center" textRotation="0" wrapText="1" indent="0" justifyLastLine="0" shrinkToFit="0" readingOrder="0"/>
    </dxf>
    <dxf>
      <fill>
        <patternFill patternType="solid">
          <fgColor auto="1"/>
          <bgColor rgb="FFFFCC00"/>
        </patternFill>
      </fill>
    </dxf>
    <dxf>
      <fill>
        <patternFill>
          <bgColor rgb="FFFF00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C000"/>
        </patternFill>
      </fill>
    </dxf>
    <dxf>
      <fill>
        <patternFill>
          <bgColor theme="2"/>
        </patternFill>
      </fill>
    </dxf>
    <dxf>
      <font>
        <color theme="0"/>
      </font>
      <fill>
        <patternFill>
          <bgColor theme="9"/>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Medium9"/>
  <colors>
    <mruColors>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Trends!$E$15</c:f>
              <c:strCache>
                <c:ptCount val="1"/>
                <c:pt idx="0">
                  <c:v>Price</c:v>
                </c:pt>
              </c:strCache>
            </c:strRef>
          </c:tx>
          <c:spPr>
            <a:ln w="28575" cap="rnd">
              <a:solidFill>
                <a:schemeClr val="accent1"/>
              </a:solidFill>
              <a:round/>
            </a:ln>
            <a:effectLst/>
          </c:spPr>
          <c:marker>
            <c:symbol val="none"/>
          </c:marker>
          <c:cat>
            <c:numRef>
              <c:f>Trends!$D$16:$D$493</c:f>
              <c:numCache>
                <c:formatCode>m/d/yyyy</c:formatCode>
                <c:ptCount val="478"/>
                <c:pt idx="0">
                  <c:v>45766</c:v>
                </c:pt>
                <c:pt idx="1">
                  <c:v>45767</c:v>
                </c:pt>
                <c:pt idx="2">
                  <c:v>45768</c:v>
                </c:pt>
                <c:pt idx="3">
                  <c:v>45769</c:v>
                </c:pt>
                <c:pt idx="4">
                  <c:v>45770</c:v>
                </c:pt>
                <c:pt idx="5">
                  <c:v>45771</c:v>
                </c:pt>
                <c:pt idx="6">
                  <c:v>45772</c:v>
                </c:pt>
                <c:pt idx="7">
                  <c:v>45773</c:v>
                </c:pt>
                <c:pt idx="8">
                  <c:v>45774</c:v>
                </c:pt>
                <c:pt idx="9">
                  <c:v>45775</c:v>
                </c:pt>
                <c:pt idx="10">
                  <c:v>45776</c:v>
                </c:pt>
                <c:pt idx="11">
                  <c:v>45777</c:v>
                </c:pt>
                <c:pt idx="12">
                  <c:v>45778</c:v>
                </c:pt>
                <c:pt idx="13">
                  <c:v>45779</c:v>
                </c:pt>
                <c:pt idx="14">
                  <c:v>45780</c:v>
                </c:pt>
                <c:pt idx="15">
                  <c:v>45781</c:v>
                </c:pt>
                <c:pt idx="16">
                  <c:v>45782</c:v>
                </c:pt>
                <c:pt idx="17">
                  <c:v>45783</c:v>
                </c:pt>
                <c:pt idx="18">
                  <c:v>45784</c:v>
                </c:pt>
                <c:pt idx="19">
                  <c:v>45785</c:v>
                </c:pt>
                <c:pt idx="20">
                  <c:v>45786</c:v>
                </c:pt>
                <c:pt idx="21">
                  <c:v>45787</c:v>
                </c:pt>
                <c:pt idx="22">
                  <c:v>45788</c:v>
                </c:pt>
                <c:pt idx="23">
                  <c:v>45789</c:v>
                </c:pt>
                <c:pt idx="24">
                  <c:v>45790</c:v>
                </c:pt>
                <c:pt idx="25">
                  <c:v>45791</c:v>
                </c:pt>
                <c:pt idx="26">
                  <c:v>45792</c:v>
                </c:pt>
                <c:pt idx="27">
                  <c:v>45793</c:v>
                </c:pt>
                <c:pt idx="28">
                  <c:v>45794</c:v>
                </c:pt>
                <c:pt idx="29">
                  <c:v>45795</c:v>
                </c:pt>
                <c:pt idx="30">
                  <c:v>45796</c:v>
                </c:pt>
                <c:pt idx="31">
                  <c:v>45797</c:v>
                </c:pt>
                <c:pt idx="32">
                  <c:v>45798</c:v>
                </c:pt>
                <c:pt idx="33">
                  <c:v>45799</c:v>
                </c:pt>
                <c:pt idx="34">
                  <c:v>45800</c:v>
                </c:pt>
                <c:pt idx="35">
                  <c:v>45801</c:v>
                </c:pt>
                <c:pt idx="36">
                  <c:v>45802</c:v>
                </c:pt>
                <c:pt idx="37">
                  <c:v>45803</c:v>
                </c:pt>
                <c:pt idx="38">
                  <c:v>45804</c:v>
                </c:pt>
                <c:pt idx="39">
                  <c:v>45805</c:v>
                </c:pt>
                <c:pt idx="40">
                  <c:v>45806</c:v>
                </c:pt>
                <c:pt idx="41">
                  <c:v>45807</c:v>
                </c:pt>
                <c:pt idx="42">
                  <c:v>45808</c:v>
                </c:pt>
                <c:pt idx="43">
                  <c:v>45809</c:v>
                </c:pt>
                <c:pt idx="44">
                  <c:v>45810</c:v>
                </c:pt>
                <c:pt idx="45">
                  <c:v>45811</c:v>
                </c:pt>
                <c:pt idx="46">
                  <c:v>45812</c:v>
                </c:pt>
                <c:pt idx="47">
                  <c:v>45813</c:v>
                </c:pt>
                <c:pt idx="48">
                  <c:v>45814</c:v>
                </c:pt>
                <c:pt idx="49">
                  <c:v>45815</c:v>
                </c:pt>
                <c:pt idx="50">
                  <c:v>45816</c:v>
                </c:pt>
                <c:pt idx="51">
                  <c:v>45817</c:v>
                </c:pt>
                <c:pt idx="52">
                  <c:v>45818</c:v>
                </c:pt>
                <c:pt idx="53">
                  <c:v>45819</c:v>
                </c:pt>
                <c:pt idx="54">
                  <c:v>45820</c:v>
                </c:pt>
                <c:pt idx="55">
                  <c:v>45821</c:v>
                </c:pt>
                <c:pt idx="56">
                  <c:v>45822</c:v>
                </c:pt>
                <c:pt idx="57">
                  <c:v>45823</c:v>
                </c:pt>
                <c:pt idx="58">
                  <c:v>45824</c:v>
                </c:pt>
                <c:pt idx="59">
                  <c:v>45825</c:v>
                </c:pt>
                <c:pt idx="60">
                  <c:v>45826</c:v>
                </c:pt>
                <c:pt idx="61">
                  <c:v>45827</c:v>
                </c:pt>
                <c:pt idx="62">
                  <c:v>45828</c:v>
                </c:pt>
                <c:pt idx="63">
                  <c:v>45829</c:v>
                </c:pt>
                <c:pt idx="64">
                  <c:v>45830</c:v>
                </c:pt>
                <c:pt idx="65">
                  <c:v>45831</c:v>
                </c:pt>
                <c:pt idx="66">
                  <c:v>45832</c:v>
                </c:pt>
                <c:pt idx="67">
                  <c:v>45833</c:v>
                </c:pt>
                <c:pt idx="68">
                  <c:v>45834</c:v>
                </c:pt>
                <c:pt idx="69">
                  <c:v>45835</c:v>
                </c:pt>
                <c:pt idx="70">
                  <c:v>45836</c:v>
                </c:pt>
                <c:pt idx="71">
                  <c:v>45837</c:v>
                </c:pt>
                <c:pt idx="72">
                  <c:v>45838</c:v>
                </c:pt>
                <c:pt idx="73">
                  <c:v>45839</c:v>
                </c:pt>
                <c:pt idx="74">
                  <c:v>45840</c:v>
                </c:pt>
                <c:pt idx="75">
                  <c:v>45841</c:v>
                </c:pt>
                <c:pt idx="76">
                  <c:v>45842</c:v>
                </c:pt>
                <c:pt idx="77">
                  <c:v>45843</c:v>
                </c:pt>
                <c:pt idx="78">
                  <c:v>45844</c:v>
                </c:pt>
                <c:pt idx="79">
                  <c:v>45845</c:v>
                </c:pt>
                <c:pt idx="80">
                  <c:v>45846</c:v>
                </c:pt>
                <c:pt idx="81">
                  <c:v>45847</c:v>
                </c:pt>
                <c:pt idx="82">
                  <c:v>45848</c:v>
                </c:pt>
                <c:pt idx="83">
                  <c:v>45849</c:v>
                </c:pt>
                <c:pt idx="84">
                  <c:v>45850</c:v>
                </c:pt>
                <c:pt idx="85">
                  <c:v>45851</c:v>
                </c:pt>
                <c:pt idx="86">
                  <c:v>45852</c:v>
                </c:pt>
                <c:pt idx="87">
                  <c:v>45853</c:v>
                </c:pt>
                <c:pt idx="88">
                  <c:v>45854</c:v>
                </c:pt>
                <c:pt idx="89">
                  <c:v>45855</c:v>
                </c:pt>
                <c:pt idx="90">
                  <c:v>45856</c:v>
                </c:pt>
                <c:pt idx="91">
                  <c:v>45857</c:v>
                </c:pt>
                <c:pt idx="92">
                  <c:v>45858</c:v>
                </c:pt>
                <c:pt idx="93">
                  <c:v>45859</c:v>
                </c:pt>
                <c:pt idx="94">
                  <c:v>45860</c:v>
                </c:pt>
                <c:pt idx="95">
                  <c:v>45861</c:v>
                </c:pt>
                <c:pt idx="96">
                  <c:v>45862</c:v>
                </c:pt>
                <c:pt idx="97">
                  <c:v>45863</c:v>
                </c:pt>
                <c:pt idx="98">
                  <c:v>45864</c:v>
                </c:pt>
                <c:pt idx="99">
                  <c:v>45865</c:v>
                </c:pt>
                <c:pt idx="100">
                  <c:v>45866</c:v>
                </c:pt>
                <c:pt idx="101">
                  <c:v>45867</c:v>
                </c:pt>
                <c:pt idx="102">
                  <c:v>45868</c:v>
                </c:pt>
                <c:pt idx="103">
                  <c:v>45869</c:v>
                </c:pt>
                <c:pt idx="104">
                  <c:v>45870</c:v>
                </c:pt>
                <c:pt idx="105">
                  <c:v>45871</c:v>
                </c:pt>
                <c:pt idx="106">
                  <c:v>45872</c:v>
                </c:pt>
                <c:pt idx="107">
                  <c:v>45873</c:v>
                </c:pt>
                <c:pt idx="108">
                  <c:v>45874</c:v>
                </c:pt>
                <c:pt idx="109">
                  <c:v>45875</c:v>
                </c:pt>
                <c:pt idx="110">
                  <c:v>45876</c:v>
                </c:pt>
                <c:pt idx="111">
                  <c:v>45877</c:v>
                </c:pt>
                <c:pt idx="112">
                  <c:v>45878</c:v>
                </c:pt>
                <c:pt idx="113">
                  <c:v>45879</c:v>
                </c:pt>
                <c:pt idx="114">
                  <c:v>45880</c:v>
                </c:pt>
                <c:pt idx="115">
                  <c:v>45881</c:v>
                </c:pt>
                <c:pt idx="116">
                  <c:v>45882</c:v>
                </c:pt>
                <c:pt idx="117">
                  <c:v>45883</c:v>
                </c:pt>
                <c:pt idx="118">
                  <c:v>45884</c:v>
                </c:pt>
                <c:pt idx="119">
                  <c:v>45885</c:v>
                </c:pt>
                <c:pt idx="120">
                  <c:v>45886</c:v>
                </c:pt>
                <c:pt idx="121">
                  <c:v>45887</c:v>
                </c:pt>
                <c:pt idx="122">
                  <c:v>45888</c:v>
                </c:pt>
                <c:pt idx="123">
                  <c:v>45889</c:v>
                </c:pt>
                <c:pt idx="124">
                  <c:v>45890</c:v>
                </c:pt>
                <c:pt idx="125">
                  <c:v>45891</c:v>
                </c:pt>
                <c:pt idx="126">
                  <c:v>45892</c:v>
                </c:pt>
                <c:pt idx="127">
                  <c:v>45893</c:v>
                </c:pt>
                <c:pt idx="128">
                  <c:v>45894</c:v>
                </c:pt>
                <c:pt idx="129">
                  <c:v>45895</c:v>
                </c:pt>
                <c:pt idx="130">
                  <c:v>45896</c:v>
                </c:pt>
                <c:pt idx="131">
                  <c:v>45897</c:v>
                </c:pt>
                <c:pt idx="132">
                  <c:v>45898</c:v>
                </c:pt>
                <c:pt idx="133">
                  <c:v>45899</c:v>
                </c:pt>
                <c:pt idx="134">
                  <c:v>45900</c:v>
                </c:pt>
                <c:pt idx="135">
                  <c:v>45901</c:v>
                </c:pt>
                <c:pt idx="136">
                  <c:v>45902</c:v>
                </c:pt>
                <c:pt idx="137">
                  <c:v>45903</c:v>
                </c:pt>
                <c:pt idx="138">
                  <c:v>45904</c:v>
                </c:pt>
                <c:pt idx="139">
                  <c:v>45905</c:v>
                </c:pt>
                <c:pt idx="140">
                  <c:v>45906</c:v>
                </c:pt>
                <c:pt idx="141">
                  <c:v>45907</c:v>
                </c:pt>
                <c:pt idx="142">
                  <c:v>45908</c:v>
                </c:pt>
                <c:pt idx="143">
                  <c:v>45909</c:v>
                </c:pt>
                <c:pt idx="144">
                  <c:v>45910</c:v>
                </c:pt>
                <c:pt idx="145">
                  <c:v>45911</c:v>
                </c:pt>
                <c:pt idx="146">
                  <c:v>45912</c:v>
                </c:pt>
                <c:pt idx="147">
                  <c:v>45913</c:v>
                </c:pt>
                <c:pt idx="148">
                  <c:v>45914</c:v>
                </c:pt>
                <c:pt idx="149">
                  <c:v>45915</c:v>
                </c:pt>
                <c:pt idx="150">
                  <c:v>45916</c:v>
                </c:pt>
                <c:pt idx="151">
                  <c:v>45917</c:v>
                </c:pt>
                <c:pt idx="152">
                  <c:v>45918</c:v>
                </c:pt>
                <c:pt idx="153">
                  <c:v>45919</c:v>
                </c:pt>
                <c:pt idx="154">
                  <c:v>45920</c:v>
                </c:pt>
                <c:pt idx="155">
                  <c:v>45921</c:v>
                </c:pt>
                <c:pt idx="156">
                  <c:v>45922</c:v>
                </c:pt>
                <c:pt idx="157">
                  <c:v>45923</c:v>
                </c:pt>
                <c:pt idx="158">
                  <c:v>45924</c:v>
                </c:pt>
                <c:pt idx="159">
                  <c:v>45925</c:v>
                </c:pt>
                <c:pt idx="160">
                  <c:v>45926</c:v>
                </c:pt>
                <c:pt idx="161">
                  <c:v>45927</c:v>
                </c:pt>
                <c:pt idx="162">
                  <c:v>45928</c:v>
                </c:pt>
                <c:pt idx="163">
                  <c:v>45929</c:v>
                </c:pt>
                <c:pt idx="164">
                  <c:v>45930</c:v>
                </c:pt>
                <c:pt idx="165">
                  <c:v>45931</c:v>
                </c:pt>
                <c:pt idx="166">
                  <c:v>45932</c:v>
                </c:pt>
                <c:pt idx="167">
                  <c:v>45933</c:v>
                </c:pt>
                <c:pt idx="168">
                  <c:v>45934</c:v>
                </c:pt>
                <c:pt idx="169">
                  <c:v>45935</c:v>
                </c:pt>
                <c:pt idx="170">
                  <c:v>45936</c:v>
                </c:pt>
                <c:pt idx="171">
                  <c:v>45937</c:v>
                </c:pt>
                <c:pt idx="172">
                  <c:v>45938</c:v>
                </c:pt>
                <c:pt idx="173">
                  <c:v>45939</c:v>
                </c:pt>
                <c:pt idx="174">
                  <c:v>45940</c:v>
                </c:pt>
                <c:pt idx="175">
                  <c:v>45941</c:v>
                </c:pt>
                <c:pt idx="176">
                  <c:v>45942</c:v>
                </c:pt>
                <c:pt idx="177">
                  <c:v>45943</c:v>
                </c:pt>
                <c:pt idx="178">
                  <c:v>45944</c:v>
                </c:pt>
                <c:pt idx="179">
                  <c:v>45945</c:v>
                </c:pt>
                <c:pt idx="180">
                  <c:v>45946</c:v>
                </c:pt>
                <c:pt idx="181">
                  <c:v>45947</c:v>
                </c:pt>
                <c:pt idx="182">
                  <c:v>45948</c:v>
                </c:pt>
                <c:pt idx="183">
                  <c:v>45949</c:v>
                </c:pt>
                <c:pt idx="184">
                  <c:v>45950</c:v>
                </c:pt>
                <c:pt idx="185">
                  <c:v>45951</c:v>
                </c:pt>
                <c:pt idx="186">
                  <c:v>45952</c:v>
                </c:pt>
                <c:pt idx="187">
                  <c:v>45953</c:v>
                </c:pt>
                <c:pt idx="188">
                  <c:v>45954</c:v>
                </c:pt>
                <c:pt idx="189">
                  <c:v>45955</c:v>
                </c:pt>
                <c:pt idx="190">
                  <c:v>45956</c:v>
                </c:pt>
                <c:pt idx="191">
                  <c:v>45957</c:v>
                </c:pt>
                <c:pt idx="192">
                  <c:v>45958</c:v>
                </c:pt>
                <c:pt idx="193">
                  <c:v>45960</c:v>
                </c:pt>
                <c:pt idx="194">
                  <c:v>45961</c:v>
                </c:pt>
                <c:pt idx="195">
                  <c:v>45962</c:v>
                </c:pt>
                <c:pt idx="196">
                  <c:v>45962</c:v>
                </c:pt>
                <c:pt idx="197">
                  <c:v>45963</c:v>
                </c:pt>
                <c:pt idx="198">
                  <c:v>45964</c:v>
                </c:pt>
                <c:pt idx="199">
                  <c:v>45965</c:v>
                </c:pt>
                <c:pt idx="200">
                  <c:v>45966</c:v>
                </c:pt>
                <c:pt idx="201">
                  <c:v>45967</c:v>
                </c:pt>
                <c:pt idx="202">
                  <c:v>45968</c:v>
                </c:pt>
                <c:pt idx="203">
                  <c:v>45969</c:v>
                </c:pt>
                <c:pt idx="204">
                  <c:v>45970</c:v>
                </c:pt>
                <c:pt idx="205">
                  <c:v>45971</c:v>
                </c:pt>
                <c:pt idx="206">
                  <c:v>45972</c:v>
                </c:pt>
                <c:pt idx="207">
                  <c:v>45973</c:v>
                </c:pt>
                <c:pt idx="208">
                  <c:v>45974</c:v>
                </c:pt>
                <c:pt idx="209">
                  <c:v>45975</c:v>
                </c:pt>
                <c:pt idx="210">
                  <c:v>45976</c:v>
                </c:pt>
                <c:pt idx="211">
                  <c:v>45977</c:v>
                </c:pt>
                <c:pt idx="212">
                  <c:v>45978</c:v>
                </c:pt>
                <c:pt idx="213">
                  <c:v>45979</c:v>
                </c:pt>
                <c:pt idx="214">
                  <c:v>45980</c:v>
                </c:pt>
                <c:pt idx="215">
                  <c:v>45981</c:v>
                </c:pt>
                <c:pt idx="216">
                  <c:v>45982</c:v>
                </c:pt>
                <c:pt idx="217">
                  <c:v>45983</c:v>
                </c:pt>
                <c:pt idx="218">
                  <c:v>45984</c:v>
                </c:pt>
                <c:pt idx="219">
                  <c:v>45985</c:v>
                </c:pt>
                <c:pt idx="220">
                  <c:v>45986</c:v>
                </c:pt>
                <c:pt idx="221">
                  <c:v>45987</c:v>
                </c:pt>
                <c:pt idx="222">
                  <c:v>45988</c:v>
                </c:pt>
                <c:pt idx="223">
                  <c:v>45989</c:v>
                </c:pt>
                <c:pt idx="224">
                  <c:v>45990</c:v>
                </c:pt>
                <c:pt idx="225">
                  <c:v>45991</c:v>
                </c:pt>
                <c:pt idx="226">
                  <c:v>45992</c:v>
                </c:pt>
                <c:pt idx="227">
                  <c:v>45993</c:v>
                </c:pt>
                <c:pt idx="228">
                  <c:v>45994</c:v>
                </c:pt>
                <c:pt idx="229">
                  <c:v>45995</c:v>
                </c:pt>
                <c:pt idx="230">
                  <c:v>45996</c:v>
                </c:pt>
                <c:pt idx="231">
                  <c:v>45997</c:v>
                </c:pt>
                <c:pt idx="232">
                  <c:v>45998</c:v>
                </c:pt>
                <c:pt idx="233">
                  <c:v>45999</c:v>
                </c:pt>
                <c:pt idx="234">
                  <c:v>46000</c:v>
                </c:pt>
                <c:pt idx="235">
                  <c:v>46001</c:v>
                </c:pt>
                <c:pt idx="236">
                  <c:v>46002</c:v>
                </c:pt>
                <c:pt idx="237">
                  <c:v>46003</c:v>
                </c:pt>
                <c:pt idx="238">
                  <c:v>46004</c:v>
                </c:pt>
                <c:pt idx="239">
                  <c:v>46005</c:v>
                </c:pt>
                <c:pt idx="240">
                  <c:v>46006</c:v>
                </c:pt>
                <c:pt idx="241">
                  <c:v>46007</c:v>
                </c:pt>
                <c:pt idx="242">
                  <c:v>46008</c:v>
                </c:pt>
                <c:pt idx="243">
                  <c:v>46009</c:v>
                </c:pt>
                <c:pt idx="244">
                  <c:v>46010</c:v>
                </c:pt>
                <c:pt idx="245">
                  <c:v>46011</c:v>
                </c:pt>
                <c:pt idx="246">
                  <c:v>46012</c:v>
                </c:pt>
                <c:pt idx="247">
                  <c:v>46013</c:v>
                </c:pt>
                <c:pt idx="248">
                  <c:v>46014</c:v>
                </c:pt>
                <c:pt idx="249">
                  <c:v>46015</c:v>
                </c:pt>
                <c:pt idx="250">
                  <c:v>46016</c:v>
                </c:pt>
                <c:pt idx="251">
                  <c:v>46017</c:v>
                </c:pt>
                <c:pt idx="252">
                  <c:v>46018</c:v>
                </c:pt>
                <c:pt idx="253">
                  <c:v>46019</c:v>
                </c:pt>
                <c:pt idx="254">
                  <c:v>46020</c:v>
                </c:pt>
                <c:pt idx="255">
                  <c:v>46021</c:v>
                </c:pt>
                <c:pt idx="256">
                  <c:v>46022</c:v>
                </c:pt>
                <c:pt idx="257">
                  <c:v>46023</c:v>
                </c:pt>
                <c:pt idx="258">
                  <c:v>46024</c:v>
                </c:pt>
                <c:pt idx="259">
                  <c:v>46025</c:v>
                </c:pt>
                <c:pt idx="260">
                  <c:v>46026</c:v>
                </c:pt>
                <c:pt idx="261">
                  <c:v>46027</c:v>
                </c:pt>
                <c:pt idx="262">
                  <c:v>46028</c:v>
                </c:pt>
                <c:pt idx="263">
                  <c:v>46029</c:v>
                </c:pt>
                <c:pt idx="264">
                  <c:v>46030</c:v>
                </c:pt>
                <c:pt idx="265">
                  <c:v>46031</c:v>
                </c:pt>
                <c:pt idx="266">
                  <c:v>46032</c:v>
                </c:pt>
                <c:pt idx="267">
                  <c:v>46033</c:v>
                </c:pt>
                <c:pt idx="268">
                  <c:v>46034</c:v>
                </c:pt>
                <c:pt idx="269">
                  <c:v>46035</c:v>
                </c:pt>
                <c:pt idx="270">
                  <c:v>46036</c:v>
                </c:pt>
                <c:pt idx="271">
                  <c:v>46037</c:v>
                </c:pt>
                <c:pt idx="272">
                  <c:v>46038</c:v>
                </c:pt>
                <c:pt idx="273">
                  <c:v>46039</c:v>
                </c:pt>
                <c:pt idx="274">
                  <c:v>46040</c:v>
                </c:pt>
                <c:pt idx="275">
                  <c:v>46041</c:v>
                </c:pt>
                <c:pt idx="276">
                  <c:v>46042</c:v>
                </c:pt>
                <c:pt idx="277">
                  <c:v>46043</c:v>
                </c:pt>
                <c:pt idx="278">
                  <c:v>46044</c:v>
                </c:pt>
                <c:pt idx="279">
                  <c:v>46045</c:v>
                </c:pt>
                <c:pt idx="280">
                  <c:v>46046</c:v>
                </c:pt>
                <c:pt idx="281">
                  <c:v>46047</c:v>
                </c:pt>
                <c:pt idx="282">
                  <c:v>46048</c:v>
                </c:pt>
                <c:pt idx="283">
                  <c:v>46049</c:v>
                </c:pt>
                <c:pt idx="284">
                  <c:v>46050</c:v>
                </c:pt>
                <c:pt idx="285">
                  <c:v>46051</c:v>
                </c:pt>
                <c:pt idx="286">
                  <c:v>46052</c:v>
                </c:pt>
                <c:pt idx="287">
                  <c:v>46053</c:v>
                </c:pt>
                <c:pt idx="288">
                  <c:v>46054</c:v>
                </c:pt>
                <c:pt idx="289">
                  <c:v>46055</c:v>
                </c:pt>
                <c:pt idx="290">
                  <c:v>46056</c:v>
                </c:pt>
                <c:pt idx="291">
                  <c:v>46057</c:v>
                </c:pt>
                <c:pt idx="292">
                  <c:v>46058</c:v>
                </c:pt>
                <c:pt idx="293">
                  <c:v>46059</c:v>
                </c:pt>
                <c:pt idx="294">
                  <c:v>46060</c:v>
                </c:pt>
                <c:pt idx="295">
                  <c:v>46061</c:v>
                </c:pt>
                <c:pt idx="296">
                  <c:v>46062</c:v>
                </c:pt>
                <c:pt idx="297">
                  <c:v>46063</c:v>
                </c:pt>
                <c:pt idx="298">
                  <c:v>46064</c:v>
                </c:pt>
                <c:pt idx="299">
                  <c:v>46065</c:v>
                </c:pt>
                <c:pt idx="300">
                  <c:v>46066</c:v>
                </c:pt>
                <c:pt idx="301">
                  <c:v>46067</c:v>
                </c:pt>
                <c:pt idx="302">
                  <c:v>46068</c:v>
                </c:pt>
                <c:pt idx="303">
                  <c:v>46069</c:v>
                </c:pt>
                <c:pt idx="304">
                  <c:v>46070</c:v>
                </c:pt>
                <c:pt idx="305">
                  <c:v>46071</c:v>
                </c:pt>
                <c:pt idx="306">
                  <c:v>46072</c:v>
                </c:pt>
                <c:pt idx="307">
                  <c:v>46073</c:v>
                </c:pt>
                <c:pt idx="308">
                  <c:v>46074</c:v>
                </c:pt>
                <c:pt idx="309">
                  <c:v>46075</c:v>
                </c:pt>
                <c:pt idx="310">
                  <c:v>46076</c:v>
                </c:pt>
                <c:pt idx="311">
                  <c:v>46077</c:v>
                </c:pt>
                <c:pt idx="312">
                  <c:v>46078</c:v>
                </c:pt>
                <c:pt idx="313">
                  <c:v>46079</c:v>
                </c:pt>
                <c:pt idx="314">
                  <c:v>46080</c:v>
                </c:pt>
                <c:pt idx="315">
                  <c:v>46081</c:v>
                </c:pt>
                <c:pt idx="316">
                  <c:v>46082</c:v>
                </c:pt>
                <c:pt idx="317">
                  <c:v>46083</c:v>
                </c:pt>
                <c:pt idx="318">
                  <c:v>46084</c:v>
                </c:pt>
                <c:pt idx="319">
                  <c:v>46085</c:v>
                </c:pt>
                <c:pt idx="320">
                  <c:v>46086</c:v>
                </c:pt>
                <c:pt idx="321">
                  <c:v>46087</c:v>
                </c:pt>
                <c:pt idx="322">
                  <c:v>46088</c:v>
                </c:pt>
                <c:pt idx="323">
                  <c:v>46089</c:v>
                </c:pt>
                <c:pt idx="324">
                  <c:v>46090</c:v>
                </c:pt>
                <c:pt idx="325">
                  <c:v>46091</c:v>
                </c:pt>
                <c:pt idx="326">
                  <c:v>46092</c:v>
                </c:pt>
                <c:pt idx="327">
                  <c:v>46093</c:v>
                </c:pt>
                <c:pt idx="328">
                  <c:v>46094</c:v>
                </c:pt>
                <c:pt idx="329">
                  <c:v>46095</c:v>
                </c:pt>
                <c:pt idx="330">
                  <c:v>46096</c:v>
                </c:pt>
                <c:pt idx="331">
                  <c:v>46097</c:v>
                </c:pt>
                <c:pt idx="332">
                  <c:v>46098</c:v>
                </c:pt>
                <c:pt idx="333">
                  <c:v>46099</c:v>
                </c:pt>
                <c:pt idx="334">
                  <c:v>46100</c:v>
                </c:pt>
                <c:pt idx="335">
                  <c:v>46101</c:v>
                </c:pt>
                <c:pt idx="336">
                  <c:v>46102</c:v>
                </c:pt>
                <c:pt idx="337">
                  <c:v>46103</c:v>
                </c:pt>
                <c:pt idx="338">
                  <c:v>46104</c:v>
                </c:pt>
                <c:pt idx="339">
                  <c:v>46105</c:v>
                </c:pt>
                <c:pt idx="340">
                  <c:v>46106</c:v>
                </c:pt>
                <c:pt idx="341">
                  <c:v>46107</c:v>
                </c:pt>
                <c:pt idx="342">
                  <c:v>46108</c:v>
                </c:pt>
                <c:pt idx="343">
                  <c:v>46109</c:v>
                </c:pt>
                <c:pt idx="344">
                  <c:v>46110</c:v>
                </c:pt>
                <c:pt idx="345">
                  <c:v>46111</c:v>
                </c:pt>
                <c:pt idx="346">
                  <c:v>46112</c:v>
                </c:pt>
                <c:pt idx="347">
                  <c:v>46113</c:v>
                </c:pt>
                <c:pt idx="348">
                  <c:v>46114</c:v>
                </c:pt>
                <c:pt idx="349">
                  <c:v>46115</c:v>
                </c:pt>
                <c:pt idx="350">
                  <c:v>46116</c:v>
                </c:pt>
                <c:pt idx="351">
                  <c:v>46117</c:v>
                </c:pt>
                <c:pt idx="352">
                  <c:v>46118</c:v>
                </c:pt>
                <c:pt idx="353">
                  <c:v>46119</c:v>
                </c:pt>
                <c:pt idx="354">
                  <c:v>46120</c:v>
                </c:pt>
                <c:pt idx="355">
                  <c:v>46121</c:v>
                </c:pt>
                <c:pt idx="356">
                  <c:v>46122</c:v>
                </c:pt>
                <c:pt idx="357">
                  <c:v>46123</c:v>
                </c:pt>
                <c:pt idx="358">
                  <c:v>46124</c:v>
                </c:pt>
                <c:pt idx="359">
                  <c:v>46125</c:v>
                </c:pt>
                <c:pt idx="360">
                  <c:v>46126</c:v>
                </c:pt>
                <c:pt idx="361">
                  <c:v>46127</c:v>
                </c:pt>
                <c:pt idx="362">
                  <c:v>46128</c:v>
                </c:pt>
                <c:pt idx="363">
                  <c:v>46129</c:v>
                </c:pt>
                <c:pt idx="364">
                  <c:v>46130</c:v>
                </c:pt>
                <c:pt idx="365">
                  <c:v>46131</c:v>
                </c:pt>
                <c:pt idx="366">
                  <c:v>46132</c:v>
                </c:pt>
                <c:pt idx="367">
                  <c:v>46133</c:v>
                </c:pt>
                <c:pt idx="368">
                  <c:v>46134</c:v>
                </c:pt>
                <c:pt idx="369">
                  <c:v>46135</c:v>
                </c:pt>
                <c:pt idx="370">
                  <c:v>46136</c:v>
                </c:pt>
                <c:pt idx="371">
                  <c:v>46137</c:v>
                </c:pt>
                <c:pt idx="372">
                  <c:v>46138</c:v>
                </c:pt>
                <c:pt idx="373">
                  <c:v>46139</c:v>
                </c:pt>
                <c:pt idx="374">
                  <c:v>46140</c:v>
                </c:pt>
                <c:pt idx="375">
                  <c:v>46141</c:v>
                </c:pt>
                <c:pt idx="376">
                  <c:v>46142</c:v>
                </c:pt>
                <c:pt idx="377">
                  <c:v>46143</c:v>
                </c:pt>
                <c:pt idx="378">
                  <c:v>46144</c:v>
                </c:pt>
                <c:pt idx="379">
                  <c:v>46145</c:v>
                </c:pt>
                <c:pt idx="380">
                  <c:v>46146</c:v>
                </c:pt>
                <c:pt idx="381">
                  <c:v>46147</c:v>
                </c:pt>
                <c:pt idx="382">
                  <c:v>46148</c:v>
                </c:pt>
                <c:pt idx="383">
                  <c:v>46149</c:v>
                </c:pt>
                <c:pt idx="384">
                  <c:v>46150</c:v>
                </c:pt>
                <c:pt idx="385">
                  <c:v>46151</c:v>
                </c:pt>
                <c:pt idx="386">
                  <c:v>46152</c:v>
                </c:pt>
                <c:pt idx="387">
                  <c:v>46153</c:v>
                </c:pt>
                <c:pt idx="388">
                  <c:v>46154</c:v>
                </c:pt>
                <c:pt idx="389">
                  <c:v>46155</c:v>
                </c:pt>
                <c:pt idx="390">
                  <c:v>46156</c:v>
                </c:pt>
                <c:pt idx="391">
                  <c:v>46157</c:v>
                </c:pt>
                <c:pt idx="392">
                  <c:v>46158</c:v>
                </c:pt>
                <c:pt idx="393">
                  <c:v>46159</c:v>
                </c:pt>
                <c:pt idx="394">
                  <c:v>46160</c:v>
                </c:pt>
                <c:pt idx="395">
                  <c:v>46161</c:v>
                </c:pt>
                <c:pt idx="396">
                  <c:v>46162</c:v>
                </c:pt>
                <c:pt idx="397">
                  <c:v>46163</c:v>
                </c:pt>
                <c:pt idx="398">
                  <c:v>46164</c:v>
                </c:pt>
                <c:pt idx="399">
                  <c:v>46165</c:v>
                </c:pt>
                <c:pt idx="400">
                  <c:v>46166</c:v>
                </c:pt>
                <c:pt idx="401">
                  <c:v>46167</c:v>
                </c:pt>
                <c:pt idx="402">
                  <c:v>46168</c:v>
                </c:pt>
                <c:pt idx="403">
                  <c:v>46169</c:v>
                </c:pt>
                <c:pt idx="404">
                  <c:v>46170</c:v>
                </c:pt>
                <c:pt idx="405">
                  <c:v>46171</c:v>
                </c:pt>
                <c:pt idx="406">
                  <c:v>46172</c:v>
                </c:pt>
                <c:pt idx="407">
                  <c:v>46173</c:v>
                </c:pt>
                <c:pt idx="408">
                  <c:v>46174</c:v>
                </c:pt>
                <c:pt idx="409">
                  <c:v>46175</c:v>
                </c:pt>
                <c:pt idx="410">
                  <c:v>46176</c:v>
                </c:pt>
                <c:pt idx="411">
                  <c:v>46177</c:v>
                </c:pt>
                <c:pt idx="412">
                  <c:v>46178</c:v>
                </c:pt>
                <c:pt idx="413">
                  <c:v>46179</c:v>
                </c:pt>
                <c:pt idx="414">
                  <c:v>46180</c:v>
                </c:pt>
                <c:pt idx="415">
                  <c:v>46181</c:v>
                </c:pt>
                <c:pt idx="416">
                  <c:v>46182</c:v>
                </c:pt>
                <c:pt idx="417">
                  <c:v>46183</c:v>
                </c:pt>
                <c:pt idx="418">
                  <c:v>46184</c:v>
                </c:pt>
                <c:pt idx="419">
                  <c:v>46185</c:v>
                </c:pt>
                <c:pt idx="420">
                  <c:v>46186</c:v>
                </c:pt>
                <c:pt idx="421">
                  <c:v>46187</c:v>
                </c:pt>
                <c:pt idx="422">
                  <c:v>46188</c:v>
                </c:pt>
                <c:pt idx="423">
                  <c:v>46189</c:v>
                </c:pt>
                <c:pt idx="424">
                  <c:v>46190</c:v>
                </c:pt>
                <c:pt idx="425">
                  <c:v>46191</c:v>
                </c:pt>
                <c:pt idx="426">
                  <c:v>46192</c:v>
                </c:pt>
                <c:pt idx="427">
                  <c:v>46193</c:v>
                </c:pt>
                <c:pt idx="428">
                  <c:v>46194</c:v>
                </c:pt>
                <c:pt idx="429">
                  <c:v>46195</c:v>
                </c:pt>
                <c:pt idx="430">
                  <c:v>46196</c:v>
                </c:pt>
                <c:pt idx="431">
                  <c:v>46197</c:v>
                </c:pt>
                <c:pt idx="432">
                  <c:v>46198</c:v>
                </c:pt>
                <c:pt idx="433">
                  <c:v>46199</c:v>
                </c:pt>
                <c:pt idx="434">
                  <c:v>46200</c:v>
                </c:pt>
                <c:pt idx="435">
                  <c:v>46201</c:v>
                </c:pt>
                <c:pt idx="436">
                  <c:v>46202</c:v>
                </c:pt>
                <c:pt idx="437">
                  <c:v>46203</c:v>
                </c:pt>
                <c:pt idx="438">
                  <c:v>46204</c:v>
                </c:pt>
                <c:pt idx="439">
                  <c:v>46205</c:v>
                </c:pt>
                <c:pt idx="440">
                  <c:v>46206</c:v>
                </c:pt>
                <c:pt idx="441">
                  <c:v>46207</c:v>
                </c:pt>
                <c:pt idx="442">
                  <c:v>46208</c:v>
                </c:pt>
                <c:pt idx="443">
                  <c:v>46209</c:v>
                </c:pt>
                <c:pt idx="444">
                  <c:v>46210</c:v>
                </c:pt>
                <c:pt idx="445">
                  <c:v>46211</c:v>
                </c:pt>
                <c:pt idx="446">
                  <c:v>46212</c:v>
                </c:pt>
                <c:pt idx="447">
                  <c:v>46213</c:v>
                </c:pt>
                <c:pt idx="448">
                  <c:v>46214</c:v>
                </c:pt>
                <c:pt idx="449">
                  <c:v>46215</c:v>
                </c:pt>
                <c:pt idx="450">
                  <c:v>46216</c:v>
                </c:pt>
                <c:pt idx="451">
                  <c:v>46217</c:v>
                </c:pt>
                <c:pt idx="452">
                  <c:v>46218</c:v>
                </c:pt>
                <c:pt idx="453">
                  <c:v>46219</c:v>
                </c:pt>
                <c:pt idx="454">
                  <c:v>46220</c:v>
                </c:pt>
                <c:pt idx="455">
                  <c:v>46221</c:v>
                </c:pt>
                <c:pt idx="456">
                  <c:v>46222</c:v>
                </c:pt>
                <c:pt idx="457">
                  <c:v>46223</c:v>
                </c:pt>
                <c:pt idx="458">
                  <c:v>46224</c:v>
                </c:pt>
                <c:pt idx="459">
                  <c:v>46225</c:v>
                </c:pt>
                <c:pt idx="460">
                  <c:v>46226</c:v>
                </c:pt>
                <c:pt idx="461">
                  <c:v>46227</c:v>
                </c:pt>
                <c:pt idx="462">
                  <c:v>46228</c:v>
                </c:pt>
                <c:pt idx="463">
                  <c:v>46229</c:v>
                </c:pt>
                <c:pt idx="464">
                  <c:v>46230</c:v>
                </c:pt>
                <c:pt idx="465">
                  <c:v>46231</c:v>
                </c:pt>
                <c:pt idx="466">
                  <c:v>46232</c:v>
                </c:pt>
                <c:pt idx="467">
                  <c:v>46233</c:v>
                </c:pt>
                <c:pt idx="468">
                  <c:v>46234</c:v>
                </c:pt>
                <c:pt idx="469">
                  <c:v>46235</c:v>
                </c:pt>
                <c:pt idx="470">
                  <c:v>46236</c:v>
                </c:pt>
                <c:pt idx="471">
                  <c:v>46237</c:v>
                </c:pt>
                <c:pt idx="472">
                  <c:v>46238</c:v>
                </c:pt>
                <c:pt idx="473">
                  <c:v>46239</c:v>
                </c:pt>
                <c:pt idx="474">
                  <c:v>46240</c:v>
                </c:pt>
                <c:pt idx="475">
                  <c:v>46241</c:v>
                </c:pt>
                <c:pt idx="476">
                  <c:v>46242</c:v>
                </c:pt>
                <c:pt idx="477">
                  <c:v>46243</c:v>
                </c:pt>
              </c:numCache>
            </c:numRef>
          </c:cat>
          <c:val>
            <c:numRef>
              <c:f>Trends!$E$16:$E$493</c:f>
              <c:numCache>
                <c:formatCode>General</c:formatCode>
                <c:ptCount val="478"/>
                <c:pt idx="0">
                  <c:v>4210</c:v>
                </c:pt>
                <c:pt idx="1">
                  <c:v>4210</c:v>
                </c:pt>
                <c:pt idx="2">
                  <c:v>4319</c:v>
                </c:pt>
                <c:pt idx="3">
                  <c:v>4370</c:v>
                </c:pt>
                <c:pt idx="4">
                  <c:v>4210</c:v>
                </c:pt>
                <c:pt idx="5">
                  <c:v>4260</c:v>
                </c:pt>
                <c:pt idx="6">
                  <c:v>4195</c:v>
                </c:pt>
                <c:pt idx="7">
                  <c:v>4229</c:v>
                </c:pt>
                <c:pt idx="8">
                  <c:v>4229</c:v>
                </c:pt>
                <c:pt idx="9">
                  <c:v>4208</c:v>
                </c:pt>
                <c:pt idx="10">
                  <c:v>4225</c:v>
                </c:pt>
                <c:pt idx="11">
                  <c:v>4208</c:v>
                </c:pt>
                <c:pt idx="12">
                  <c:v>4115</c:v>
                </c:pt>
                <c:pt idx="13">
                  <c:v>4160</c:v>
                </c:pt>
                <c:pt idx="14">
                  <c:v>4135</c:v>
                </c:pt>
                <c:pt idx="15">
                  <c:v>4135</c:v>
                </c:pt>
                <c:pt idx="16">
                  <c:v>4228</c:v>
                </c:pt>
                <c:pt idx="17">
                  <c:v>4312</c:v>
                </c:pt>
                <c:pt idx="18">
                  <c:v>4312</c:v>
                </c:pt>
                <c:pt idx="19">
                  <c:v>4280</c:v>
                </c:pt>
                <c:pt idx="20">
                  <c:v>4275</c:v>
                </c:pt>
                <c:pt idx="21">
                  <c:v>4258</c:v>
                </c:pt>
                <c:pt idx="22">
                  <c:v>4258</c:v>
                </c:pt>
                <c:pt idx="23">
                  <c:v>4150</c:v>
                </c:pt>
                <c:pt idx="24">
                  <c:v>4180</c:v>
                </c:pt>
                <c:pt idx="25">
                  <c:v>4105</c:v>
                </c:pt>
                <c:pt idx="26">
                  <c:v>4130</c:v>
                </c:pt>
                <c:pt idx="27">
                  <c:v>4135</c:v>
                </c:pt>
                <c:pt idx="28">
                  <c:v>4169</c:v>
                </c:pt>
                <c:pt idx="29">
                  <c:v>4169</c:v>
                </c:pt>
                <c:pt idx="30">
                  <c:v>4210</c:v>
                </c:pt>
                <c:pt idx="31">
                  <c:v>4210</c:v>
                </c:pt>
                <c:pt idx="32">
                  <c:v>4243</c:v>
                </c:pt>
                <c:pt idx="33">
                  <c:v>4240</c:v>
                </c:pt>
                <c:pt idx="34">
                  <c:v>4295</c:v>
                </c:pt>
                <c:pt idx="35">
                  <c:v>4295</c:v>
                </c:pt>
                <c:pt idx="36">
                  <c:v>4295</c:v>
                </c:pt>
                <c:pt idx="37">
                  <c:v>4248</c:v>
                </c:pt>
                <c:pt idx="38">
                  <c:v>4207</c:v>
                </c:pt>
                <c:pt idx="39">
                  <c:v>4240</c:v>
                </c:pt>
                <c:pt idx="40">
                  <c:v>4235</c:v>
                </c:pt>
                <c:pt idx="41">
                  <c:v>4230</c:v>
                </c:pt>
                <c:pt idx="42">
                  <c:v>4230</c:v>
                </c:pt>
                <c:pt idx="43">
                  <c:v>4230</c:v>
                </c:pt>
                <c:pt idx="44">
                  <c:v>4270</c:v>
                </c:pt>
                <c:pt idx="45">
                  <c:v>4270</c:v>
                </c:pt>
                <c:pt idx="46">
                  <c:v>4325</c:v>
                </c:pt>
                <c:pt idx="47">
                  <c:v>4366</c:v>
                </c:pt>
                <c:pt idx="48">
                  <c:v>4366</c:v>
                </c:pt>
                <c:pt idx="49">
                  <c:v>4366</c:v>
                </c:pt>
                <c:pt idx="50">
                  <c:v>4366</c:v>
                </c:pt>
                <c:pt idx="51">
                  <c:v>4366</c:v>
                </c:pt>
                <c:pt idx="52">
                  <c:v>4280</c:v>
                </c:pt>
                <c:pt idx="53">
                  <c:v>4282</c:v>
                </c:pt>
                <c:pt idx="54">
                  <c:v>4365</c:v>
                </c:pt>
                <c:pt idx="55">
                  <c:v>4445</c:v>
                </c:pt>
                <c:pt idx="56">
                  <c:v>4445</c:v>
                </c:pt>
                <c:pt idx="57">
                  <c:v>4445</c:v>
                </c:pt>
                <c:pt idx="58">
                  <c:v>4403</c:v>
                </c:pt>
                <c:pt idx="59">
                  <c:v>4410</c:v>
                </c:pt>
                <c:pt idx="60">
                  <c:v>4392</c:v>
                </c:pt>
                <c:pt idx="61">
                  <c:v>4392</c:v>
                </c:pt>
                <c:pt idx="62">
                  <c:v>4400</c:v>
                </c:pt>
                <c:pt idx="63">
                  <c:v>4400</c:v>
                </c:pt>
                <c:pt idx="64">
                  <c:v>4400</c:v>
                </c:pt>
                <c:pt idx="65">
                  <c:v>4415</c:v>
                </c:pt>
                <c:pt idx="66">
                  <c:v>4295</c:v>
                </c:pt>
                <c:pt idx="67">
                  <c:v>4320</c:v>
                </c:pt>
                <c:pt idx="68">
                  <c:v>4310</c:v>
                </c:pt>
                <c:pt idx="69">
                  <c:v>4275</c:v>
                </c:pt>
                <c:pt idx="70">
                  <c:v>4280</c:v>
                </c:pt>
                <c:pt idx="71">
                  <c:v>4280</c:v>
                </c:pt>
                <c:pt idx="72">
                  <c:v>4260</c:v>
                </c:pt>
                <c:pt idx="73">
                  <c:v>4340</c:v>
                </c:pt>
                <c:pt idx="74">
                  <c:v>4340</c:v>
                </c:pt>
                <c:pt idx="75">
                  <c:v>4335</c:v>
                </c:pt>
                <c:pt idx="76">
                  <c:v>4310</c:v>
                </c:pt>
                <c:pt idx="77">
                  <c:v>4310</c:v>
                </c:pt>
                <c:pt idx="78">
                  <c:v>4310</c:v>
                </c:pt>
                <c:pt idx="79">
                  <c:v>4320</c:v>
                </c:pt>
                <c:pt idx="80">
                  <c:v>4305</c:v>
                </c:pt>
                <c:pt idx="81">
                  <c:v>4330</c:v>
                </c:pt>
                <c:pt idx="82">
                  <c:v>4330</c:v>
                </c:pt>
                <c:pt idx="83">
                  <c:v>4370</c:v>
                </c:pt>
                <c:pt idx="84">
                  <c:v>4344.72</c:v>
                </c:pt>
                <c:pt idx="85">
                  <c:v>4344.72</c:v>
                </c:pt>
                <c:pt idx="86">
                  <c:v>4340</c:v>
                </c:pt>
                <c:pt idx="87">
                  <c:v>4350</c:v>
                </c:pt>
                <c:pt idx="88">
                  <c:v>4400</c:v>
                </c:pt>
                <c:pt idx="89">
                  <c:v>4365</c:v>
                </c:pt>
                <c:pt idx="90">
                  <c:v>4385</c:v>
                </c:pt>
                <c:pt idx="91">
                  <c:v>4385</c:v>
                </c:pt>
                <c:pt idx="92">
                  <c:v>4385</c:v>
                </c:pt>
                <c:pt idx="93">
                  <c:v>4425</c:v>
                </c:pt>
                <c:pt idx="94">
                  <c:v>4480</c:v>
                </c:pt>
                <c:pt idx="95">
                  <c:v>4500</c:v>
                </c:pt>
                <c:pt idx="96">
                  <c:v>4450</c:v>
                </c:pt>
                <c:pt idx="97">
                  <c:v>4410</c:v>
                </c:pt>
                <c:pt idx="98">
                  <c:v>4410</c:v>
                </c:pt>
                <c:pt idx="99">
                  <c:v>4410</c:v>
                </c:pt>
                <c:pt idx="100">
                  <c:v>4380</c:v>
                </c:pt>
                <c:pt idx="101">
                  <c:v>4400</c:v>
                </c:pt>
                <c:pt idx="102">
                  <c:v>4370</c:v>
                </c:pt>
                <c:pt idx="103">
                  <c:v>4380</c:v>
                </c:pt>
                <c:pt idx="104">
                  <c:v>4430</c:v>
                </c:pt>
                <c:pt idx="105">
                  <c:v>4441</c:v>
                </c:pt>
                <c:pt idx="106">
                  <c:v>4441</c:v>
                </c:pt>
                <c:pt idx="107">
                  <c:v>4460</c:v>
                </c:pt>
                <c:pt idx="108">
                  <c:v>4455</c:v>
                </c:pt>
                <c:pt idx="109">
                  <c:v>4465</c:v>
                </c:pt>
                <c:pt idx="110">
                  <c:v>4480</c:v>
                </c:pt>
                <c:pt idx="111">
                  <c:v>4490</c:v>
                </c:pt>
                <c:pt idx="112">
                  <c:v>4490</c:v>
                </c:pt>
                <c:pt idx="113">
                  <c:v>4490</c:v>
                </c:pt>
                <c:pt idx="114">
                  <c:v>4450</c:v>
                </c:pt>
                <c:pt idx="115">
                  <c:v>4450</c:v>
                </c:pt>
                <c:pt idx="116">
                  <c:v>4475</c:v>
                </c:pt>
                <c:pt idx="117">
                  <c:v>4460</c:v>
                </c:pt>
                <c:pt idx="118">
                  <c:v>4470</c:v>
                </c:pt>
                <c:pt idx="119">
                  <c:v>4470</c:v>
                </c:pt>
                <c:pt idx="120">
                  <c:v>4470</c:v>
                </c:pt>
                <c:pt idx="121">
                  <c:v>4470</c:v>
                </c:pt>
                <c:pt idx="122">
                  <c:v>4455</c:v>
                </c:pt>
                <c:pt idx="123">
                  <c:v>4470</c:v>
                </c:pt>
                <c:pt idx="124">
                  <c:v>4460</c:v>
                </c:pt>
                <c:pt idx="125">
                  <c:v>4520</c:v>
                </c:pt>
                <c:pt idx="126">
                  <c:v>4500</c:v>
                </c:pt>
                <c:pt idx="127">
                  <c:v>4500</c:v>
                </c:pt>
                <c:pt idx="128">
                  <c:v>4495</c:v>
                </c:pt>
                <c:pt idx="129">
                  <c:v>4495</c:v>
                </c:pt>
                <c:pt idx="130">
                  <c:v>4510</c:v>
                </c:pt>
                <c:pt idx="131">
                  <c:v>4540</c:v>
                </c:pt>
                <c:pt idx="132">
                  <c:v>4600</c:v>
                </c:pt>
                <c:pt idx="133">
                  <c:v>4600</c:v>
                </c:pt>
                <c:pt idx="134">
                  <c:v>4600</c:v>
                </c:pt>
                <c:pt idx="135">
                  <c:v>4625</c:v>
                </c:pt>
                <c:pt idx="136">
                  <c:v>4695</c:v>
                </c:pt>
                <c:pt idx="137">
                  <c:v>4780</c:v>
                </c:pt>
                <c:pt idx="138">
                  <c:v>4770</c:v>
                </c:pt>
                <c:pt idx="139">
                  <c:v>4850</c:v>
                </c:pt>
                <c:pt idx="140">
                  <c:v>4840</c:v>
                </c:pt>
                <c:pt idx="141">
                  <c:v>4840</c:v>
                </c:pt>
                <c:pt idx="142">
                  <c:v>4940</c:v>
                </c:pt>
                <c:pt idx="143">
                  <c:v>4970</c:v>
                </c:pt>
                <c:pt idx="144">
                  <c:v>4970</c:v>
                </c:pt>
                <c:pt idx="145">
                  <c:v>4970</c:v>
                </c:pt>
                <c:pt idx="146">
                  <c:v>4982</c:v>
                </c:pt>
                <c:pt idx="147">
                  <c:v>4975</c:v>
                </c:pt>
                <c:pt idx="148">
                  <c:v>4975</c:v>
                </c:pt>
                <c:pt idx="149">
                  <c:v>4995</c:v>
                </c:pt>
                <c:pt idx="150">
                  <c:v>5070</c:v>
                </c:pt>
                <c:pt idx="151">
                  <c:v>5050</c:v>
                </c:pt>
                <c:pt idx="152">
                  <c:v>5030</c:v>
                </c:pt>
                <c:pt idx="153">
                  <c:v>5050</c:v>
                </c:pt>
                <c:pt idx="154">
                  <c:v>5060</c:v>
                </c:pt>
                <c:pt idx="155">
                  <c:v>5060</c:v>
                </c:pt>
                <c:pt idx="156">
                  <c:v>5125</c:v>
                </c:pt>
                <c:pt idx="157">
                  <c:v>5240</c:v>
                </c:pt>
                <c:pt idx="158">
                  <c:v>5210</c:v>
                </c:pt>
                <c:pt idx="159">
                  <c:v>5200</c:v>
                </c:pt>
                <c:pt idx="160">
                  <c:v>5250</c:v>
                </c:pt>
                <c:pt idx="161">
                  <c:v>5250</c:v>
                </c:pt>
                <c:pt idx="162">
                  <c:v>5250</c:v>
                </c:pt>
                <c:pt idx="163">
                  <c:v>5265</c:v>
                </c:pt>
                <c:pt idx="164">
                  <c:v>5310</c:v>
                </c:pt>
                <c:pt idx="165">
                  <c:v>5360</c:v>
                </c:pt>
                <c:pt idx="166">
                  <c:v>5410</c:v>
                </c:pt>
                <c:pt idx="167">
                  <c:v>5430</c:v>
                </c:pt>
                <c:pt idx="168">
                  <c:v>5430</c:v>
                </c:pt>
                <c:pt idx="169">
                  <c:v>5430</c:v>
                </c:pt>
                <c:pt idx="170">
                  <c:v>5550</c:v>
                </c:pt>
                <c:pt idx="171">
                  <c:v>5680</c:v>
                </c:pt>
                <c:pt idx="172">
                  <c:v>5860</c:v>
                </c:pt>
                <c:pt idx="173">
                  <c:v>5780</c:v>
                </c:pt>
                <c:pt idx="174">
                  <c:v>5690</c:v>
                </c:pt>
                <c:pt idx="175">
                  <c:v>5730</c:v>
                </c:pt>
                <c:pt idx="176">
                  <c:v>5730</c:v>
                </c:pt>
                <c:pt idx="177">
                  <c:v>5770</c:v>
                </c:pt>
                <c:pt idx="178">
                  <c:v>5792</c:v>
                </c:pt>
                <c:pt idx="179">
                  <c:v>5930</c:v>
                </c:pt>
                <c:pt idx="180">
                  <c:v>6150</c:v>
                </c:pt>
                <c:pt idx="181">
                  <c:v>6320</c:v>
                </c:pt>
                <c:pt idx="182">
                  <c:v>6210</c:v>
                </c:pt>
                <c:pt idx="183">
                  <c:v>6210</c:v>
                </c:pt>
                <c:pt idx="184">
                  <c:v>6290</c:v>
                </c:pt>
                <c:pt idx="185">
                  <c:v>6150</c:v>
                </c:pt>
                <c:pt idx="186">
                  <c:v>5910</c:v>
                </c:pt>
                <c:pt idx="187">
                  <c:v>5990</c:v>
                </c:pt>
                <c:pt idx="188">
                  <c:v>6020</c:v>
                </c:pt>
                <c:pt idx="189">
                  <c:v>6020</c:v>
                </c:pt>
                <c:pt idx="190">
                  <c:v>6020</c:v>
                </c:pt>
                <c:pt idx="191">
                  <c:v>5790</c:v>
                </c:pt>
                <c:pt idx="192">
                  <c:v>5699</c:v>
                </c:pt>
                <c:pt idx="193">
                  <c:v>5699</c:v>
                </c:pt>
                <c:pt idx="194">
                  <c:v>5739</c:v>
                </c:pt>
                <c:pt idx="195">
                  <c:v>5753</c:v>
                </c:pt>
                <c:pt idx="196">
                  <c:v>5700</c:v>
                </c:pt>
                <c:pt idx="197">
                  <c:v>5700</c:v>
                </c:pt>
                <c:pt idx="198">
                  <c:v>5690</c:v>
                </c:pt>
                <c:pt idx="199">
                  <c:v>5635</c:v>
                </c:pt>
                <c:pt idx="200">
                  <c:v>5608</c:v>
                </c:pt>
                <c:pt idx="201">
                  <c:v>5670</c:v>
                </c:pt>
                <c:pt idx="202">
                  <c:v>5434.09</c:v>
                </c:pt>
                <c:pt idx="203">
                  <c:v>5434.09</c:v>
                </c:pt>
                <c:pt idx="204">
                  <c:v>5434.09</c:v>
                </c:pt>
                <c:pt idx="205">
                  <c:v>5583.18</c:v>
                </c:pt>
                <c:pt idx="206">
                  <c:v>5606.29</c:v>
                </c:pt>
                <c:pt idx="207">
                  <c:v>5698.19</c:v>
                </c:pt>
                <c:pt idx="208">
                  <c:v>5656.47</c:v>
                </c:pt>
                <c:pt idx="209">
                  <c:v>5551.47</c:v>
                </c:pt>
                <c:pt idx="210">
                  <c:v>5551.47</c:v>
                </c:pt>
                <c:pt idx="211">
                  <c:v>5551.47</c:v>
                </c:pt>
                <c:pt idx="212">
                  <c:v>5496.24</c:v>
                </c:pt>
                <c:pt idx="213">
                  <c:v>5538.52</c:v>
                </c:pt>
                <c:pt idx="214">
                  <c:v>5550.69</c:v>
                </c:pt>
                <c:pt idx="215">
                  <c:v>5553.67</c:v>
                </c:pt>
                <c:pt idx="216">
                  <c:v>5552.1</c:v>
                </c:pt>
                <c:pt idx="217">
                  <c:v>5552.1</c:v>
                </c:pt>
                <c:pt idx="218">
                  <c:v>5552.1</c:v>
                </c:pt>
                <c:pt idx="219">
                  <c:v>5636.99</c:v>
                </c:pt>
                <c:pt idx="220">
                  <c:v>5635.23</c:v>
                </c:pt>
                <c:pt idx="221">
                  <c:v>5682.5</c:v>
                </c:pt>
                <c:pt idx="222">
                  <c:v>5675.48</c:v>
                </c:pt>
                <c:pt idx="223">
                  <c:v>5763.55</c:v>
                </c:pt>
                <c:pt idx="224">
                  <c:v>5763.55</c:v>
                </c:pt>
                <c:pt idx="225">
                  <c:v>5763.55</c:v>
                </c:pt>
                <c:pt idx="226">
                  <c:v>5781.31</c:v>
                </c:pt>
                <c:pt idx="227">
                  <c:v>5745.87</c:v>
                </c:pt>
                <c:pt idx="228">
                  <c:v>5740.46</c:v>
                </c:pt>
                <c:pt idx="229">
                  <c:v>5753</c:v>
                </c:pt>
                <c:pt idx="230">
                  <c:v>5746.23</c:v>
                </c:pt>
                <c:pt idx="231">
                  <c:v>5746.23</c:v>
                </c:pt>
                <c:pt idx="232">
                  <c:v>5746.23</c:v>
                </c:pt>
                <c:pt idx="233">
                  <c:v>5736.97</c:v>
                </c:pt>
                <c:pt idx="234">
                  <c:v>5768.24</c:v>
                </c:pt>
                <c:pt idx="235">
                  <c:v>5793.26</c:v>
                </c:pt>
                <c:pt idx="236">
                  <c:v>5856.86</c:v>
                </c:pt>
                <c:pt idx="237">
                  <c:v>5902.25</c:v>
                </c:pt>
                <c:pt idx="238">
                  <c:v>5902.25</c:v>
                </c:pt>
                <c:pt idx="239">
                  <c:v>5902.25</c:v>
                </c:pt>
                <c:pt idx="240">
                  <c:v>5909.27</c:v>
                </c:pt>
                <c:pt idx="241">
                  <c:v>5909.09</c:v>
                </c:pt>
                <c:pt idx="242">
                  <c:v>5963.43</c:v>
                </c:pt>
                <c:pt idx="243">
                  <c:v>5955.57</c:v>
                </c:pt>
                <c:pt idx="244">
                  <c:v>5972.23</c:v>
                </c:pt>
                <c:pt idx="245">
                  <c:v>5972.23</c:v>
                </c:pt>
                <c:pt idx="246">
                  <c:v>5972.23</c:v>
                </c:pt>
                <c:pt idx="247">
                  <c:v>6110.33</c:v>
                </c:pt>
                <c:pt idx="248">
                  <c:v>6192.84</c:v>
                </c:pt>
                <c:pt idx="249">
                  <c:v>6170.59</c:v>
                </c:pt>
                <c:pt idx="250">
                  <c:v>6170.88</c:v>
                </c:pt>
                <c:pt idx="251">
                  <c:v>6250.52</c:v>
                </c:pt>
                <c:pt idx="252">
                  <c:v>6250.52</c:v>
                </c:pt>
                <c:pt idx="253">
                  <c:v>6250.52</c:v>
                </c:pt>
                <c:pt idx="254">
                  <c:v>5982.56</c:v>
                </c:pt>
                <c:pt idx="255">
                  <c:v>5992.28</c:v>
                </c:pt>
                <c:pt idx="256">
                  <c:v>5953.31</c:v>
                </c:pt>
                <c:pt idx="257">
                  <c:v>5966.21</c:v>
                </c:pt>
                <c:pt idx="258">
                  <c:v>5991.88</c:v>
                </c:pt>
                <c:pt idx="259">
                  <c:v>5991.88</c:v>
                </c:pt>
                <c:pt idx="260">
                  <c:v>5991.88</c:v>
                </c:pt>
                <c:pt idx="261">
                  <c:v>6147.49</c:v>
                </c:pt>
                <c:pt idx="262">
                  <c:v>6217.38</c:v>
                </c:pt>
                <c:pt idx="263">
                  <c:v>6159.22</c:v>
                </c:pt>
                <c:pt idx="264">
                  <c:v>6194.83</c:v>
                </c:pt>
                <c:pt idx="265">
                  <c:v>6251.35</c:v>
                </c:pt>
                <c:pt idx="266">
                  <c:v>6251.35</c:v>
                </c:pt>
                <c:pt idx="267">
                  <c:v>6251.35</c:v>
                </c:pt>
                <c:pt idx="268">
                  <c:v>6367.5</c:v>
                </c:pt>
                <c:pt idx="269">
                  <c:v>6363.38</c:v>
                </c:pt>
                <c:pt idx="270">
                  <c:v>6430.96</c:v>
                </c:pt>
                <c:pt idx="271">
                  <c:v>6394.96</c:v>
                </c:pt>
                <c:pt idx="272">
                  <c:v>6375.38</c:v>
                </c:pt>
                <c:pt idx="273">
                  <c:v>6375.38</c:v>
                </c:pt>
                <c:pt idx="274">
                  <c:v>6375.38</c:v>
                </c:pt>
                <c:pt idx="275">
                  <c:v>6496.42</c:v>
                </c:pt>
                <c:pt idx="276">
                  <c:v>6617.3</c:v>
                </c:pt>
                <c:pt idx="277">
                  <c:v>6719.15</c:v>
                </c:pt>
                <c:pt idx="278">
                  <c:v>6837.89</c:v>
                </c:pt>
                <c:pt idx="279">
                  <c:v>6945.51</c:v>
                </c:pt>
                <c:pt idx="280">
                  <c:v>6945.51</c:v>
                </c:pt>
                <c:pt idx="281">
                  <c:v>6945.51</c:v>
                </c:pt>
                <c:pt idx="282">
                  <c:v>7046.5</c:v>
                </c:pt>
                <c:pt idx="283">
                  <c:v>7227.4</c:v>
                </c:pt>
                <c:pt idx="284">
                  <c:v>7502.59</c:v>
                </c:pt>
                <c:pt idx="285">
                  <c:v>7530.65</c:v>
                </c:pt>
                <c:pt idx="286">
                  <c:v>6788.96</c:v>
                </c:pt>
                <c:pt idx="287">
                  <c:v>6788.96</c:v>
                </c:pt>
                <c:pt idx="288">
                  <c:v>6788.96</c:v>
                </c:pt>
                <c:pt idx="289">
                  <c:v>6505.95</c:v>
                </c:pt>
                <c:pt idx="290">
                  <c:v>6908.3</c:v>
                </c:pt>
                <c:pt idx="291">
                  <c:v>6908.64</c:v>
                </c:pt>
                <c:pt idx="292">
                  <c:v>6732.52</c:v>
                </c:pt>
                <c:pt idx="293">
                  <c:v>6943.53</c:v>
                </c:pt>
                <c:pt idx="294">
                  <c:v>6943.53</c:v>
                </c:pt>
                <c:pt idx="295">
                  <c:v>6943.53</c:v>
                </c:pt>
                <c:pt idx="296">
                  <c:v>7119.1</c:v>
                </c:pt>
                <c:pt idx="297">
                  <c:v>7057.71</c:v>
                </c:pt>
                <c:pt idx="298">
                  <c:v>7138.95</c:v>
                </c:pt>
                <c:pt idx="299">
                  <c:v>6899.16</c:v>
                </c:pt>
                <c:pt idx="300">
                  <c:v>7075.98</c:v>
                </c:pt>
                <c:pt idx="301">
                  <c:v>7075.98</c:v>
                </c:pt>
                <c:pt idx="302">
                  <c:v>7075.98</c:v>
                </c:pt>
                <c:pt idx="303">
                  <c:v>7015.72</c:v>
                </c:pt>
                <c:pt idx="304">
                  <c:v>6858.06</c:v>
                </c:pt>
                <c:pt idx="305">
                  <c:v>7012.47</c:v>
                </c:pt>
                <c:pt idx="306">
                  <c:v>7037.44</c:v>
                </c:pt>
                <c:pt idx="307">
                  <c:v>7183.04</c:v>
                </c:pt>
                <c:pt idx="308">
                  <c:v>7183.04</c:v>
                </c:pt>
                <c:pt idx="309">
                  <c:v>7183.04</c:v>
                </c:pt>
                <c:pt idx="310">
                  <c:v>7380.25</c:v>
                </c:pt>
                <c:pt idx="311">
                  <c:v>7280.17</c:v>
                </c:pt>
                <c:pt idx="312">
                  <c:v>7266.74</c:v>
                </c:pt>
                <c:pt idx="313">
                  <c:v>7332.73</c:v>
                </c:pt>
                <c:pt idx="314">
                  <c:v>7435.91</c:v>
                </c:pt>
                <c:pt idx="315">
                  <c:v>7435.91</c:v>
                </c:pt>
                <c:pt idx="316">
                  <c:v>7435.91</c:v>
                </c:pt>
                <c:pt idx="317">
                  <c:v>7535.65</c:v>
                </c:pt>
                <c:pt idx="318">
                  <c:v>7208.2</c:v>
                </c:pt>
                <c:pt idx="319">
                  <c:v>7258.69</c:v>
                </c:pt>
                <c:pt idx="320">
                  <c:v>7181.99</c:v>
                </c:pt>
                <c:pt idx="321">
                  <c:v>7301.96</c:v>
                </c:pt>
                <c:pt idx="322">
                  <c:v>7301.96</c:v>
                </c:pt>
                <c:pt idx="323">
                  <c:v>7301.96</c:v>
                </c:pt>
                <c:pt idx="324">
                  <c:v>7276.39</c:v>
                </c:pt>
                <c:pt idx="325">
                  <c:v>7355.56</c:v>
                </c:pt>
                <c:pt idx="326">
                  <c:v>7336.37</c:v>
                </c:pt>
                <c:pt idx="327">
                  <c:v>7206.33</c:v>
                </c:pt>
                <c:pt idx="328">
                  <c:v>7136.03</c:v>
                </c:pt>
                <c:pt idx="329">
                  <c:v>7136.03</c:v>
                </c:pt>
                <c:pt idx="330">
                  <c:v>7136.03</c:v>
                </c:pt>
                <c:pt idx="331">
                  <c:v>7109.17</c:v>
                </c:pt>
                <c:pt idx="332">
                  <c:v>7113.06</c:v>
                </c:pt>
                <c:pt idx="333">
                  <c:v>6849.31</c:v>
                </c:pt>
                <c:pt idx="334">
                  <c:v>6621.92</c:v>
                </c:pt>
                <c:pt idx="335">
                  <c:v>6406.8</c:v>
                </c:pt>
                <c:pt idx="336">
                  <c:v>6406.8</c:v>
                </c:pt>
                <c:pt idx="337">
                  <c:v>6406.8</c:v>
                </c:pt>
                <c:pt idx="338">
                  <c:v>6277.88</c:v>
                </c:pt>
                <c:pt idx="339">
                  <c:v>6377.14</c:v>
                </c:pt>
                <c:pt idx="340">
                  <c:v>6425.38</c:v>
                </c:pt>
                <c:pt idx="341">
                  <c:v>6243.8</c:v>
                </c:pt>
                <c:pt idx="342">
                  <c:v>6418.21</c:v>
                </c:pt>
                <c:pt idx="343">
                  <c:v>6418.21</c:v>
                </c:pt>
                <c:pt idx="344">
                  <c:v>6418.21</c:v>
                </c:pt>
                <c:pt idx="345">
                  <c:v>6446.16</c:v>
                </c:pt>
                <c:pt idx="346">
                  <c:v>6673.09</c:v>
                </c:pt>
                <c:pt idx="347">
                  <c:v>6803.48</c:v>
                </c:pt>
                <c:pt idx="348">
                  <c:v>6686.5</c:v>
                </c:pt>
                <c:pt idx="349">
                  <c:v>6704.43</c:v>
                </c:pt>
                <c:pt idx="350">
                  <c:v>6704.43</c:v>
                </c:pt>
                <c:pt idx="351">
                  <c:v>6704.43</c:v>
                </c:pt>
                <c:pt idx="352">
                  <c:v>6661.62</c:v>
                </c:pt>
                <c:pt idx="353">
                  <c:v>6750.9</c:v>
                </c:pt>
                <c:pt idx="354">
                  <c:v>6755.24</c:v>
                </c:pt>
                <c:pt idx="355">
                  <c:v>6830.6</c:v>
                </c:pt>
                <c:pt idx="356">
                  <c:v>6812.73</c:v>
                </c:pt>
                <c:pt idx="357">
                  <c:v>6812.73</c:v>
                </c:pt>
                <c:pt idx="358">
                  <c:v>6812.73</c:v>
                </c:pt>
                <c:pt idx="359">
                  <c:v>6812.74</c:v>
                </c:pt>
                <c:pt idx="360">
                  <c:v>6961.33</c:v>
                </c:pt>
                <c:pt idx="361">
                  <c:v>6892.49</c:v>
                </c:pt>
                <c:pt idx="362">
                  <c:v>6891.84</c:v>
                </c:pt>
                <c:pt idx="363">
                  <c:v>6966.26</c:v>
                </c:pt>
                <c:pt idx="364">
                  <c:v>6966.26</c:v>
                </c:pt>
                <c:pt idx="365">
                  <c:v>6966.26</c:v>
                </c:pt>
                <c:pt idx="366">
                  <c:v>6953.68</c:v>
                </c:pt>
                <c:pt idx="367">
                  <c:v>6810.98</c:v>
                </c:pt>
                <c:pt idx="368">
                  <c:v>6845.46</c:v>
                </c:pt>
                <c:pt idx="369">
                  <c:v>6779.37</c:v>
                </c:pt>
                <c:pt idx="370">
                  <c:v>6815.04</c:v>
                </c:pt>
                <c:pt idx="371">
                  <c:v>6815.04</c:v>
                </c:pt>
                <c:pt idx="372">
                  <c:v>6815.04</c:v>
                </c:pt>
                <c:pt idx="373">
                  <c:v>6780.22</c:v>
                </c:pt>
                <c:pt idx="374">
                  <c:v>6656.37</c:v>
                </c:pt>
                <c:pt idx="375">
                  <c:v>6591.35</c:v>
                </c:pt>
                <c:pt idx="376">
                  <c:v>6715.58</c:v>
                </c:pt>
                <c:pt idx="377">
                  <c:v>6703.28</c:v>
                </c:pt>
                <c:pt idx="378">
                  <c:v>6703.28</c:v>
                </c:pt>
                <c:pt idx="379">
                  <c:v>6703.28</c:v>
                </c:pt>
                <c:pt idx="380">
                  <c:v>6571.29</c:v>
                </c:pt>
                <c:pt idx="381">
                  <c:v>6624.31</c:v>
                </c:pt>
                <c:pt idx="382">
                  <c:v>6819.81</c:v>
                </c:pt>
                <c:pt idx="383">
                  <c:v>6816.09</c:v>
                </c:pt>
                <c:pt idx="384">
                  <c:v>6875.62</c:v>
                </c:pt>
                <c:pt idx="385">
                  <c:v>6875.62</c:v>
                </c:pt>
                <c:pt idx="386">
                  <c:v>6875.62</c:v>
                </c:pt>
                <c:pt idx="387">
                  <c:v>6906.3</c:v>
                </c:pt>
                <c:pt idx="388">
                  <c:v>6880.92</c:v>
                </c:pt>
                <c:pt idx="389">
                  <c:v>6847.66</c:v>
                </c:pt>
                <c:pt idx="390">
                  <c:v>6793.88</c:v>
                </c:pt>
                <c:pt idx="391">
                  <c:v>6644.89</c:v>
                </c:pt>
                <c:pt idx="392">
                  <c:v>6644.89</c:v>
                </c:pt>
                <c:pt idx="393">
                  <c:v>6644.89</c:v>
                </c:pt>
                <c:pt idx="394">
                  <c:v>6691.79</c:v>
                </c:pt>
                <c:pt idx="395">
                  <c:v>6568.74</c:v>
                </c:pt>
                <c:pt idx="396">
                  <c:v>6660.33</c:v>
                </c:pt>
                <c:pt idx="397">
                  <c:v>6659.23</c:v>
                </c:pt>
                <c:pt idx="398">
                  <c:v>6630.84</c:v>
                </c:pt>
                <c:pt idx="399">
                  <c:v>6630.84</c:v>
                </c:pt>
                <c:pt idx="400">
                  <c:v>6630.84</c:v>
                </c:pt>
                <c:pt idx="401">
                  <c:v>6717.48</c:v>
                </c:pt>
                <c:pt idx="402">
                  <c:v>6649.8</c:v>
                </c:pt>
                <c:pt idx="403">
                  <c:v>6577.76</c:v>
                </c:pt>
                <c:pt idx="404">
                  <c:v>6631.44</c:v>
                </c:pt>
                <c:pt idx="405">
                  <c:v>6687.67</c:v>
                </c:pt>
                <c:pt idx="406">
                  <c:v>6687.67</c:v>
                </c:pt>
                <c:pt idx="407">
                  <c:v>6687.67</c:v>
                </c:pt>
                <c:pt idx="408">
                  <c:v>6619.34</c:v>
                </c:pt>
                <c:pt idx="409">
                  <c:v>6630.89</c:v>
                </c:pt>
                <c:pt idx="410">
                  <c:v>6554.05</c:v>
                </c:pt>
                <c:pt idx="411">
                  <c:v>6623.02</c:v>
                </c:pt>
                <c:pt idx="412">
                  <c:v>6409.16</c:v>
                </c:pt>
                <c:pt idx="413">
                  <c:v>6409.16</c:v>
                </c:pt>
                <c:pt idx="414">
                  <c:v>6409.16</c:v>
                </c:pt>
                <c:pt idx="415">
                  <c:v>6421.59</c:v>
                </c:pt>
                <c:pt idx="416">
                  <c:v>6319.02</c:v>
                </c:pt>
                <c:pt idx="417">
                  <c:v>6038.95</c:v>
                </c:pt>
                <c:pt idx="418">
                  <c:v>6257.78</c:v>
                </c:pt>
                <c:pt idx="419">
                  <c:v>6277.08</c:v>
                </c:pt>
                <c:pt idx="420">
                  <c:v>6277.08</c:v>
                </c:pt>
                <c:pt idx="421">
                  <c:v>6277.08</c:v>
                </c:pt>
                <c:pt idx="422">
                  <c:v>6414.2</c:v>
                </c:pt>
                <c:pt idx="423">
                  <c:v>6446.83</c:v>
                </c:pt>
                <c:pt idx="424">
                  <c:v>6345.04</c:v>
                </c:pt>
                <c:pt idx="425">
                  <c:v>6287.11</c:v>
                </c:pt>
                <c:pt idx="426">
                  <c:v>6205.5</c:v>
                </c:pt>
                <c:pt idx="427">
                  <c:v>6205.5</c:v>
                </c:pt>
                <c:pt idx="428">
                  <c:v>6205.5</c:v>
                </c:pt>
                <c:pt idx="429">
                  <c:v>6262.23</c:v>
                </c:pt>
                <c:pt idx="430">
                  <c:v>6143.05</c:v>
                </c:pt>
                <c:pt idx="431">
                  <c:v>5980.23</c:v>
                </c:pt>
                <c:pt idx="432">
                  <c:v>6029.24</c:v>
                </c:pt>
                <c:pt idx="433">
                  <c:v>6130.13</c:v>
                </c:pt>
                <c:pt idx="434">
                  <c:v>6130.13</c:v>
                </c:pt>
                <c:pt idx="435">
                  <c:v>6130.13</c:v>
                </c:pt>
                <c:pt idx="436">
                  <c:v>6023.74</c:v>
                </c:pt>
                <c:pt idx="437">
                  <c:v>6011.41</c:v>
                </c:pt>
                <c:pt idx="438">
                  <c:v>6048.16</c:v>
                </c:pt>
                <c:pt idx="439">
                  <c:v>6191.65</c:v>
                </c:pt>
                <c:pt idx="440">
                  <c:v>6277.78</c:v>
                </c:pt>
                <c:pt idx="441">
                  <c:v>6277.78</c:v>
                </c:pt>
                <c:pt idx="442">
                  <c:v>6277.78</c:v>
                </c:pt>
                <c:pt idx="443">
                  <c:v>6269.71</c:v>
                </c:pt>
                <c:pt idx="444">
                  <c:v>6184.52</c:v>
                </c:pt>
                <c:pt idx="445">
                  <c:v>6136.01</c:v>
                </c:pt>
                <c:pt idx="446">
                  <c:v>6218.33</c:v>
                </c:pt>
                <c:pt idx="447">
                  <c:v>6225.55</c:v>
                </c:pt>
                <c:pt idx="448">
                  <c:v>6225.55</c:v>
                </c:pt>
                <c:pt idx="449">
                  <c:v>6225.55</c:v>
                </c:pt>
                <c:pt idx="450">
                  <c:v>6046.58</c:v>
                </c:pt>
                <c:pt idx="451">
                  <c:v>6127.33</c:v>
                </c:pt>
                <c:pt idx="452">
                  <c:v>6141.33</c:v>
                </c:pt>
                <c:pt idx="453">
                  <c:v>6021.61</c:v>
                </c:pt>
                <c:pt idx="454">
                  <c:v>6093.03</c:v>
                </c:pt>
                <c:pt idx="455">
                  <c:v>6093.03</c:v>
                </c:pt>
                <c:pt idx="456">
                  <c:v>6093.03</c:v>
                </c:pt>
                <c:pt idx="457">
                  <c:v>6079.02</c:v>
                </c:pt>
                <c:pt idx="458">
                  <c:v>6186.44</c:v>
                </c:pt>
                <c:pt idx="459">
                  <c:v>6270.48</c:v>
                </c:pt>
                <c:pt idx="460">
                  <c:v>6154.79</c:v>
                </c:pt>
                <c:pt idx="461">
                  <c:v>6168.06</c:v>
                </c:pt>
                <c:pt idx="462">
                  <c:v>6168.06</c:v>
                </c:pt>
                <c:pt idx="463">
                  <c:v>6168.06</c:v>
                </c:pt>
                <c:pt idx="464">
                  <c:v>6205.59</c:v>
                </c:pt>
                <c:pt idx="465">
                  <c:v>6137.05</c:v>
                </c:pt>
                <c:pt idx="466">
                  <c:v>6198.02</c:v>
                </c:pt>
                <c:pt idx="467">
                  <c:v>6257.53</c:v>
                </c:pt>
                <c:pt idx="468">
                  <c:v>6175.37</c:v>
                </c:pt>
                <c:pt idx="469">
                  <c:v>6175.37</c:v>
                </c:pt>
                <c:pt idx="470">
                  <c:v>6175.37</c:v>
                </c:pt>
                <c:pt idx="471">
                  <c:v>6197.07</c:v>
                </c:pt>
                <c:pt idx="472">
                  <c:v>6231.26</c:v>
                </c:pt>
                <c:pt idx="473">
                  <c:v>6496.09</c:v>
                </c:pt>
                <c:pt idx="474">
                  <c:v>6492.58</c:v>
                </c:pt>
                <c:pt idx="475">
                  <c:v>6660.82</c:v>
                </c:pt>
                <c:pt idx="476">
                  <c:v>6660.82</c:v>
                </c:pt>
                <c:pt idx="477">
                  <c:v>6660.82</c:v>
                </c:pt>
              </c:numCache>
            </c:numRef>
          </c:val>
          <c:smooth val="0"/>
          <c:extLst>
            <c:ext xmlns:c16="http://schemas.microsoft.com/office/drawing/2014/chart" uri="{C3380CC4-5D6E-409C-BE32-E72D297353CC}">
              <c16:uniqueId val="{00000000-E4C9-485D-B994-82025304F6B0}"/>
            </c:ext>
          </c:extLst>
        </c:ser>
        <c:dLbls>
          <c:showLegendKey val="0"/>
          <c:showVal val="0"/>
          <c:showCatName val="0"/>
          <c:showSerName val="0"/>
          <c:showPercent val="0"/>
          <c:showBubbleSize val="0"/>
        </c:dLbls>
        <c:smooth val="0"/>
        <c:axId val="622695088"/>
        <c:axId val="622693168"/>
      </c:lineChart>
      <c:dateAx>
        <c:axId val="622695088"/>
        <c:scaling>
          <c:orientation val="minMax"/>
          <c:max val="46387"/>
          <c:min val="45778"/>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693168"/>
        <c:crosses val="autoZero"/>
        <c:auto val="1"/>
        <c:lblOffset val="100"/>
        <c:baseTimeUnit val="days"/>
      </c:dateAx>
      <c:valAx>
        <c:axId val="622693168"/>
        <c:scaling>
          <c:orientation val="minMax"/>
          <c:min val="4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2695088"/>
        <c:crossesAt val="45766"/>
        <c:crossBetween val="between"/>
      </c:valAx>
      <c:spPr>
        <a:noFill/>
        <a:ln>
          <a:noFill/>
        </a:ln>
        <a:effectLst/>
      </c:spPr>
    </c:plotArea>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Gold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Trends!$E$15</c:f>
              <c:strCache>
                <c:ptCount val="1"/>
                <c:pt idx="0">
                  <c:v>Price</c:v>
                </c:pt>
              </c:strCache>
            </c:strRef>
          </c:tx>
          <c:spPr>
            <a:ln w="28575" cap="rnd">
              <a:solidFill>
                <a:schemeClr val="accent1"/>
              </a:solidFill>
              <a:round/>
            </a:ln>
            <a:effectLst/>
          </c:spPr>
          <c:marker>
            <c:symbol val="none"/>
          </c:marker>
          <c:cat>
            <c:numRef>
              <c:f>Trends!$D$16:$D$490</c:f>
              <c:numCache>
                <c:formatCode>m/d/yyyy</c:formatCode>
                <c:ptCount val="475"/>
                <c:pt idx="0">
                  <c:v>45766</c:v>
                </c:pt>
                <c:pt idx="1">
                  <c:v>45767</c:v>
                </c:pt>
                <c:pt idx="2">
                  <c:v>45768</c:v>
                </c:pt>
                <c:pt idx="3">
                  <c:v>45769</c:v>
                </c:pt>
                <c:pt idx="4">
                  <c:v>45770</c:v>
                </c:pt>
                <c:pt idx="5">
                  <c:v>45771</c:v>
                </c:pt>
                <c:pt idx="6">
                  <c:v>45772</c:v>
                </c:pt>
                <c:pt idx="7">
                  <c:v>45773</c:v>
                </c:pt>
                <c:pt idx="8">
                  <c:v>45774</c:v>
                </c:pt>
                <c:pt idx="9">
                  <c:v>45775</c:v>
                </c:pt>
                <c:pt idx="10">
                  <c:v>45776</c:v>
                </c:pt>
                <c:pt idx="11">
                  <c:v>45777</c:v>
                </c:pt>
                <c:pt idx="12">
                  <c:v>45778</c:v>
                </c:pt>
                <c:pt idx="13">
                  <c:v>45779</c:v>
                </c:pt>
                <c:pt idx="14">
                  <c:v>45780</c:v>
                </c:pt>
                <c:pt idx="15">
                  <c:v>45781</c:v>
                </c:pt>
                <c:pt idx="16">
                  <c:v>45782</c:v>
                </c:pt>
                <c:pt idx="17">
                  <c:v>45783</c:v>
                </c:pt>
                <c:pt idx="18">
                  <c:v>45784</c:v>
                </c:pt>
                <c:pt idx="19">
                  <c:v>45785</c:v>
                </c:pt>
                <c:pt idx="20">
                  <c:v>45786</c:v>
                </c:pt>
                <c:pt idx="21">
                  <c:v>45787</c:v>
                </c:pt>
                <c:pt idx="22">
                  <c:v>45788</c:v>
                </c:pt>
                <c:pt idx="23">
                  <c:v>45789</c:v>
                </c:pt>
                <c:pt idx="24">
                  <c:v>45790</c:v>
                </c:pt>
                <c:pt idx="25">
                  <c:v>45791</c:v>
                </c:pt>
                <c:pt idx="26">
                  <c:v>45792</c:v>
                </c:pt>
                <c:pt idx="27">
                  <c:v>45793</c:v>
                </c:pt>
                <c:pt idx="28">
                  <c:v>45794</c:v>
                </c:pt>
                <c:pt idx="29">
                  <c:v>45795</c:v>
                </c:pt>
                <c:pt idx="30">
                  <c:v>45796</c:v>
                </c:pt>
                <c:pt idx="31">
                  <c:v>45797</c:v>
                </c:pt>
                <c:pt idx="32">
                  <c:v>45798</c:v>
                </c:pt>
                <c:pt idx="33">
                  <c:v>45799</c:v>
                </c:pt>
                <c:pt idx="34">
                  <c:v>45800</c:v>
                </c:pt>
                <c:pt idx="35">
                  <c:v>45801</c:v>
                </c:pt>
                <c:pt idx="36">
                  <c:v>45802</c:v>
                </c:pt>
                <c:pt idx="37">
                  <c:v>45803</c:v>
                </c:pt>
                <c:pt idx="38">
                  <c:v>45804</c:v>
                </c:pt>
                <c:pt idx="39">
                  <c:v>45805</c:v>
                </c:pt>
                <c:pt idx="40">
                  <c:v>45806</c:v>
                </c:pt>
                <c:pt idx="41">
                  <c:v>45807</c:v>
                </c:pt>
                <c:pt idx="42">
                  <c:v>45808</c:v>
                </c:pt>
                <c:pt idx="43">
                  <c:v>45809</c:v>
                </c:pt>
                <c:pt idx="44">
                  <c:v>45810</c:v>
                </c:pt>
                <c:pt idx="45">
                  <c:v>45811</c:v>
                </c:pt>
                <c:pt idx="46">
                  <c:v>45812</c:v>
                </c:pt>
                <c:pt idx="47">
                  <c:v>45813</c:v>
                </c:pt>
                <c:pt idx="48">
                  <c:v>45814</c:v>
                </c:pt>
                <c:pt idx="49">
                  <c:v>45815</c:v>
                </c:pt>
                <c:pt idx="50">
                  <c:v>45816</c:v>
                </c:pt>
                <c:pt idx="51">
                  <c:v>45817</c:v>
                </c:pt>
                <c:pt idx="52">
                  <c:v>45818</c:v>
                </c:pt>
                <c:pt idx="53">
                  <c:v>45819</c:v>
                </c:pt>
                <c:pt idx="54">
                  <c:v>45820</c:v>
                </c:pt>
                <c:pt idx="55">
                  <c:v>45821</c:v>
                </c:pt>
                <c:pt idx="56">
                  <c:v>45822</c:v>
                </c:pt>
                <c:pt idx="57">
                  <c:v>45823</c:v>
                </c:pt>
                <c:pt idx="58">
                  <c:v>45824</c:v>
                </c:pt>
                <c:pt idx="59">
                  <c:v>45825</c:v>
                </c:pt>
                <c:pt idx="60">
                  <c:v>45826</c:v>
                </c:pt>
                <c:pt idx="61">
                  <c:v>45827</c:v>
                </c:pt>
                <c:pt idx="62">
                  <c:v>45828</c:v>
                </c:pt>
                <c:pt idx="63">
                  <c:v>45829</c:v>
                </c:pt>
                <c:pt idx="64">
                  <c:v>45830</c:v>
                </c:pt>
                <c:pt idx="65">
                  <c:v>45831</c:v>
                </c:pt>
                <c:pt idx="66">
                  <c:v>45832</c:v>
                </c:pt>
                <c:pt idx="67">
                  <c:v>45833</c:v>
                </c:pt>
                <c:pt idx="68">
                  <c:v>45834</c:v>
                </c:pt>
                <c:pt idx="69">
                  <c:v>45835</c:v>
                </c:pt>
                <c:pt idx="70">
                  <c:v>45836</c:v>
                </c:pt>
                <c:pt idx="71">
                  <c:v>45837</c:v>
                </c:pt>
                <c:pt idx="72">
                  <c:v>45838</c:v>
                </c:pt>
                <c:pt idx="73">
                  <c:v>45839</c:v>
                </c:pt>
                <c:pt idx="74">
                  <c:v>45840</c:v>
                </c:pt>
                <c:pt idx="75">
                  <c:v>45841</c:v>
                </c:pt>
                <c:pt idx="76">
                  <c:v>45842</c:v>
                </c:pt>
                <c:pt idx="77">
                  <c:v>45843</c:v>
                </c:pt>
                <c:pt idx="78">
                  <c:v>45844</c:v>
                </c:pt>
                <c:pt idx="79">
                  <c:v>45845</c:v>
                </c:pt>
                <c:pt idx="80">
                  <c:v>45846</c:v>
                </c:pt>
                <c:pt idx="81">
                  <c:v>45847</c:v>
                </c:pt>
                <c:pt idx="82">
                  <c:v>45848</c:v>
                </c:pt>
                <c:pt idx="83">
                  <c:v>45849</c:v>
                </c:pt>
                <c:pt idx="84">
                  <c:v>45850</c:v>
                </c:pt>
                <c:pt idx="85">
                  <c:v>45851</c:v>
                </c:pt>
                <c:pt idx="86">
                  <c:v>45852</c:v>
                </c:pt>
                <c:pt idx="87">
                  <c:v>45853</c:v>
                </c:pt>
                <c:pt idx="88">
                  <c:v>45854</c:v>
                </c:pt>
                <c:pt idx="89">
                  <c:v>45855</c:v>
                </c:pt>
                <c:pt idx="90">
                  <c:v>45856</c:v>
                </c:pt>
                <c:pt idx="91">
                  <c:v>45857</c:v>
                </c:pt>
                <c:pt idx="92">
                  <c:v>45858</c:v>
                </c:pt>
                <c:pt idx="93">
                  <c:v>45859</c:v>
                </c:pt>
                <c:pt idx="94">
                  <c:v>45860</c:v>
                </c:pt>
                <c:pt idx="95">
                  <c:v>45861</c:v>
                </c:pt>
                <c:pt idx="96">
                  <c:v>45862</c:v>
                </c:pt>
                <c:pt idx="97">
                  <c:v>45863</c:v>
                </c:pt>
                <c:pt idx="98">
                  <c:v>45864</c:v>
                </c:pt>
                <c:pt idx="99">
                  <c:v>45865</c:v>
                </c:pt>
                <c:pt idx="100">
                  <c:v>45866</c:v>
                </c:pt>
                <c:pt idx="101">
                  <c:v>45867</c:v>
                </c:pt>
                <c:pt idx="102">
                  <c:v>45868</c:v>
                </c:pt>
                <c:pt idx="103">
                  <c:v>45869</c:v>
                </c:pt>
                <c:pt idx="104">
                  <c:v>45870</c:v>
                </c:pt>
                <c:pt idx="105">
                  <c:v>45871</c:v>
                </c:pt>
                <c:pt idx="106">
                  <c:v>45872</c:v>
                </c:pt>
                <c:pt idx="107">
                  <c:v>45873</c:v>
                </c:pt>
                <c:pt idx="108">
                  <c:v>45874</c:v>
                </c:pt>
                <c:pt idx="109">
                  <c:v>45875</c:v>
                </c:pt>
                <c:pt idx="110">
                  <c:v>45876</c:v>
                </c:pt>
                <c:pt idx="111">
                  <c:v>45877</c:v>
                </c:pt>
                <c:pt idx="112">
                  <c:v>45878</c:v>
                </c:pt>
                <c:pt idx="113">
                  <c:v>45879</c:v>
                </c:pt>
                <c:pt idx="114">
                  <c:v>45880</c:v>
                </c:pt>
                <c:pt idx="115">
                  <c:v>45881</c:v>
                </c:pt>
                <c:pt idx="116">
                  <c:v>45882</c:v>
                </c:pt>
                <c:pt idx="117">
                  <c:v>45883</c:v>
                </c:pt>
                <c:pt idx="118">
                  <c:v>45884</c:v>
                </c:pt>
                <c:pt idx="119">
                  <c:v>45885</c:v>
                </c:pt>
                <c:pt idx="120">
                  <c:v>45886</c:v>
                </c:pt>
                <c:pt idx="121">
                  <c:v>45887</c:v>
                </c:pt>
                <c:pt idx="122">
                  <c:v>45888</c:v>
                </c:pt>
                <c:pt idx="123">
                  <c:v>45889</c:v>
                </c:pt>
                <c:pt idx="124">
                  <c:v>45890</c:v>
                </c:pt>
                <c:pt idx="125">
                  <c:v>45891</c:v>
                </c:pt>
                <c:pt idx="126">
                  <c:v>45892</c:v>
                </c:pt>
                <c:pt idx="127">
                  <c:v>45893</c:v>
                </c:pt>
                <c:pt idx="128">
                  <c:v>45894</c:v>
                </c:pt>
                <c:pt idx="129">
                  <c:v>45895</c:v>
                </c:pt>
                <c:pt idx="130">
                  <c:v>45896</c:v>
                </c:pt>
                <c:pt idx="131">
                  <c:v>45897</c:v>
                </c:pt>
                <c:pt idx="132">
                  <c:v>45898</c:v>
                </c:pt>
                <c:pt idx="133">
                  <c:v>45899</c:v>
                </c:pt>
                <c:pt idx="134">
                  <c:v>45900</c:v>
                </c:pt>
                <c:pt idx="135">
                  <c:v>45901</c:v>
                </c:pt>
                <c:pt idx="136">
                  <c:v>45902</c:v>
                </c:pt>
                <c:pt idx="137">
                  <c:v>45903</c:v>
                </c:pt>
                <c:pt idx="138">
                  <c:v>45904</c:v>
                </c:pt>
                <c:pt idx="139">
                  <c:v>45905</c:v>
                </c:pt>
                <c:pt idx="140">
                  <c:v>45906</c:v>
                </c:pt>
                <c:pt idx="141">
                  <c:v>45907</c:v>
                </c:pt>
                <c:pt idx="142">
                  <c:v>45908</c:v>
                </c:pt>
                <c:pt idx="143">
                  <c:v>45909</c:v>
                </c:pt>
                <c:pt idx="144">
                  <c:v>45910</c:v>
                </c:pt>
                <c:pt idx="145">
                  <c:v>45911</c:v>
                </c:pt>
                <c:pt idx="146">
                  <c:v>45912</c:v>
                </c:pt>
                <c:pt idx="147">
                  <c:v>45913</c:v>
                </c:pt>
                <c:pt idx="148">
                  <c:v>45914</c:v>
                </c:pt>
                <c:pt idx="149">
                  <c:v>45915</c:v>
                </c:pt>
                <c:pt idx="150">
                  <c:v>45916</c:v>
                </c:pt>
                <c:pt idx="151">
                  <c:v>45917</c:v>
                </c:pt>
                <c:pt idx="152">
                  <c:v>45918</c:v>
                </c:pt>
                <c:pt idx="153">
                  <c:v>45919</c:v>
                </c:pt>
                <c:pt idx="154">
                  <c:v>45920</c:v>
                </c:pt>
                <c:pt idx="155">
                  <c:v>45921</c:v>
                </c:pt>
                <c:pt idx="156">
                  <c:v>45922</c:v>
                </c:pt>
                <c:pt idx="157">
                  <c:v>45923</c:v>
                </c:pt>
                <c:pt idx="158">
                  <c:v>45924</c:v>
                </c:pt>
                <c:pt idx="159">
                  <c:v>45925</c:v>
                </c:pt>
                <c:pt idx="160">
                  <c:v>45926</c:v>
                </c:pt>
                <c:pt idx="161">
                  <c:v>45927</c:v>
                </c:pt>
                <c:pt idx="162">
                  <c:v>45928</c:v>
                </c:pt>
                <c:pt idx="163">
                  <c:v>45929</c:v>
                </c:pt>
                <c:pt idx="164">
                  <c:v>45930</c:v>
                </c:pt>
                <c:pt idx="165">
                  <c:v>45931</c:v>
                </c:pt>
                <c:pt idx="166">
                  <c:v>45932</c:v>
                </c:pt>
                <c:pt idx="167">
                  <c:v>45933</c:v>
                </c:pt>
                <c:pt idx="168">
                  <c:v>45934</c:v>
                </c:pt>
                <c:pt idx="169">
                  <c:v>45935</c:v>
                </c:pt>
                <c:pt idx="170">
                  <c:v>45936</c:v>
                </c:pt>
                <c:pt idx="171">
                  <c:v>45937</c:v>
                </c:pt>
                <c:pt idx="172">
                  <c:v>45938</c:v>
                </c:pt>
                <c:pt idx="173">
                  <c:v>45939</c:v>
                </c:pt>
                <c:pt idx="174">
                  <c:v>45940</c:v>
                </c:pt>
                <c:pt idx="175">
                  <c:v>45941</c:v>
                </c:pt>
                <c:pt idx="176">
                  <c:v>45942</c:v>
                </c:pt>
                <c:pt idx="177">
                  <c:v>45943</c:v>
                </c:pt>
                <c:pt idx="178">
                  <c:v>45944</c:v>
                </c:pt>
                <c:pt idx="179">
                  <c:v>45945</c:v>
                </c:pt>
                <c:pt idx="180">
                  <c:v>45946</c:v>
                </c:pt>
                <c:pt idx="181">
                  <c:v>45947</c:v>
                </c:pt>
                <c:pt idx="182">
                  <c:v>45948</c:v>
                </c:pt>
                <c:pt idx="183">
                  <c:v>45949</c:v>
                </c:pt>
                <c:pt idx="184">
                  <c:v>45950</c:v>
                </c:pt>
                <c:pt idx="185">
                  <c:v>45951</c:v>
                </c:pt>
                <c:pt idx="186">
                  <c:v>45952</c:v>
                </c:pt>
                <c:pt idx="187">
                  <c:v>45953</c:v>
                </c:pt>
                <c:pt idx="188">
                  <c:v>45954</c:v>
                </c:pt>
                <c:pt idx="189">
                  <c:v>45955</c:v>
                </c:pt>
                <c:pt idx="190">
                  <c:v>45956</c:v>
                </c:pt>
                <c:pt idx="191">
                  <c:v>45957</c:v>
                </c:pt>
                <c:pt idx="192">
                  <c:v>45958</c:v>
                </c:pt>
                <c:pt idx="193">
                  <c:v>45960</c:v>
                </c:pt>
                <c:pt idx="194">
                  <c:v>45961</c:v>
                </c:pt>
                <c:pt idx="195">
                  <c:v>45962</c:v>
                </c:pt>
                <c:pt idx="196">
                  <c:v>45962</c:v>
                </c:pt>
                <c:pt idx="197">
                  <c:v>45963</c:v>
                </c:pt>
                <c:pt idx="198">
                  <c:v>45964</c:v>
                </c:pt>
                <c:pt idx="199">
                  <c:v>45965</c:v>
                </c:pt>
                <c:pt idx="200">
                  <c:v>45966</c:v>
                </c:pt>
                <c:pt idx="201">
                  <c:v>45967</c:v>
                </c:pt>
                <c:pt idx="202">
                  <c:v>45968</c:v>
                </c:pt>
                <c:pt idx="203">
                  <c:v>45969</c:v>
                </c:pt>
                <c:pt idx="204">
                  <c:v>45970</c:v>
                </c:pt>
                <c:pt idx="205">
                  <c:v>45971</c:v>
                </c:pt>
                <c:pt idx="206">
                  <c:v>45972</c:v>
                </c:pt>
                <c:pt idx="207">
                  <c:v>45973</c:v>
                </c:pt>
                <c:pt idx="208">
                  <c:v>45974</c:v>
                </c:pt>
                <c:pt idx="209">
                  <c:v>45975</c:v>
                </c:pt>
                <c:pt idx="210">
                  <c:v>45976</c:v>
                </c:pt>
                <c:pt idx="211">
                  <c:v>45977</c:v>
                </c:pt>
                <c:pt idx="212">
                  <c:v>45978</c:v>
                </c:pt>
                <c:pt idx="213">
                  <c:v>45979</c:v>
                </c:pt>
                <c:pt idx="214">
                  <c:v>45980</c:v>
                </c:pt>
                <c:pt idx="215">
                  <c:v>45981</c:v>
                </c:pt>
                <c:pt idx="216">
                  <c:v>45982</c:v>
                </c:pt>
                <c:pt idx="217">
                  <c:v>45983</c:v>
                </c:pt>
                <c:pt idx="218">
                  <c:v>45984</c:v>
                </c:pt>
                <c:pt idx="219">
                  <c:v>45985</c:v>
                </c:pt>
                <c:pt idx="220">
                  <c:v>45986</c:v>
                </c:pt>
                <c:pt idx="221">
                  <c:v>45987</c:v>
                </c:pt>
                <c:pt idx="222">
                  <c:v>45988</c:v>
                </c:pt>
                <c:pt idx="223">
                  <c:v>45989</c:v>
                </c:pt>
                <c:pt idx="224">
                  <c:v>45990</c:v>
                </c:pt>
                <c:pt idx="225">
                  <c:v>45991</c:v>
                </c:pt>
                <c:pt idx="226">
                  <c:v>45992</c:v>
                </c:pt>
                <c:pt idx="227">
                  <c:v>45993</c:v>
                </c:pt>
                <c:pt idx="228">
                  <c:v>45994</c:v>
                </c:pt>
                <c:pt idx="229">
                  <c:v>45995</c:v>
                </c:pt>
                <c:pt idx="230">
                  <c:v>45996</c:v>
                </c:pt>
                <c:pt idx="231">
                  <c:v>45997</c:v>
                </c:pt>
                <c:pt idx="232">
                  <c:v>45998</c:v>
                </c:pt>
                <c:pt idx="233">
                  <c:v>45999</c:v>
                </c:pt>
                <c:pt idx="234">
                  <c:v>46000</c:v>
                </c:pt>
                <c:pt idx="235">
                  <c:v>46001</c:v>
                </c:pt>
                <c:pt idx="236">
                  <c:v>46002</c:v>
                </c:pt>
                <c:pt idx="237">
                  <c:v>46003</c:v>
                </c:pt>
                <c:pt idx="238">
                  <c:v>46004</c:v>
                </c:pt>
                <c:pt idx="239">
                  <c:v>46005</c:v>
                </c:pt>
                <c:pt idx="240">
                  <c:v>46006</c:v>
                </c:pt>
                <c:pt idx="241">
                  <c:v>46007</c:v>
                </c:pt>
                <c:pt idx="242">
                  <c:v>46008</c:v>
                </c:pt>
                <c:pt idx="243">
                  <c:v>46009</c:v>
                </c:pt>
                <c:pt idx="244">
                  <c:v>46010</c:v>
                </c:pt>
                <c:pt idx="245">
                  <c:v>46011</c:v>
                </c:pt>
                <c:pt idx="246">
                  <c:v>46012</c:v>
                </c:pt>
                <c:pt idx="247">
                  <c:v>46013</c:v>
                </c:pt>
                <c:pt idx="248">
                  <c:v>46014</c:v>
                </c:pt>
                <c:pt idx="249">
                  <c:v>46015</c:v>
                </c:pt>
                <c:pt idx="250">
                  <c:v>46016</c:v>
                </c:pt>
                <c:pt idx="251">
                  <c:v>46017</c:v>
                </c:pt>
                <c:pt idx="252">
                  <c:v>46018</c:v>
                </c:pt>
                <c:pt idx="253">
                  <c:v>46019</c:v>
                </c:pt>
                <c:pt idx="254">
                  <c:v>46020</c:v>
                </c:pt>
                <c:pt idx="255">
                  <c:v>46021</c:v>
                </c:pt>
                <c:pt idx="256">
                  <c:v>46022</c:v>
                </c:pt>
                <c:pt idx="257">
                  <c:v>46023</c:v>
                </c:pt>
                <c:pt idx="258">
                  <c:v>46024</c:v>
                </c:pt>
                <c:pt idx="259">
                  <c:v>46025</c:v>
                </c:pt>
                <c:pt idx="260">
                  <c:v>46026</c:v>
                </c:pt>
                <c:pt idx="261">
                  <c:v>46027</c:v>
                </c:pt>
                <c:pt idx="262">
                  <c:v>46028</c:v>
                </c:pt>
                <c:pt idx="263">
                  <c:v>46029</c:v>
                </c:pt>
                <c:pt idx="264">
                  <c:v>46030</c:v>
                </c:pt>
                <c:pt idx="265">
                  <c:v>46031</c:v>
                </c:pt>
                <c:pt idx="266">
                  <c:v>46032</c:v>
                </c:pt>
                <c:pt idx="267">
                  <c:v>46033</c:v>
                </c:pt>
                <c:pt idx="268">
                  <c:v>46034</c:v>
                </c:pt>
                <c:pt idx="269">
                  <c:v>46035</c:v>
                </c:pt>
                <c:pt idx="270">
                  <c:v>46036</c:v>
                </c:pt>
                <c:pt idx="271">
                  <c:v>46037</c:v>
                </c:pt>
                <c:pt idx="272">
                  <c:v>46038</c:v>
                </c:pt>
                <c:pt idx="273">
                  <c:v>46039</c:v>
                </c:pt>
                <c:pt idx="274">
                  <c:v>46040</c:v>
                </c:pt>
                <c:pt idx="275">
                  <c:v>46041</c:v>
                </c:pt>
                <c:pt idx="276">
                  <c:v>46042</c:v>
                </c:pt>
                <c:pt idx="277">
                  <c:v>46043</c:v>
                </c:pt>
                <c:pt idx="278">
                  <c:v>46044</c:v>
                </c:pt>
                <c:pt idx="279">
                  <c:v>46045</c:v>
                </c:pt>
                <c:pt idx="280">
                  <c:v>46046</c:v>
                </c:pt>
                <c:pt idx="281">
                  <c:v>46047</c:v>
                </c:pt>
                <c:pt idx="282">
                  <c:v>46048</c:v>
                </c:pt>
                <c:pt idx="283">
                  <c:v>46049</c:v>
                </c:pt>
                <c:pt idx="284">
                  <c:v>46050</c:v>
                </c:pt>
                <c:pt idx="285">
                  <c:v>46051</c:v>
                </c:pt>
                <c:pt idx="286">
                  <c:v>46052</c:v>
                </c:pt>
                <c:pt idx="287">
                  <c:v>46053</c:v>
                </c:pt>
                <c:pt idx="288">
                  <c:v>46054</c:v>
                </c:pt>
                <c:pt idx="289">
                  <c:v>46055</c:v>
                </c:pt>
                <c:pt idx="290">
                  <c:v>46056</c:v>
                </c:pt>
                <c:pt idx="291">
                  <c:v>46057</c:v>
                </c:pt>
                <c:pt idx="292">
                  <c:v>46058</c:v>
                </c:pt>
                <c:pt idx="293">
                  <c:v>46059</c:v>
                </c:pt>
                <c:pt idx="294">
                  <c:v>46060</c:v>
                </c:pt>
                <c:pt idx="295">
                  <c:v>46061</c:v>
                </c:pt>
                <c:pt idx="296">
                  <c:v>46062</c:v>
                </c:pt>
                <c:pt idx="297">
                  <c:v>46063</c:v>
                </c:pt>
                <c:pt idx="298">
                  <c:v>46064</c:v>
                </c:pt>
                <c:pt idx="299">
                  <c:v>46065</c:v>
                </c:pt>
                <c:pt idx="300">
                  <c:v>46066</c:v>
                </c:pt>
                <c:pt idx="301">
                  <c:v>46067</c:v>
                </c:pt>
                <c:pt idx="302">
                  <c:v>46068</c:v>
                </c:pt>
                <c:pt idx="303">
                  <c:v>46069</c:v>
                </c:pt>
                <c:pt idx="304">
                  <c:v>46070</c:v>
                </c:pt>
                <c:pt idx="305">
                  <c:v>46071</c:v>
                </c:pt>
                <c:pt idx="306">
                  <c:v>46072</c:v>
                </c:pt>
                <c:pt idx="307">
                  <c:v>46073</c:v>
                </c:pt>
                <c:pt idx="308">
                  <c:v>46074</c:v>
                </c:pt>
                <c:pt idx="309">
                  <c:v>46075</c:v>
                </c:pt>
                <c:pt idx="310">
                  <c:v>46076</c:v>
                </c:pt>
                <c:pt idx="311">
                  <c:v>46077</c:v>
                </c:pt>
                <c:pt idx="312">
                  <c:v>46078</c:v>
                </c:pt>
                <c:pt idx="313">
                  <c:v>46079</c:v>
                </c:pt>
                <c:pt idx="314">
                  <c:v>46080</c:v>
                </c:pt>
                <c:pt idx="315">
                  <c:v>46081</c:v>
                </c:pt>
                <c:pt idx="316">
                  <c:v>46082</c:v>
                </c:pt>
                <c:pt idx="317">
                  <c:v>46083</c:v>
                </c:pt>
                <c:pt idx="318">
                  <c:v>46084</c:v>
                </c:pt>
                <c:pt idx="319">
                  <c:v>46085</c:v>
                </c:pt>
                <c:pt idx="320">
                  <c:v>46086</c:v>
                </c:pt>
                <c:pt idx="321">
                  <c:v>46087</c:v>
                </c:pt>
                <c:pt idx="322">
                  <c:v>46088</c:v>
                </c:pt>
                <c:pt idx="323">
                  <c:v>46089</c:v>
                </c:pt>
                <c:pt idx="324">
                  <c:v>46090</c:v>
                </c:pt>
                <c:pt idx="325">
                  <c:v>46091</c:v>
                </c:pt>
                <c:pt idx="326">
                  <c:v>46092</c:v>
                </c:pt>
                <c:pt idx="327">
                  <c:v>46093</c:v>
                </c:pt>
                <c:pt idx="328">
                  <c:v>46094</c:v>
                </c:pt>
                <c:pt idx="329">
                  <c:v>46095</c:v>
                </c:pt>
                <c:pt idx="330">
                  <c:v>46096</c:v>
                </c:pt>
                <c:pt idx="331">
                  <c:v>46097</c:v>
                </c:pt>
                <c:pt idx="332">
                  <c:v>46098</c:v>
                </c:pt>
                <c:pt idx="333">
                  <c:v>46099</c:v>
                </c:pt>
                <c:pt idx="334">
                  <c:v>46100</c:v>
                </c:pt>
                <c:pt idx="335">
                  <c:v>46101</c:v>
                </c:pt>
                <c:pt idx="336">
                  <c:v>46102</c:v>
                </c:pt>
                <c:pt idx="337">
                  <c:v>46103</c:v>
                </c:pt>
                <c:pt idx="338">
                  <c:v>46104</c:v>
                </c:pt>
                <c:pt idx="339">
                  <c:v>46105</c:v>
                </c:pt>
                <c:pt idx="340">
                  <c:v>46106</c:v>
                </c:pt>
                <c:pt idx="341">
                  <c:v>46107</c:v>
                </c:pt>
                <c:pt idx="342">
                  <c:v>46108</c:v>
                </c:pt>
                <c:pt idx="343">
                  <c:v>46109</c:v>
                </c:pt>
                <c:pt idx="344">
                  <c:v>46110</c:v>
                </c:pt>
                <c:pt idx="345">
                  <c:v>46111</c:v>
                </c:pt>
                <c:pt idx="346">
                  <c:v>46112</c:v>
                </c:pt>
                <c:pt idx="347">
                  <c:v>46113</c:v>
                </c:pt>
                <c:pt idx="348">
                  <c:v>46114</c:v>
                </c:pt>
                <c:pt idx="349">
                  <c:v>46115</c:v>
                </c:pt>
                <c:pt idx="350">
                  <c:v>46116</c:v>
                </c:pt>
                <c:pt idx="351">
                  <c:v>46117</c:v>
                </c:pt>
                <c:pt idx="352">
                  <c:v>46118</c:v>
                </c:pt>
                <c:pt idx="353">
                  <c:v>46119</c:v>
                </c:pt>
                <c:pt idx="354">
                  <c:v>46120</c:v>
                </c:pt>
                <c:pt idx="355">
                  <c:v>46121</c:v>
                </c:pt>
                <c:pt idx="356">
                  <c:v>46122</c:v>
                </c:pt>
                <c:pt idx="357">
                  <c:v>46123</c:v>
                </c:pt>
                <c:pt idx="358">
                  <c:v>46124</c:v>
                </c:pt>
                <c:pt idx="359">
                  <c:v>46125</c:v>
                </c:pt>
                <c:pt idx="360">
                  <c:v>46126</c:v>
                </c:pt>
                <c:pt idx="361">
                  <c:v>46127</c:v>
                </c:pt>
                <c:pt idx="362">
                  <c:v>46128</c:v>
                </c:pt>
                <c:pt idx="363">
                  <c:v>46129</c:v>
                </c:pt>
                <c:pt idx="364">
                  <c:v>46130</c:v>
                </c:pt>
                <c:pt idx="365">
                  <c:v>46131</c:v>
                </c:pt>
                <c:pt idx="366">
                  <c:v>46132</c:v>
                </c:pt>
                <c:pt idx="367">
                  <c:v>46133</c:v>
                </c:pt>
                <c:pt idx="368">
                  <c:v>46134</c:v>
                </c:pt>
                <c:pt idx="369">
                  <c:v>46135</c:v>
                </c:pt>
                <c:pt idx="370">
                  <c:v>46136</c:v>
                </c:pt>
                <c:pt idx="371">
                  <c:v>46137</c:v>
                </c:pt>
                <c:pt idx="372">
                  <c:v>46138</c:v>
                </c:pt>
                <c:pt idx="373">
                  <c:v>46139</c:v>
                </c:pt>
                <c:pt idx="374">
                  <c:v>46140</c:v>
                </c:pt>
                <c:pt idx="375">
                  <c:v>46141</c:v>
                </c:pt>
                <c:pt idx="376">
                  <c:v>46142</c:v>
                </c:pt>
                <c:pt idx="377">
                  <c:v>46143</c:v>
                </c:pt>
                <c:pt idx="378">
                  <c:v>46144</c:v>
                </c:pt>
                <c:pt idx="379">
                  <c:v>46145</c:v>
                </c:pt>
                <c:pt idx="380">
                  <c:v>46146</c:v>
                </c:pt>
                <c:pt idx="381">
                  <c:v>46147</c:v>
                </c:pt>
                <c:pt idx="382">
                  <c:v>46148</c:v>
                </c:pt>
                <c:pt idx="383">
                  <c:v>46149</c:v>
                </c:pt>
                <c:pt idx="384">
                  <c:v>46150</c:v>
                </c:pt>
                <c:pt idx="385">
                  <c:v>46151</c:v>
                </c:pt>
                <c:pt idx="386">
                  <c:v>46152</c:v>
                </c:pt>
                <c:pt idx="387">
                  <c:v>46153</c:v>
                </c:pt>
                <c:pt idx="388">
                  <c:v>46154</c:v>
                </c:pt>
                <c:pt idx="389">
                  <c:v>46155</c:v>
                </c:pt>
                <c:pt idx="390">
                  <c:v>46156</c:v>
                </c:pt>
                <c:pt idx="391">
                  <c:v>46157</c:v>
                </c:pt>
                <c:pt idx="392">
                  <c:v>46158</c:v>
                </c:pt>
                <c:pt idx="393">
                  <c:v>46159</c:v>
                </c:pt>
                <c:pt idx="394">
                  <c:v>46160</c:v>
                </c:pt>
                <c:pt idx="395">
                  <c:v>46161</c:v>
                </c:pt>
                <c:pt idx="396">
                  <c:v>46162</c:v>
                </c:pt>
                <c:pt idx="397">
                  <c:v>46163</c:v>
                </c:pt>
                <c:pt idx="398">
                  <c:v>46164</c:v>
                </c:pt>
                <c:pt idx="399">
                  <c:v>46165</c:v>
                </c:pt>
                <c:pt idx="400">
                  <c:v>46166</c:v>
                </c:pt>
                <c:pt idx="401">
                  <c:v>46167</c:v>
                </c:pt>
                <c:pt idx="402">
                  <c:v>46168</c:v>
                </c:pt>
                <c:pt idx="403">
                  <c:v>46169</c:v>
                </c:pt>
                <c:pt idx="404">
                  <c:v>46170</c:v>
                </c:pt>
                <c:pt idx="405">
                  <c:v>46171</c:v>
                </c:pt>
                <c:pt idx="406">
                  <c:v>46172</c:v>
                </c:pt>
                <c:pt idx="407">
                  <c:v>46173</c:v>
                </c:pt>
                <c:pt idx="408">
                  <c:v>46174</c:v>
                </c:pt>
                <c:pt idx="409">
                  <c:v>46175</c:v>
                </c:pt>
                <c:pt idx="410">
                  <c:v>46176</c:v>
                </c:pt>
                <c:pt idx="411">
                  <c:v>46177</c:v>
                </c:pt>
                <c:pt idx="412">
                  <c:v>46178</c:v>
                </c:pt>
                <c:pt idx="413">
                  <c:v>46179</c:v>
                </c:pt>
                <c:pt idx="414">
                  <c:v>46180</c:v>
                </c:pt>
                <c:pt idx="415">
                  <c:v>46181</c:v>
                </c:pt>
                <c:pt idx="416">
                  <c:v>46182</c:v>
                </c:pt>
                <c:pt idx="417">
                  <c:v>46183</c:v>
                </c:pt>
                <c:pt idx="418">
                  <c:v>46184</c:v>
                </c:pt>
                <c:pt idx="419">
                  <c:v>46185</c:v>
                </c:pt>
                <c:pt idx="420">
                  <c:v>46186</c:v>
                </c:pt>
                <c:pt idx="421">
                  <c:v>46187</c:v>
                </c:pt>
                <c:pt idx="422">
                  <c:v>46188</c:v>
                </c:pt>
                <c:pt idx="423">
                  <c:v>46189</c:v>
                </c:pt>
                <c:pt idx="424">
                  <c:v>46190</c:v>
                </c:pt>
                <c:pt idx="425">
                  <c:v>46191</c:v>
                </c:pt>
                <c:pt idx="426">
                  <c:v>46192</c:v>
                </c:pt>
                <c:pt idx="427">
                  <c:v>46193</c:v>
                </c:pt>
                <c:pt idx="428">
                  <c:v>46194</c:v>
                </c:pt>
                <c:pt idx="429">
                  <c:v>46195</c:v>
                </c:pt>
                <c:pt idx="430">
                  <c:v>46196</c:v>
                </c:pt>
                <c:pt idx="431">
                  <c:v>46197</c:v>
                </c:pt>
                <c:pt idx="432">
                  <c:v>46198</c:v>
                </c:pt>
                <c:pt idx="433">
                  <c:v>46199</c:v>
                </c:pt>
                <c:pt idx="434">
                  <c:v>46200</c:v>
                </c:pt>
                <c:pt idx="435">
                  <c:v>46201</c:v>
                </c:pt>
                <c:pt idx="436">
                  <c:v>46202</c:v>
                </c:pt>
                <c:pt idx="437">
                  <c:v>46203</c:v>
                </c:pt>
                <c:pt idx="438">
                  <c:v>46204</c:v>
                </c:pt>
                <c:pt idx="439">
                  <c:v>46205</c:v>
                </c:pt>
                <c:pt idx="440">
                  <c:v>46206</c:v>
                </c:pt>
                <c:pt idx="441">
                  <c:v>46207</c:v>
                </c:pt>
                <c:pt idx="442">
                  <c:v>46208</c:v>
                </c:pt>
                <c:pt idx="443">
                  <c:v>46209</c:v>
                </c:pt>
                <c:pt idx="444">
                  <c:v>46210</c:v>
                </c:pt>
                <c:pt idx="445">
                  <c:v>46211</c:v>
                </c:pt>
                <c:pt idx="446">
                  <c:v>46212</c:v>
                </c:pt>
                <c:pt idx="447">
                  <c:v>46213</c:v>
                </c:pt>
                <c:pt idx="448">
                  <c:v>46214</c:v>
                </c:pt>
                <c:pt idx="449">
                  <c:v>46215</c:v>
                </c:pt>
                <c:pt idx="450">
                  <c:v>46216</c:v>
                </c:pt>
                <c:pt idx="451">
                  <c:v>46217</c:v>
                </c:pt>
                <c:pt idx="452">
                  <c:v>46218</c:v>
                </c:pt>
                <c:pt idx="453">
                  <c:v>46219</c:v>
                </c:pt>
                <c:pt idx="454">
                  <c:v>46220</c:v>
                </c:pt>
                <c:pt idx="455">
                  <c:v>46221</c:v>
                </c:pt>
                <c:pt idx="456">
                  <c:v>46222</c:v>
                </c:pt>
                <c:pt idx="457">
                  <c:v>46223</c:v>
                </c:pt>
                <c:pt idx="458">
                  <c:v>46224</c:v>
                </c:pt>
                <c:pt idx="459">
                  <c:v>46225</c:v>
                </c:pt>
                <c:pt idx="460">
                  <c:v>46226</c:v>
                </c:pt>
                <c:pt idx="461">
                  <c:v>46227</c:v>
                </c:pt>
                <c:pt idx="462">
                  <c:v>46228</c:v>
                </c:pt>
                <c:pt idx="463">
                  <c:v>46229</c:v>
                </c:pt>
                <c:pt idx="464">
                  <c:v>46230</c:v>
                </c:pt>
                <c:pt idx="465">
                  <c:v>46231</c:v>
                </c:pt>
                <c:pt idx="466">
                  <c:v>46232</c:v>
                </c:pt>
                <c:pt idx="467">
                  <c:v>46233</c:v>
                </c:pt>
                <c:pt idx="468">
                  <c:v>46234</c:v>
                </c:pt>
                <c:pt idx="469">
                  <c:v>46235</c:v>
                </c:pt>
                <c:pt idx="470">
                  <c:v>46236</c:v>
                </c:pt>
                <c:pt idx="471">
                  <c:v>46237</c:v>
                </c:pt>
                <c:pt idx="472">
                  <c:v>46238</c:v>
                </c:pt>
                <c:pt idx="473">
                  <c:v>46239</c:v>
                </c:pt>
                <c:pt idx="474">
                  <c:v>46240</c:v>
                </c:pt>
              </c:numCache>
            </c:numRef>
          </c:cat>
          <c:val>
            <c:numRef>
              <c:f>Trends!$E$16:$E$490</c:f>
              <c:numCache>
                <c:formatCode>General</c:formatCode>
                <c:ptCount val="475"/>
                <c:pt idx="0">
                  <c:v>4210</c:v>
                </c:pt>
                <c:pt idx="1">
                  <c:v>4210</c:v>
                </c:pt>
                <c:pt idx="2">
                  <c:v>4319</c:v>
                </c:pt>
                <c:pt idx="3">
                  <c:v>4370</c:v>
                </c:pt>
                <c:pt idx="4">
                  <c:v>4210</c:v>
                </c:pt>
                <c:pt idx="5">
                  <c:v>4260</c:v>
                </c:pt>
                <c:pt idx="6">
                  <c:v>4195</c:v>
                </c:pt>
                <c:pt idx="7">
                  <c:v>4229</c:v>
                </c:pt>
                <c:pt idx="8">
                  <c:v>4229</c:v>
                </c:pt>
                <c:pt idx="9">
                  <c:v>4208</c:v>
                </c:pt>
                <c:pt idx="10">
                  <c:v>4225</c:v>
                </c:pt>
                <c:pt idx="11">
                  <c:v>4208</c:v>
                </c:pt>
                <c:pt idx="12">
                  <c:v>4115</c:v>
                </c:pt>
                <c:pt idx="13">
                  <c:v>4160</c:v>
                </c:pt>
                <c:pt idx="14">
                  <c:v>4135</c:v>
                </c:pt>
                <c:pt idx="15">
                  <c:v>4135</c:v>
                </c:pt>
                <c:pt idx="16">
                  <c:v>4228</c:v>
                </c:pt>
                <c:pt idx="17">
                  <c:v>4312</c:v>
                </c:pt>
                <c:pt idx="18">
                  <c:v>4312</c:v>
                </c:pt>
                <c:pt idx="19">
                  <c:v>4280</c:v>
                </c:pt>
                <c:pt idx="20">
                  <c:v>4275</c:v>
                </c:pt>
                <c:pt idx="21">
                  <c:v>4258</c:v>
                </c:pt>
                <c:pt idx="22">
                  <c:v>4258</c:v>
                </c:pt>
                <c:pt idx="23">
                  <c:v>4150</c:v>
                </c:pt>
                <c:pt idx="24">
                  <c:v>4180</c:v>
                </c:pt>
                <c:pt idx="25">
                  <c:v>4105</c:v>
                </c:pt>
                <c:pt idx="26">
                  <c:v>4130</c:v>
                </c:pt>
                <c:pt idx="27">
                  <c:v>4135</c:v>
                </c:pt>
                <c:pt idx="28">
                  <c:v>4169</c:v>
                </c:pt>
                <c:pt idx="29">
                  <c:v>4169</c:v>
                </c:pt>
                <c:pt idx="30">
                  <c:v>4210</c:v>
                </c:pt>
                <c:pt idx="31">
                  <c:v>4210</c:v>
                </c:pt>
                <c:pt idx="32">
                  <c:v>4243</c:v>
                </c:pt>
                <c:pt idx="33">
                  <c:v>4240</c:v>
                </c:pt>
                <c:pt idx="34">
                  <c:v>4295</c:v>
                </c:pt>
                <c:pt idx="35">
                  <c:v>4295</c:v>
                </c:pt>
                <c:pt idx="36">
                  <c:v>4295</c:v>
                </c:pt>
                <c:pt idx="37">
                  <c:v>4248</c:v>
                </c:pt>
                <c:pt idx="38">
                  <c:v>4207</c:v>
                </c:pt>
                <c:pt idx="39">
                  <c:v>4240</c:v>
                </c:pt>
                <c:pt idx="40">
                  <c:v>4235</c:v>
                </c:pt>
                <c:pt idx="41">
                  <c:v>4230</c:v>
                </c:pt>
                <c:pt idx="42">
                  <c:v>4230</c:v>
                </c:pt>
                <c:pt idx="43">
                  <c:v>4230</c:v>
                </c:pt>
                <c:pt idx="44">
                  <c:v>4270</c:v>
                </c:pt>
                <c:pt idx="45">
                  <c:v>4270</c:v>
                </c:pt>
                <c:pt idx="46">
                  <c:v>4325</c:v>
                </c:pt>
                <c:pt idx="47">
                  <c:v>4366</c:v>
                </c:pt>
                <c:pt idx="48">
                  <c:v>4366</c:v>
                </c:pt>
                <c:pt idx="49">
                  <c:v>4366</c:v>
                </c:pt>
                <c:pt idx="50">
                  <c:v>4366</c:v>
                </c:pt>
                <c:pt idx="51">
                  <c:v>4366</c:v>
                </c:pt>
                <c:pt idx="52">
                  <c:v>4280</c:v>
                </c:pt>
                <c:pt idx="53">
                  <c:v>4282</c:v>
                </c:pt>
                <c:pt idx="54">
                  <c:v>4365</c:v>
                </c:pt>
                <c:pt idx="55">
                  <c:v>4445</c:v>
                </c:pt>
                <c:pt idx="56">
                  <c:v>4445</c:v>
                </c:pt>
                <c:pt idx="57">
                  <c:v>4445</c:v>
                </c:pt>
                <c:pt idx="58">
                  <c:v>4403</c:v>
                </c:pt>
                <c:pt idx="59">
                  <c:v>4410</c:v>
                </c:pt>
                <c:pt idx="60">
                  <c:v>4392</c:v>
                </c:pt>
                <c:pt idx="61">
                  <c:v>4392</c:v>
                </c:pt>
                <c:pt idx="62">
                  <c:v>4400</c:v>
                </c:pt>
                <c:pt idx="63">
                  <c:v>4400</c:v>
                </c:pt>
                <c:pt idx="64">
                  <c:v>4400</c:v>
                </c:pt>
                <c:pt idx="65">
                  <c:v>4415</c:v>
                </c:pt>
                <c:pt idx="66">
                  <c:v>4295</c:v>
                </c:pt>
                <c:pt idx="67">
                  <c:v>4320</c:v>
                </c:pt>
                <c:pt idx="68">
                  <c:v>4310</c:v>
                </c:pt>
                <c:pt idx="69">
                  <c:v>4275</c:v>
                </c:pt>
                <c:pt idx="70">
                  <c:v>4280</c:v>
                </c:pt>
                <c:pt idx="71">
                  <c:v>4280</c:v>
                </c:pt>
                <c:pt idx="72">
                  <c:v>4260</c:v>
                </c:pt>
                <c:pt idx="73">
                  <c:v>4340</c:v>
                </c:pt>
                <c:pt idx="74">
                  <c:v>4340</c:v>
                </c:pt>
                <c:pt idx="75">
                  <c:v>4335</c:v>
                </c:pt>
                <c:pt idx="76">
                  <c:v>4310</c:v>
                </c:pt>
                <c:pt idx="77">
                  <c:v>4310</c:v>
                </c:pt>
                <c:pt idx="78">
                  <c:v>4310</c:v>
                </c:pt>
                <c:pt idx="79">
                  <c:v>4320</c:v>
                </c:pt>
                <c:pt idx="80">
                  <c:v>4305</c:v>
                </c:pt>
                <c:pt idx="81">
                  <c:v>4330</c:v>
                </c:pt>
                <c:pt idx="82">
                  <c:v>4330</c:v>
                </c:pt>
                <c:pt idx="83">
                  <c:v>4370</c:v>
                </c:pt>
                <c:pt idx="84">
                  <c:v>4344.72</c:v>
                </c:pt>
                <c:pt idx="85">
                  <c:v>4344.72</c:v>
                </c:pt>
                <c:pt idx="86">
                  <c:v>4340</c:v>
                </c:pt>
                <c:pt idx="87">
                  <c:v>4350</c:v>
                </c:pt>
                <c:pt idx="88">
                  <c:v>4400</c:v>
                </c:pt>
                <c:pt idx="89">
                  <c:v>4365</c:v>
                </c:pt>
                <c:pt idx="90">
                  <c:v>4385</c:v>
                </c:pt>
                <c:pt idx="91">
                  <c:v>4385</c:v>
                </c:pt>
                <c:pt idx="92">
                  <c:v>4385</c:v>
                </c:pt>
                <c:pt idx="93">
                  <c:v>4425</c:v>
                </c:pt>
                <c:pt idx="94">
                  <c:v>4480</c:v>
                </c:pt>
                <c:pt idx="95">
                  <c:v>4500</c:v>
                </c:pt>
                <c:pt idx="96">
                  <c:v>4450</c:v>
                </c:pt>
                <c:pt idx="97">
                  <c:v>4410</c:v>
                </c:pt>
                <c:pt idx="98">
                  <c:v>4410</c:v>
                </c:pt>
                <c:pt idx="99">
                  <c:v>4410</c:v>
                </c:pt>
                <c:pt idx="100">
                  <c:v>4380</c:v>
                </c:pt>
                <c:pt idx="101">
                  <c:v>4400</c:v>
                </c:pt>
                <c:pt idx="102">
                  <c:v>4370</c:v>
                </c:pt>
                <c:pt idx="103">
                  <c:v>4380</c:v>
                </c:pt>
                <c:pt idx="104">
                  <c:v>4430</c:v>
                </c:pt>
                <c:pt idx="105">
                  <c:v>4441</c:v>
                </c:pt>
                <c:pt idx="106">
                  <c:v>4441</c:v>
                </c:pt>
                <c:pt idx="107">
                  <c:v>4460</c:v>
                </c:pt>
                <c:pt idx="108">
                  <c:v>4455</c:v>
                </c:pt>
                <c:pt idx="109">
                  <c:v>4465</c:v>
                </c:pt>
                <c:pt idx="110">
                  <c:v>4480</c:v>
                </c:pt>
                <c:pt idx="111">
                  <c:v>4490</c:v>
                </c:pt>
                <c:pt idx="112">
                  <c:v>4490</c:v>
                </c:pt>
                <c:pt idx="113">
                  <c:v>4490</c:v>
                </c:pt>
                <c:pt idx="114">
                  <c:v>4450</c:v>
                </c:pt>
                <c:pt idx="115">
                  <c:v>4450</c:v>
                </c:pt>
                <c:pt idx="116">
                  <c:v>4475</c:v>
                </c:pt>
                <c:pt idx="117">
                  <c:v>4460</c:v>
                </c:pt>
                <c:pt idx="118">
                  <c:v>4470</c:v>
                </c:pt>
                <c:pt idx="119">
                  <c:v>4470</c:v>
                </c:pt>
                <c:pt idx="120">
                  <c:v>4470</c:v>
                </c:pt>
                <c:pt idx="121">
                  <c:v>4470</c:v>
                </c:pt>
                <c:pt idx="122">
                  <c:v>4455</c:v>
                </c:pt>
                <c:pt idx="123">
                  <c:v>4470</c:v>
                </c:pt>
                <c:pt idx="124">
                  <c:v>4460</c:v>
                </c:pt>
                <c:pt idx="125">
                  <c:v>4520</c:v>
                </c:pt>
                <c:pt idx="126">
                  <c:v>4500</c:v>
                </c:pt>
                <c:pt idx="127">
                  <c:v>4500</c:v>
                </c:pt>
                <c:pt idx="128">
                  <c:v>4495</c:v>
                </c:pt>
                <c:pt idx="129">
                  <c:v>4495</c:v>
                </c:pt>
                <c:pt idx="130">
                  <c:v>4510</c:v>
                </c:pt>
                <c:pt idx="131">
                  <c:v>4540</c:v>
                </c:pt>
                <c:pt idx="132">
                  <c:v>4600</c:v>
                </c:pt>
                <c:pt idx="133">
                  <c:v>4600</c:v>
                </c:pt>
                <c:pt idx="134">
                  <c:v>4600</c:v>
                </c:pt>
                <c:pt idx="135">
                  <c:v>4625</c:v>
                </c:pt>
                <c:pt idx="136">
                  <c:v>4695</c:v>
                </c:pt>
                <c:pt idx="137">
                  <c:v>4780</c:v>
                </c:pt>
                <c:pt idx="138">
                  <c:v>4770</c:v>
                </c:pt>
                <c:pt idx="139">
                  <c:v>4850</c:v>
                </c:pt>
                <c:pt idx="140">
                  <c:v>4840</c:v>
                </c:pt>
                <c:pt idx="141">
                  <c:v>4840</c:v>
                </c:pt>
                <c:pt idx="142">
                  <c:v>4940</c:v>
                </c:pt>
                <c:pt idx="143">
                  <c:v>4970</c:v>
                </c:pt>
                <c:pt idx="144">
                  <c:v>4970</c:v>
                </c:pt>
                <c:pt idx="145">
                  <c:v>4970</c:v>
                </c:pt>
                <c:pt idx="146">
                  <c:v>4982</c:v>
                </c:pt>
                <c:pt idx="147">
                  <c:v>4975</c:v>
                </c:pt>
                <c:pt idx="148">
                  <c:v>4975</c:v>
                </c:pt>
                <c:pt idx="149">
                  <c:v>4995</c:v>
                </c:pt>
                <c:pt idx="150">
                  <c:v>5070</c:v>
                </c:pt>
                <c:pt idx="151">
                  <c:v>5050</c:v>
                </c:pt>
                <c:pt idx="152">
                  <c:v>5030</c:v>
                </c:pt>
                <c:pt idx="153">
                  <c:v>5050</c:v>
                </c:pt>
                <c:pt idx="154">
                  <c:v>5060</c:v>
                </c:pt>
                <c:pt idx="155">
                  <c:v>5060</c:v>
                </c:pt>
                <c:pt idx="156">
                  <c:v>5125</c:v>
                </c:pt>
                <c:pt idx="157">
                  <c:v>5240</c:v>
                </c:pt>
                <c:pt idx="158">
                  <c:v>5210</c:v>
                </c:pt>
                <c:pt idx="159">
                  <c:v>5200</c:v>
                </c:pt>
                <c:pt idx="160">
                  <c:v>5250</c:v>
                </c:pt>
                <c:pt idx="161">
                  <c:v>5250</c:v>
                </c:pt>
                <c:pt idx="162">
                  <c:v>5250</c:v>
                </c:pt>
                <c:pt idx="163">
                  <c:v>5265</c:v>
                </c:pt>
                <c:pt idx="164">
                  <c:v>5310</c:v>
                </c:pt>
                <c:pt idx="165">
                  <c:v>5360</c:v>
                </c:pt>
                <c:pt idx="166">
                  <c:v>5410</c:v>
                </c:pt>
                <c:pt idx="167">
                  <c:v>5430</c:v>
                </c:pt>
                <c:pt idx="168">
                  <c:v>5430</c:v>
                </c:pt>
                <c:pt idx="169">
                  <c:v>5430</c:v>
                </c:pt>
                <c:pt idx="170">
                  <c:v>5550</c:v>
                </c:pt>
                <c:pt idx="171">
                  <c:v>5680</c:v>
                </c:pt>
                <c:pt idx="172">
                  <c:v>5860</c:v>
                </c:pt>
                <c:pt idx="173">
                  <c:v>5780</c:v>
                </c:pt>
                <c:pt idx="174">
                  <c:v>5690</c:v>
                </c:pt>
                <c:pt idx="175">
                  <c:v>5730</c:v>
                </c:pt>
                <c:pt idx="176">
                  <c:v>5730</c:v>
                </c:pt>
                <c:pt idx="177">
                  <c:v>5770</c:v>
                </c:pt>
                <c:pt idx="178">
                  <c:v>5792</c:v>
                </c:pt>
                <c:pt idx="179">
                  <c:v>5930</c:v>
                </c:pt>
                <c:pt idx="180">
                  <c:v>6150</c:v>
                </c:pt>
                <c:pt idx="181">
                  <c:v>6320</c:v>
                </c:pt>
                <c:pt idx="182">
                  <c:v>6210</c:v>
                </c:pt>
                <c:pt idx="183">
                  <c:v>6210</c:v>
                </c:pt>
                <c:pt idx="184">
                  <c:v>6290</c:v>
                </c:pt>
                <c:pt idx="185">
                  <c:v>6150</c:v>
                </c:pt>
                <c:pt idx="186">
                  <c:v>5910</c:v>
                </c:pt>
                <c:pt idx="187">
                  <c:v>5990</c:v>
                </c:pt>
                <c:pt idx="188">
                  <c:v>6020</c:v>
                </c:pt>
                <c:pt idx="189">
                  <c:v>6020</c:v>
                </c:pt>
                <c:pt idx="190">
                  <c:v>6020</c:v>
                </c:pt>
                <c:pt idx="191">
                  <c:v>5790</c:v>
                </c:pt>
                <c:pt idx="192">
                  <c:v>5699</c:v>
                </c:pt>
                <c:pt idx="193">
                  <c:v>5699</c:v>
                </c:pt>
                <c:pt idx="194">
                  <c:v>5739</c:v>
                </c:pt>
                <c:pt idx="195">
                  <c:v>5753</c:v>
                </c:pt>
                <c:pt idx="196">
                  <c:v>5700</c:v>
                </c:pt>
                <c:pt idx="197">
                  <c:v>5700</c:v>
                </c:pt>
                <c:pt idx="198">
                  <c:v>5690</c:v>
                </c:pt>
                <c:pt idx="199">
                  <c:v>5635</c:v>
                </c:pt>
                <c:pt idx="200">
                  <c:v>5608</c:v>
                </c:pt>
                <c:pt idx="201">
                  <c:v>5670</c:v>
                </c:pt>
                <c:pt idx="202">
                  <c:v>5434.09</c:v>
                </c:pt>
                <c:pt idx="203">
                  <c:v>5434.09</c:v>
                </c:pt>
                <c:pt idx="204">
                  <c:v>5434.09</c:v>
                </c:pt>
                <c:pt idx="205">
                  <c:v>5583.18</c:v>
                </c:pt>
                <c:pt idx="206">
                  <c:v>5606.29</c:v>
                </c:pt>
                <c:pt idx="207">
                  <c:v>5698.19</c:v>
                </c:pt>
                <c:pt idx="208">
                  <c:v>5656.47</c:v>
                </c:pt>
                <c:pt idx="209">
                  <c:v>5551.47</c:v>
                </c:pt>
                <c:pt idx="210">
                  <c:v>5551.47</c:v>
                </c:pt>
                <c:pt idx="211">
                  <c:v>5551.47</c:v>
                </c:pt>
                <c:pt idx="212">
                  <c:v>5496.24</c:v>
                </c:pt>
                <c:pt idx="213">
                  <c:v>5538.52</c:v>
                </c:pt>
                <c:pt idx="214">
                  <c:v>5550.69</c:v>
                </c:pt>
                <c:pt idx="215">
                  <c:v>5553.67</c:v>
                </c:pt>
                <c:pt idx="216">
                  <c:v>5552.1</c:v>
                </c:pt>
                <c:pt idx="217">
                  <c:v>5552.1</c:v>
                </c:pt>
                <c:pt idx="218">
                  <c:v>5552.1</c:v>
                </c:pt>
                <c:pt idx="219">
                  <c:v>5636.99</c:v>
                </c:pt>
                <c:pt idx="220">
                  <c:v>5635.23</c:v>
                </c:pt>
                <c:pt idx="221">
                  <c:v>5682.5</c:v>
                </c:pt>
                <c:pt idx="222">
                  <c:v>5675.48</c:v>
                </c:pt>
                <c:pt idx="223">
                  <c:v>5763.55</c:v>
                </c:pt>
                <c:pt idx="224">
                  <c:v>5763.55</c:v>
                </c:pt>
                <c:pt idx="225">
                  <c:v>5763.55</c:v>
                </c:pt>
                <c:pt idx="226">
                  <c:v>5781.31</c:v>
                </c:pt>
                <c:pt idx="227">
                  <c:v>5745.87</c:v>
                </c:pt>
                <c:pt idx="228">
                  <c:v>5740.46</c:v>
                </c:pt>
                <c:pt idx="229">
                  <c:v>5753</c:v>
                </c:pt>
                <c:pt idx="230">
                  <c:v>5746.23</c:v>
                </c:pt>
                <c:pt idx="231">
                  <c:v>5746.23</c:v>
                </c:pt>
                <c:pt idx="232">
                  <c:v>5746.23</c:v>
                </c:pt>
                <c:pt idx="233">
                  <c:v>5736.97</c:v>
                </c:pt>
                <c:pt idx="234">
                  <c:v>5768.24</c:v>
                </c:pt>
                <c:pt idx="235">
                  <c:v>5793.26</c:v>
                </c:pt>
                <c:pt idx="236">
                  <c:v>5856.86</c:v>
                </c:pt>
                <c:pt idx="237">
                  <c:v>5902.25</c:v>
                </c:pt>
                <c:pt idx="238">
                  <c:v>5902.25</c:v>
                </c:pt>
                <c:pt idx="239">
                  <c:v>5902.25</c:v>
                </c:pt>
                <c:pt idx="240">
                  <c:v>5909.27</c:v>
                </c:pt>
                <c:pt idx="241">
                  <c:v>5909.09</c:v>
                </c:pt>
                <c:pt idx="242">
                  <c:v>5963.43</c:v>
                </c:pt>
                <c:pt idx="243">
                  <c:v>5955.57</c:v>
                </c:pt>
                <c:pt idx="244">
                  <c:v>5972.23</c:v>
                </c:pt>
                <c:pt idx="245">
                  <c:v>5972.23</c:v>
                </c:pt>
                <c:pt idx="246">
                  <c:v>5972.23</c:v>
                </c:pt>
                <c:pt idx="247">
                  <c:v>6110.33</c:v>
                </c:pt>
                <c:pt idx="248">
                  <c:v>6192.84</c:v>
                </c:pt>
                <c:pt idx="249">
                  <c:v>6170.59</c:v>
                </c:pt>
                <c:pt idx="250">
                  <c:v>6170.88</c:v>
                </c:pt>
                <c:pt idx="251">
                  <c:v>6250.52</c:v>
                </c:pt>
                <c:pt idx="252">
                  <c:v>6250.52</c:v>
                </c:pt>
                <c:pt idx="253">
                  <c:v>6250.52</c:v>
                </c:pt>
                <c:pt idx="254">
                  <c:v>5982.56</c:v>
                </c:pt>
                <c:pt idx="255">
                  <c:v>5992.28</c:v>
                </c:pt>
                <c:pt idx="256">
                  <c:v>5953.31</c:v>
                </c:pt>
                <c:pt idx="257">
                  <c:v>5966.21</c:v>
                </c:pt>
                <c:pt idx="258">
                  <c:v>5991.88</c:v>
                </c:pt>
                <c:pt idx="259">
                  <c:v>5991.88</c:v>
                </c:pt>
                <c:pt idx="260">
                  <c:v>5991.88</c:v>
                </c:pt>
                <c:pt idx="261">
                  <c:v>6147.49</c:v>
                </c:pt>
                <c:pt idx="262">
                  <c:v>6217.38</c:v>
                </c:pt>
                <c:pt idx="263">
                  <c:v>6159.22</c:v>
                </c:pt>
                <c:pt idx="264">
                  <c:v>6194.83</c:v>
                </c:pt>
                <c:pt idx="265">
                  <c:v>6251.35</c:v>
                </c:pt>
                <c:pt idx="266">
                  <c:v>6251.35</c:v>
                </c:pt>
                <c:pt idx="267">
                  <c:v>6251.35</c:v>
                </c:pt>
                <c:pt idx="268">
                  <c:v>6367.5</c:v>
                </c:pt>
                <c:pt idx="269">
                  <c:v>6363.38</c:v>
                </c:pt>
                <c:pt idx="270">
                  <c:v>6430.96</c:v>
                </c:pt>
                <c:pt idx="271">
                  <c:v>6394.96</c:v>
                </c:pt>
                <c:pt idx="272">
                  <c:v>6375.38</c:v>
                </c:pt>
                <c:pt idx="273">
                  <c:v>6375.38</c:v>
                </c:pt>
                <c:pt idx="274">
                  <c:v>6375.38</c:v>
                </c:pt>
                <c:pt idx="275">
                  <c:v>6496.42</c:v>
                </c:pt>
                <c:pt idx="276">
                  <c:v>6617.3</c:v>
                </c:pt>
                <c:pt idx="277">
                  <c:v>6719.15</c:v>
                </c:pt>
                <c:pt idx="278">
                  <c:v>6837.89</c:v>
                </c:pt>
                <c:pt idx="279">
                  <c:v>6945.51</c:v>
                </c:pt>
                <c:pt idx="280">
                  <c:v>6945.51</c:v>
                </c:pt>
                <c:pt idx="281">
                  <c:v>6945.51</c:v>
                </c:pt>
                <c:pt idx="282">
                  <c:v>7046.5</c:v>
                </c:pt>
                <c:pt idx="283">
                  <c:v>7227.4</c:v>
                </c:pt>
                <c:pt idx="284">
                  <c:v>7502.59</c:v>
                </c:pt>
                <c:pt idx="285">
                  <c:v>7530.65</c:v>
                </c:pt>
                <c:pt idx="286">
                  <c:v>6788.96</c:v>
                </c:pt>
                <c:pt idx="287">
                  <c:v>6788.96</c:v>
                </c:pt>
                <c:pt idx="288">
                  <c:v>6788.96</c:v>
                </c:pt>
                <c:pt idx="289">
                  <c:v>6505.95</c:v>
                </c:pt>
                <c:pt idx="290">
                  <c:v>6908.3</c:v>
                </c:pt>
                <c:pt idx="291">
                  <c:v>6908.64</c:v>
                </c:pt>
                <c:pt idx="292">
                  <c:v>6732.52</c:v>
                </c:pt>
                <c:pt idx="293">
                  <c:v>6943.53</c:v>
                </c:pt>
                <c:pt idx="294">
                  <c:v>6943.53</c:v>
                </c:pt>
                <c:pt idx="295">
                  <c:v>6943.53</c:v>
                </c:pt>
                <c:pt idx="296">
                  <c:v>7119.1</c:v>
                </c:pt>
                <c:pt idx="297">
                  <c:v>7057.71</c:v>
                </c:pt>
                <c:pt idx="298">
                  <c:v>7138.95</c:v>
                </c:pt>
                <c:pt idx="299">
                  <c:v>6899.16</c:v>
                </c:pt>
                <c:pt idx="300">
                  <c:v>7075.98</c:v>
                </c:pt>
                <c:pt idx="301">
                  <c:v>7075.98</c:v>
                </c:pt>
                <c:pt idx="302">
                  <c:v>7075.98</c:v>
                </c:pt>
                <c:pt idx="303">
                  <c:v>7015.72</c:v>
                </c:pt>
                <c:pt idx="304">
                  <c:v>6858.06</c:v>
                </c:pt>
                <c:pt idx="305">
                  <c:v>7012.47</c:v>
                </c:pt>
                <c:pt idx="306">
                  <c:v>7037.44</c:v>
                </c:pt>
                <c:pt idx="307">
                  <c:v>7183.04</c:v>
                </c:pt>
                <c:pt idx="308">
                  <c:v>7183.04</c:v>
                </c:pt>
                <c:pt idx="309">
                  <c:v>7183.04</c:v>
                </c:pt>
                <c:pt idx="310">
                  <c:v>7380.25</c:v>
                </c:pt>
                <c:pt idx="311">
                  <c:v>7280.17</c:v>
                </c:pt>
                <c:pt idx="312">
                  <c:v>7266.74</c:v>
                </c:pt>
                <c:pt idx="313">
                  <c:v>7332.73</c:v>
                </c:pt>
                <c:pt idx="314">
                  <c:v>7435.91</c:v>
                </c:pt>
                <c:pt idx="315">
                  <c:v>7435.91</c:v>
                </c:pt>
                <c:pt idx="316">
                  <c:v>7435.91</c:v>
                </c:pt>
                <c:pt idx="317">
                  <c:v>7535.65</c:v>
                </c:pt>
                <c:pt idx="318">
                  <c:v>7208.2</c:v>
                </c:pt>
                <c:pt idx="319">
                  <c:v>7258.69</c:v>
                </c:pt>
                <c:pt idx="320">
                  <c:v>7181.99</c:v>
                </c:pt>
                <c:pt idx="321">
                  <c:v>7301.96</c:v>
                </c:pt>
                <c:pt idx="322">
                  <c:v>7301.96</c:v>
                </c:pt>
                <c:pt idx="323">
                  <c:v>7301.96</c:v>
                </c:pt>
                <c:pt idx="324">
                  <c:v>7276.39</c:v>
                </c:pt>
                <c:pt idx="325">
                  <c:v>7355.56</c:v>
                </c:pt>
                <c:pt idx="326">
                  <c:v>7336.37</c:v>
                </c:pt>
                <c:pt idx="327">
                  <c:v>7206.33</c:v>
                </c:pt>
                <c:pt idx="328">
                  <c:v>7136.03</c:v>
                </c:pt>
                <c:pt idx="329">
                  <c:v>7136.03</c:v>
                </c:pt>
                <c:pt idx="330">
                  <c:v>7136.03</c:v>
                </c:pt>
                <c:pt idx="331">
                  <c:v>7109.17</c:v>
                </c:pt>
                <c:pt idx="332">
                  <c:v>7113.06</c:v>
                </c:pt>
                <c:pt idx="333">
                  <c:v>6849.31</c:v>
                </c:pt>
                <c:pt idx="334">
                  <c:v>6621.92</c:v>
                </c:pt>
                <c:pt idx="335">
                  <c:v>6406.8</c:v>
                </c:pt>
                <c:pt idx="336">
                  <c:v>6406.8</c:v>
                </c:pt>
                <c:pt idx="337">
                  <c:v>6406.8</c:v>
                </c:pt>
                <c:pt idx="338">
                  <c:v>6277.88</c:v>
                </c:pt>
                <c:pt idx="339">
                  <c:v>6377.14</c:v>
                </c:pt>
                <c:pt idx="340">
                  <c:v>6425.38</c:v>
                </c:pt>
                <c:pt idx="341">
                  <c:v>6243.8</c:v>
                </c:pt>
                <c:pt idx="342">
                  <c:v>6418.21</c:v>
                </c:pt>
                <c:pt idx="343">
                  <c:v>6418.21</c:v>
                </c:pt>
                <c:pt idx="344">
                  <c:v>6418.21</c:v>
                </c:pt>
                <c:pt idx="345">
                  <c:v>6446.16</c:v>
                </c:pt>
                <c:pt idx="346">
                  <c:v>6673.09</c:v>
                </c:pt>
                <c:pt idx="347">
                  <c:v>6803.48</c:v>
                </c:pt>
                <c:pt idx="348">
                  <c:v>6686.5</c:v>
                </c:pt>
                <c:pt idx="349">
                  <c:v>6704.43</c:v>
                </c:pt>
                <c:pt idx="350">
                  <c:v>6704.43</c:v>
                </c:pt>
                <c:pt idx="351">
                  <c:v>6704.43</c:v>
                </c:pt>
                <c:pt idx="352">
                  <c:v>6661.62</c:v>
                </c:pt>
                <c:pt idx="353">
                  <c:v>6750.9</c:v>
                </c:pt>
                <c:pt idx="354">
                  <c:v>6755.24</c:v>
                </c:pt>
                <c:pt idx="355">
                  <c:v>6830.6</c:v>
                </c:pt>
                <c:pt idx="356">
                  <c:v>6812.73</c:v>
                </c:pt>
                <c:pt idx="357">
                  <c:v>6812.73</c:v>
                </c:pt>
                <c:pt idx="358">
                  <c:v>6812.73</c:v>
                </c:pt>
                <c:pt idx="359">
                  <c:v>6812.74</c:v>
                </c:pt>
                <c:pt idx="360">
                  <c:v>6961.33</c:v>
                </c:pt>
                <c:pt idx="361">
                  <c:v>6892.49</c:v>
                </c:pt>
                <c:pt idx="362">
                  <c:v>6891.84</c:v>
                </c:pt>
                <c:pt idx="363">
                  <c:v>6966.26</c:v>
                </c:pt>
                <c:pt idx="364">
                  <c:v>6966.26</c:v>
                </c:pt>
                <c:pt idx="365">
                  <c:v>6966.26</c:v>
                </c:pt>
                <c:pt idx="366">
                  <c:v>6953.68</c:v>
                </c:pt>
                <c:pt idx="367">
                  <c:v>6810.98</c:v>
                </c:pt>
                <c:pt idx="368">
                  <c:v>6845.46</c:v>
                </c:pt>
                <c:pt idx="369">
                  <c:v>6779.37</c:v>
                </c:pt>
                <c:pt idx="370">
                  <c:v>6815.04</c:v>
                </c:pt>
                <c:pt idx="371">
                  <c:v>6815.04</c:v>
                </c:pt>
                <c:pt idx="372">
                  <c:v>6815.04</c:v>
                </c:pt>
                <c:pt idx="373">
                  <c:v>6780.22</c:v>
                </c:pt>
                <c:pt idx="374">
                  <c:v>6656.37</c:v>
                </c:pt>
                <c:pt idx="375">
                  <c:v>6591.35</c:v>
                </c:pt>
                <c:pt idx="376">
                  <c:v>6715.58</c:v>
                </c:pt>
                <c:pt idx="377">
                  <c:v>6703.28</c:v>
                </c:pt>
                <c:pt idx="378">
                  <c:v>6703.28</c:v>
                </c:pt>
                <c:pt idx="379">
                  <c:v>6703.28</c:v>
                </c:pt>
                <c:pt idx="380">
                  <c:v>6571.29</c:v>
                </c:pt>
                <c:pt idx="381">
                  <c:v>6624.31</c:v>
                </c:pt>
                <c:pt idx="382">
                  <c:v>6819.81</c:v>
                </c:pt>
                <c:pt idx="383">
                  <c:v>6816.09</c:v>
                </c:pt>
                <c:pt idx="384">
                  <c:v>6875.62</c:v>
                </c:pt>
                <c:pt idx="385">
                  <c:v>6875.62</c:v>
                </c:pt>
                <c:pt idx="386">
                  <c:v>6875.62</c:v>
                </c:pt>
                <c:pt idx="387">
                  <c:v>6906.3</c:v>
                </c:pt>
                <c:pt idx="388">
                  <c:v>6880.92</c:v>
                </c:pt>
                <c:pt idx="389">
                  <c:v>6847.66</c:v>
                </c:pt>
                <c:pt idx="390">
                  <c:v>6793.88</c:v>
                </c:pt>
                <c:pt idx="391">
                  <c:v>6644.89</c:v>
                </c:pt>
                <c:pt idx="392">
                  <c:v>6644.89</c:v>
                </c:pt>
                <c:pt idx="393">
                  <c:v>6644.89</c:v>
                </c:pt>
                <c:pt idx="394">
                  <c:v>6691.79</c:v>
                </c:pt>
                <c:pt idx="395">
                  <c:v>6568.74</c:v>
                </c:pt>
                <c:pt idx="396">
                  <c:v>6660.33</c:v>
                </c:pt>
                <c:pt idx="397">
                  <c:v>6659.23</c:v>
                </c:pt>
                <c:pt idx="398">
                  <c:v>6630.84</c:v>
                </c:pt>
                <c:pt idx="399">
                  <c:v>6630.84</c:v>
                </c:pt>
                <c:pt idx="400">
                  <c:v>6630.84</c:v>
                </c:pt>
                <c:pt idx="401">
                  <c:v>6717.48</c:v>
                </c:pt>
                <c:pt idx="402">
                  <c:v>6649.8</c:v>
                </c:pt>
                <c:pt idx="403">
                  <c:v>6577.76</c:v>
                </c:pt>
                <c:pt idx="404">
                  <c:v>6631.44</c:v>
                </c:pt>
                <c:pt idx="405">
                  <c:v>6687.67</c:v>
                </c:pt>
                <c:pt idx="406">
                  <c:v>6687.67</c:v>
                </c:pt>
                <c:pt idx="407">
                  <c:v>6687.67</c:v>
                </c:pt>
                <c:pt idx="408">
                  <c:v>6619.34</c:v>
                </c:pt>
                <c:pt idx="409">
                  <c:v>6630.89</c:v>
                </c:pt>
                <c:pt idx="410">
                  <c:v>6554.05</c:v>
                </c:pt>
                <c:pt idx="411">
                  <c:v>6623.02</c:v>
                </c:pt>
                <c:pt idx="412">
                  <c:v>6409.16</c:v>
                </c:pt>
                <c:pt idx="413">
                  <c:v>6409.16</c:v>
                </c:pt>
                <c:pt idx="414">
                  <c:v>6409.16</c:v>
                </c:pt>
                <c:pt idx="415">
                  <c:v>6421.59</c:v>
                </c:pt>
                <c:pt idx="416">
                  <c:v>6319.02</c:v>
                </c:pt>
                <c:pt idx="417">
                  <c:v>6038.95</c:v>
                </c:pt>
                <c:pt idx="418">
                  <c:v>6257.78</c:v>
                </c:pt>
                <c:pt idx="419">
                  <c:v>6277.08</c:v>
                </c:pt>
                <c:pt idx="420">
                  <c:v>6277.08</c:v>
                </c:pt>
                <c:pt idx="421">
                  <c:v>6277.08</c:v>
                </c:pt>
                <c:pt idx="422">
                  <c:v>6414.2</c:v>
                </c:pt>
                <c:pt idx="423">
                  <c:v>6446.83</c:v>
                </c:pt>
                <c:pt idx="424">
                  <c:v>6345.04</c:v>
                </c:pt>
                <c:pt idx="425">
                  <c:v>6287.11</c:v>
                </c:pt>
                <c:pt idx="426">
                  <c:v>6205.5</c:v>
                </c:pt>
                <c:pt idx="427">
                  <c:v>6205.5</c:v>
                </c:pt>
                <c:pt idx="428">
                  <c:v>6205.5</c:v>
                </c:pt>
                <c:pt idx="429">
                  <c:v>6262.23</c:v>
                </c:pt>
                <c:pt idx="430">
                  <c:v>6143.05</c:v>
                </c:pt>
                <c:pt idx="431">
                  <c:v>5980.23</c:v>
                </c:pt>
                <c:pt idx="432">
                  <c:v>6029.24</c:v>
                </c:pt>
                <c:pt idx="433">
                  <c:v>6130.13</c:v>
                </c:pt>
                <c:pt idx="434">
                  <c:v>6130.13</c:v>
                </c:pt>
                <c:pt idx="435">
                  <c:v>6130.13</c:v>
                </c:pt>
                <c:pt idx="436">
                  <c:v>6023.74</c:v>
                </c:pt>
                <c:pt idx="437">
                  <c:v>6011.41</c:v>
                </c:pt>
                <c:pt idx="438">
                  <c:v>6048.16</c:v>
                </c:pt>
                <c:pt idx="439">
                  <c:v>6191.65</c:v>
                </c:pt>
                <c:pt idx="440">
                  <c:v>6277.78</c:v>
                </c:pt>
                <c:pt idx="441">
                  <c:v>6277.78</c:v>
                </c:pt>
                <c:pt idx="442">
                  <c:v>6277.78</c:v>
                </c:pt>
                <c:pt idx="443">
                  <c:v>6269.71</c:v>
                </c:pt>
                <c:pt idx="444">
                  <c:v>6184.52</c:v>
                </c:pt>
                <c:pt idx="445">
                  <c:v>6136.01</c:v>
                </c:pt>
                <c:pt idx="446">
                  <c:v>6218.33</c:v>
                </c:pt>
                <c:pt idx="447">
                  <c:v>6225.55</c:v>
                </c:pt>
                <c:pt idx="448">
                  <c:v>6225.55</c:v>
                </c:pt>
                <c:pt idx="449">
                  <c:v>6225.55</c:v>
                </c:pt>
                <c:pt idx="450">
                  <c:v>6046.58</c:v>
                </c:pt>
                <c:pt idx="451">
                  <c:v>6127.33</c:v>
                </c:pt>
                <c:pt idx="452">
                  <c:v>6141.33</c:v>
                </c:pt>
                <c:pt idx="453">
                  <c:v>6021.61</c:v>
                </c:pt>
                <c:pt idx="454">
                  <c:v>6093.03</c:v>
                </c:pt>
                <c:pt idx="455">
                  <c:v>6093.03</c:v>
                </c:pt>
                <c:pt idx="456">
                  <c:v>6093.03</c:v>
                </c:pt>
                <c:pt idx="457">
                  <c:v>6079.02</c:v>
                </c:pt>
                <c:pt idx="458">
                  <c:v>6186.44</c:v>
                </c:pt>
                <c:pt idx="459">
                  <c:v>6270.48</c:v>
                </c:pt>
                <c:pt idx="460">
                  <c:v>6154.79</c:v>
                </c:pt>
                <c:pt idx="461">
                  <c:v>6168.06</c:v>
                </c:pt>
                <c:pt idx="462">
                  <c:v>6168.06</c:v>
                </c:pt>
                <c:pt idx="463">
                  <c:v>6168.06</c:v>
                </c:pt>
                <c:pt idx="464">
                  <c:v>6205.59</c:v>
                </c:pt>
                <c:pt idx="465">
                  <c:v>6137.05</c:v>
                </c:pt>
                <c:pt idx="466">
                  <c:v>6198.02</c:v>
                </c:pt>
                <c:pt idx="467">
                  <c:v>6257.53</c:v>
                </c:pt>
                <c:pt idx="468">
                  <c:v>6175.37</c:v>
                </c:pt>
                <c:pt idx="469">
                  <c:v>6175.37</c:v>
                </c:pt>
                <c:pt idx="470">
                  <c:v>6175.37</c:v>
                </c:pt>
                <c:pt idx="471">
                  <c:v>6197.07</c:v>
                </c:pt>
                <c:pt idx="472">
                  <c:v>6231.26</c:v>
                </c:pt>
                <c:pt idx="473">
                  <c:v>6496.09</c:v>
                </c:pt>
                <c:pt idx="474">
                  <c:v>6492.58</c:v>
                </c:pt>
              </c:numCache>
            </c:numRef>
          </c:val>
          <c:smooth val="0"/>
          <c:extLst>
            <c:ext xmlns:c16="http://schemas.microsoft.com/office/drawing/2014/chart" uri="{C3380CC4-5D6E-409C-BE32-E72D297353CC}">
              <c16:uniqueId val="{00000000-6175-445E-A1D0-3EA543B04F26}"/>
            </c:ext>
          </c:extLst>
        </c:ser>
        <c:dLbls>
          <c:showLegendKey val="0"/>
          <c:showVal val="0"/>
          <c:showCatName val="0"/>
          <c:showSerName val="0"/>
          <c:showPercent val="0"/>
          <c:showBubbleSize val="0"/>
        </c:dLbls>
        <c:smooth val="0"/>
        <c:axId val="1043886928"/>
        <c:axId val="1026304432"/>
      </c:lineChart>
      <c:dateAx>
        <c:axId val="1043886928"/>
        <c:scaling>
          <c:orientation val="minMax"/>
          <c:max val="46387"/>
          <c:min val="45778"/>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6304432"/>
        <c:crosses val="autoZero"/>
        <c:auto val="1"/>
        <c:lblOffset val="100"/>
        <c:baseTimeUnit val="days"/>
      </c:dateAx>
      <c:valAx>
        <c:axId val="1026304432"/>
        <c:scaling>
          <c:orientation val="minMax"/>
          <c:max val="7500"/>
          <c:min val="4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886928"/>
        <c:crosses val="autoZero"/>
        <c:crossBetween val="between"/>
      </c:valAx>
      <c:spPr>
        <a:noFill/>
        <a:ln>
          <a:noFill/>
        </a:ln>
        <a:effectLst/>
      </c:spPr>
    </c:plotArea>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42862</xdr:colOff>
      <xdr:row>211</xdr:row>
      <xdr:rowOff>9526</xdr:rowOff>
    </xdr:from>
    <xdr:to>
      <xdr:col>15</xdr:col>
      <xdr:colOff>590550</xdr:colOff>
      <xdr:row>217</xdr:row>
      <xdr:rowOff>76200</xdr:rowOff>
    </xdr:to>
    <xdr:graphicFrame macro="">
      <xdr:nvGraphicFramePr>
        <xdr:cNvPr id="6" name="Chart 5">
          <a:extLst>
            <a:ext uri="{FF2B5EF4-FFF2-40B4-BE49-F238E27FC236}">
              <a16:creationId xmlns:a16="http://schemas.microsoft.com/office/drawing/2014/main" id="{C7E2DFFC-D03E-FAC6-870F-FB1EB0B095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704850</xdr:colOff>
      <xdr:row>5</xdr:row>
      <xdr:rowOff>42862</xdr:rowOff>
    </xdr:from>
    <xdr:to>
      <xdr:col>14</xdr:col>
      <xdr:colOff>1276350</xdr:colOff>
      <xdr:row>453</xdr:row>
      <xdr:rowOff>157162</xdr:rowOff>
    </xdr:to>
    <xdr:graphicFrame macro="">
      <xdr:nvGraphicFramePr>
        <xdr:cNvPr id="8" name="Chart 7">
          <a:extLst>
            <a:ext uri="{FF2B5EF4-FFF2-40B4-BE49-F238E27FC236}">
              <a16:creationId xmlns:a16="http://schemas.microsoft.com/office/drawing/2014/main" id="{425F0BAE-BFDF-7943-8618-791EF74BC4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4" xr16:uid="{E04FB620-D26A-4200-B011-A4DEF20A7CCE}" autoFormatId="16" applyNumberFormats="0" applyBorderFormats="0" applyFontFormats="0" applyPatternFormats="0" applyAlignmentFormats="0" applyWidthHeightFormats="0">
  <queryTableRefresh nextId="4">
    <queryTableFields count="3">
      <queryTableField id="1" name="Döviz Kuru" tableColumnId="1"/>
      <queryTableField id="2" name="Alış" tableColumnId="2"/>
      <queryTableField id="3" name="Satış"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1" xr16:uid="{5FA9FBFD-0EDD-443F-BB1D-8913EC451022}" autoFormatId="16" applyNumberFormats="0" applyBorderFormats="0" applyFontFormats="0" applyPatternFormats="0" applyAlignmentFormats="0" applyWidthHeightFormats="0">
  <queryTableRefresh nextId="8">
    <queryTableFields count="3">
      <queryTableField id="1" name="Column1" tableColumnId="1"/>
      <queryTableField id="2" name="Column2" tableColumnId="2"/>
      <queryTableField id="3" name="Column3" tableColumnId="3"/>
    </queryTableFields>
    <queryTableDeletedFields count="2">
      <deletedField name="Column4"/>
      <deletedField name="Column5"/>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2" xr16:uid="{404B98EE-9DE8-4A58-98FA-FB1BE36728BC}" autoFormatId="16" applyNumberFormats="0" applyBorderFormats="0" applyFontFormats="0" applyPatternFormats="0" applyAlignmentFormats="0" applyWidthHeightFormats="0">
  <queryTableRefresh nextId="4">
    <queryTableFields count="3">
      <queryTableField id="1" name="Altın Kuru" tableColumnId="1"/>
      <queryTableField id="2" name="Alış" tableColumnId="2"/>
      <queryTableField id="3" name="Satış"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6" connectionId="3" xr16:uid="{CFBE7102-0A47-4252-B3D4-F51DBF83D972}" autoFormatId="16" applyNumberFormats="0" applyBorderFormats="0" applyFontFormats="0" applyPatternFormats="0" applyAlignmentFormats="0" applyWidthHeightFormats="0">
  <queryTableRefresh nextId="4">
    <queryTableFields count="3">
      <queryTableField id="1" name="Altın Kuru" tableColumnId="1"/>
      <queryTableField id="2" name="Alış" tableColumnId="2"/>
      <queryTableField id="3" name="Satış"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1A2815-9C0E-4A06-9110-E90DC7AECF5D}" name="Live_USD" displayName="Live_USD" ref="B19:D20" tableType="queryTable" totalsRowShown="0" headerRowDxfId="753" dataDxfId="752">
  <autoFilter ref="B19:D20" xr:uid="{851A2815-9C0E-4A06-9110-E90DC7AECF5D}"/>
  <tableColumns count="3">
    <tableColumn id="1" xr3:uid="{7E555AE1-E142-45C5-85B5-0633B28A3E49}" uniqueName="1" name="Döviz Kuru" queryTableFieldId="1" dataDxfId="751"/>
    <tableColumn id="2" xr3:uid="{328F164D-D962-4B49-9CD0-EC588C1F619B}" uniqueName="2" name="Alış" queryTableFieldId="2" dataDxfId="750"/>
    <tableColumn id="3" xr3:uid="{B851B110-92C2-4D90-A287-A0F63D0EF860}" uniqueName="3" name="Satış" queryTableFieldId="3" dataDxfId="74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83DBABA-CA3E-44B1-A47C-FF0982C13FDB}" name="Changes" displayName="Changes" ref="B22:D25" tableType="queryTable" totalsRowShown="0" headerRowDxfId="748" dataDxfId="747">
  <autoFilter ref="B22:D25" xr:uid="{083DBABA-CA3E-44B1-A47C-FF0982C13FDB}"/>
  <tableColumns count="3">
    <tableColumn id="1" xr3:uid="{C781DF26-B65B-4F86-9497-4BB2161472ED}" uniqueName="1" name="Column1" queryTableFieldId="1" dataDxfId="746"/>
    <tableColumn id="2" xr3:uid="{57373632-3654-450F-B6B9-87DA30DBF418}" uniqueName="2" name="Column2" queryTableFieldId="2" dataDxfId="745"/>
    <tableColumn id="3" xr3:uid="{45373958-4CE3-4711-B093-485907EA6E07}" uniqueName="3" name="Column3" queryTableFieldId="3" dataDxfId="74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94F5E8-A7F2-473E-A3FA-7F03EE14844A}" name="Live_Gold" displayName="Live_Gold" ref="B15:D16" tableType="queryTable" totalsRowShown="0" headerRowDxfId="743">
  <autoFilter ref="B15:D16" xr:uid="{FF94F5E8-A7F2-473E-A3FA-7F03EE14844A}"/>
  <tableColumns count="3">
    <tableColumn id="1" xr3:uid="{D6C8C928-D22E-4357-995A-0574C72E13BA}" uniqueName="1" name="Altın Kuru" queryTableFieldId="1" dataDxfId="742"/>
    <tableColumn id="2" xr3:uid="{3133F3C2-0E04-477E-9EC5-DD2480E3DCF9}" uniqueName="2" name="Alış" queryTableFieldId="2" dataDxfId="741"/>
    <tableColumn id="3" xr3:uid="{46689312-B788-44FC-915F-7F78AF0EF382}" uniqueName="3" name="Satış" queryTableFieldId="3" dataDxfId="74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F4EF383C-5CC2-4D02-8E20-CE4356F8862B}" name="Live_Silver" displayName="Live_Silver" ref="B17:D18" tableType="queryTable" totalsRowShown="0">
  <autoFilter ref="B17:D18" xr:uid="{F4EF383C-5CC2-4D02-8E20-CE4356F8862B}"/>
  <tableColumns count="3">
    <tableColumn id="1" xr3:uid="{931A1739-7826-4FE7-8852-178277461804}" uniqueName="1" name="Altın Kuru" queryTableFieldId="1" dataDxfId="739"/>
    <tableColumn id="2" xr3:uid="{5066BE17-81DE-47C4-A2A4-48D88670DF25}" uniqueName="2" name="Alış" queryTableFieldId="2"/>
    <tableColumn id="3" xr3:uid="{7D7C3140-FF7A-4C2E-86A9-BF4A89852A0F}" uniqueName="3" name="Satış"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B7FAC-BC5A-4B81-ADD8-64B8121A1B9B}">
  <sheetPr codeName="Sheet1"/>
  <dimension ref="B1:N27"/>
  <sheetViews>
    <sheetView tabSelected="1" workbookViewId="0">
      <selection activeCell="G12" sqref="G12"/>
    </sheetView>
  </sheetViews>
  <sheetFormatPr defaultColWidth="9.140625" defaultRowHeight="14.25"/>
  <cols>
    <col min="1" max="1" width="5.28515625" style="3" customWidth="1"/>
    <col min="2" max="2" width="15.28515625" style="3" bestFit="1" customWidth="1"/>
    <col min="3" max="4" width="14.42578125" style="3" bestFit="1" customWidth="1"/>
    <col min="5" max="5" width="13.5703125" style="3" customWidth="1"/>
    <col min="6" max="6" width="10.5703125" style="3" bestFit="1" customWidth="1"/>
    <col min="7" max="7" width="17.28515625" style="3" customWidth="1"/>
    <col min="8" max="8" width="11.5703125" style="3" bestFit="1" customWidth="1"/>
    <col min="9" max="10" width="13.140625" style="3" bestFit="1" customWidth="1"/>
    <col min="11" max="11" width="20" style="3" customWidth="1"/>
    <col min="12" max="12" width="9.140625" style="3"/>
    <col min="13" max="13" width="13.140625" style="3" bestFit="1" customWidth="1"/>
    <col min="14" max="14" width="13.28515625" style="3" customWidth="1"/>
    <col min="15" max="15" width="9.140625" style="3"/>
    <col min="16" max="16" width="8.85546875" style="3" customWidth="1"/>
    <col min="17" max="17" width="9.140625" style="3"/>
    <col min="18" max="18" width="8.85546875" style="3" customWidth="1"/>
    <col min="19" max="16384" width="9.140625" style="3"/>
  </cols>
  <sheetData>
    <row r="1" spans="2:14" ht="29.25" thickBot="1">
      <c r="B1" s="42" t="s">
        <v>264</v>
      </c>
      <c r="C1" s="33" t="s">
        <v>133</v>
      </c>
      <c r="D1" s="33" t="s">
        <v>134</v>
      </c>
      <c r="E1" s="36" t="s">
        <v>135</v>
      </c>
      <c r="G1" s="35">
        <f ca="1">NOW()</f>
        <v>46242.973606018517</v>
      </c>
      <c r="H1" s="33" t="s">
        <v>133</v>
      </c>
      <c r="I1" s="33" t="s">
        <v>134</v>
      </c>
      <c r="J1" s="34" t="s">
        <v>135</v>
      </c>
      <c r="L1" s="47" t="s">
        <v>265</v>
      </c>
      <c r="M1" s="48" t="s">
        <v>133</v>
      </c>
      <c r="N1" s="49" t="s">
        <v>269</v>
      </c>
    </row>
    <row r="2" spans="2:14">
      <c r="B2" s="43" t="s">
        <v>238</v>
      </c>
      <c r="C2" s="8">
        <f>IFERROR(MAX(Ledger!A:A),0)</f>
        <v>0</v>
      </c>
      <c r="D2" s="8">
        <f>IFERROR(MAX(Ledger!L:L),"N/A")</f>
        <v>0</v>
      </c>
      <c r="E2" s="37" cm="1">
        <f t="array" ref="E2">IFERROR(MAX(Ledger!W:W),a)</f>
        <v>0</v>
      </c>
      <c r="G2" s="20" t="s">
        <v>139</v>
      </c>
      <c r="H2" s="3">
        <f>I16</f>
        <v>6704.5</v>
      </c>
      <c r="I2" s="3">
        <f>I18</f>
        <v>97.48</v>
      </c>
      <c r="J2" s="97">
        <f>I20</f>
        <v>47.77</v>
      </c>
      <c r="L2" s="26" t="s">
        <v>266</v>
      </c>
      <c r="M2" s="3">
        <f ca="1">Forecast!B3</f>
        <v>6660.82</v>
      </c>
      <c r="N2" s="22">
        <f ca="1">1-Forecast!F3</f>
        <v>0.9727540167977633</v>
      </c>
    </row>
    <row r="3" spans="2:14">
      <c r="B3" s="43" t="s">
        <v>239</v>
      </c>
      <c r="C3" s="3" t="e">
        <f>_xlfn.XLOOKUP(C2,Ledger!A:A,Ledger!E:E)</f>
        <v>#N/A</v>
      </c>
      <c r="D3" s="3" t="e">
        <f>_xlfn.XLOOKUP(D2,Ledger!L:L,Ledger!P:P)</f>
        <v>#N/A</v>
      </c>
      <c r="E3" s="38" t="e">
        <f>_xlfn.XLOOKUP(E2,Ledger!W:W,Ledger!AA:AA)</f>
        <v>#N/A</v>
      </c>
      <c r="G3" s="20" t="s">
        <v>237</v>
      </c>
      <c r="H3" s="3">
        <f>H16</f>
        <v>6513.01</v>
      </c>
      <c r="I3" s="3">
        <f>H18</f>
        <v>94.6</v>
      </c>
      <c r="J3" s="97">
        <f>H20</f>
        <v>47.76</v>
      </c>
      <c r="L3" s="26" t="s">
        <v>267</v>
      </c>
      <c r="M3" s="3">
        <f ca="1">Forecast!B4</f>
        <v>6672.1956763505405</v>
      </c>
      <c r="N3" s="22">
        <f ca="1">1-Forecast!F4</f>
        <v>0.96108814115460095</v>
      </c>
    </row>
    <row r="4" spans="2:14" ht="29.25" thickBot="1">
      <c r="B4" s="43" t="s">
        <v>240</v>
      </c>
      <c r="C4" s="3" t="e">
        <f>_xlfn.XLOOKUP(C2,Ledger!A:A,Ledger!C:C)</f>
        <v>#N/A</v>
      </c>
      <c r="D4" s="3" t="e">
        <f>_xlfn.XLOOKUP(D2,Ledger!L:L,Ledger!N:N)</f>
        <v>#N/A</v>
      </c>
      <c r="E4" s="38" t="e">
        <f>_xlfn.XLOOKUP(E2,Ledger!W:W,Ledger!Y:Y)</f>
        <v>#N/A</v>
      </c>
      <c r="G4" s="20" t="s">
        <v>11</v>
      </c>
      <c r="H4" s="18">
        <f>K16</f>
        <v>2.8561413975687937E-2</v>
      </c>
      <c r="I4" s="18">
        <f>K18</f>
        <v>2.954452195322127E-2</v>
      </c>
      <c r="J4" s="22">
        <f>K20</f>
        <v>2.0933640360069322E-4</v>
      </c>
      <c r="L4" s="26" t="s">
        <v>268</v>
      </c>
      <c r="M4" s="3">
        <f ca="1">Forecast!B5</f>
        <v>6694.947029051621</v>
      </c>
      <c r="N4" s="22">
        <f ca="1">1-Forecast!F5</f>
        <v>0.93274206418843608</v>
      </c>
    </row>
    <row r="5" spans="2:14" ht="29.25" thickBot="1">
      <c r="B5" s="43" t="s">
        <v>242</v>
      </c>
      <c r="C5" s="3" t="e">
        <f>_xlfn.XLOOKUP(C2,Ledger!A:A,Ledger!D:D)</f>
        <v>#N/A</v>
      </c>
      <c r="D5" s="3" t="e">
        <f>_xlfn.XLOOKUP(D2,Ledger!L:L,Ledger!O:O)</f>
        <v>#N/A</v>
      </c>
      <c r="E5" s="38" t="e">
        <f>_xlfn.XLOOKUP(E2,Ledger!W:W,Ledger!Z:Z)</f>
        <v>#N/A</v>
      </c>
      <c r="G5" s="20" t="s">
        <v>141</v>
      </c>
      <c r="H5" s="19">
        <f ca="1">Trends!E3</f>
        <v>0</v>
      </c>
      <c r="I5" s="19">
        <f ca="1">Trends!F3</f>
        <v>0</v>
      </c>
      <c r="J5" s="23">
        <f ca="1">Trends!G3</f>
        <v>0</v>
      </c>
      <c r="L5" s="32"/>
      <c r="M5" s="33" t="s">
        <v>134</v>
      </c>
      <c r="N5" s="34" t="s">
        <v>269</v>
      </c>
    </row>
    <row r="6" spans="2:14" ht="42.75">
      <c r="B6" s="43" t="s">
        <v>243</v>
      </c>
      <c r="C6" s="3" t="e">
        <f>C4*H3</f>
        <v>#N/A</v>
      </c>
      <c r="D6" s="3" t="e">
        <f>D4*I3</f>
        <v>#N/A</v>
      </c>
      <c r="E6" s="38" t="e">
        <f>E4*J3</f>
        <v>#N/A</v>
      </c>
      <c r="G6" s="20" t="s">
        <v>142</v>
      </c>
      <c r="H6" s="3" t="str">
        <f>Trends!E9</f>
        <v>Strong Uptrend</v>
      </c>
      <c r="I6" s="3" t="str">
        <f>Trends!F9</f>
        <v>Strong Uptrend</v>
      </c>
      <c r="J6" s="21" t="str">
        <f>Trends!G9</f>
        <v>Stable</v>
      </c>
      <c r="L6" s="26" t="s">
        <v>266</v>
      </c>
      <c r="M6" s="3">
        <f ca="1">Forecast!B14</f>
        <v>97.339999999999989</v>
      </c>
      <c r="N6" s="22">
        <f ca="1">1-Forecast!F14</f>
        <v>0.95613424262982849</v>
      </c>
    </row>
    <row r="7" spans="2:14" ht="30">
      <c r="B7" s="44" t="s">
        <v>244</v>
      </c>
      <c r="C7" s="6">
        <f>Ledger!J2</f>
        <v>0</v>
      </c>
      <c r="D7" s="3">
        <f>Ledger!U2</f>
        <v>0</v>
      </c>
      <c r="E7" s="38">
        <f>Ledger!AG2</f>
        <v>0</v>
      </c>
      <c r="G7" s="20" t="s">
        <v>225</v>
      </c>
      <c r="H7" s="134" t="str">
        <f>Trends!E10</f>
        <v>Medium Volatility</v>
      </c>
      <c r="I7" s="134" t="str">
        <f>Trends!F10</f>
        <v>Low Volatility</v>
      </c>
      <c r="J7" s="135" t="str">
        <f>Trends!G10</f>
        <v>Low Volatility</v>
      </c>
      <c r="L7" s="26" t="s">
        <v>267</v>
      </c>
      <c r="M7" s="3">
        <f ca="1">Forecast!B15</f>
        <v>95.163618026840666</v>
      </c>
      <c r="N7" s="22">
        <f ca="1">1-Forecast!F15</f>
        <v>0.94329575571426139</v>
      </c>
    </row>
    <row r="8" spans="2:14" ht="15.75" thickBot="1">
      <c r="B8" s="45" t="s">
        <v>254</v>
      </c>
      <c r="C8" s="27" t="e">
        <f>Ledger!J5</f>
        <v>#DIV/0!</v>
      </c>
      <c r="D8" s="27" t="e">
        <f>Ledger!U5</f>
        <v>#DIV/0!</v>
      </c>
      <c r="E8" s="39" t="e">
        <f>Ledger!AG4</f>
        <v>#DIV/0!</v>
      </c>
      <c r="G8" s="20" t="s">
        <v>232</v>
      </c>
      <c r="H8" s="19">
        <f>Trends!E11</f>
        <v>-0.1160921751939116</v>
      </c>
      <c r="I8" s="5">
        <f>Trends!F11</f>
        <v>-0.40131619410787872</v>
      </c>
      <c r="J8" s="23">
        <f>Trends!G11</f>
        <v>0</v>
      </c>
      <c r="L8" s="26" t="s">
        <v>268</v>
      </c>
      <c r="M8" s="3">
        <f ca="1">Forecast!B16</f>
        <v>97.271586548653474</v>
      </c>
      <c r="N8" s="22">
        <f ca="1">1-Forecast!F16</f>
        <v>0.91692415928130377</v>
      </c>
    </row>
    <row r="9" spans="2:14" ht="15.75" thickBot="1">
      <c r="B9" s="44" t="s">
        <v>241</v>
      </c>
      <c r="C9" s="27">
        <f>Ledger!J6</f>
        <v>0</v>
      </c>
      <c r="D9" s="27">
        <f>Ledger!U6</f>
        <v>0</v>
      </c>
      <c r="E9" s="38">
        <f>Ledger!AG5</f>
        <v>0</v>
      </c>
      <c r="F9" s="99">
        <f>SUM(C9:E9)</f>
        <v>0</v>
      </c>
      <c r="G9" s="24" t="s">
        <v>228</v>
      </c>
      <c r="H9" s="25" t="str">
        <f ca="1">Trends!E12</f>
        <v>HOLD</v>
      </c>
      <c r="I9" s="25" t="str">
        <f ca="1">Trends!F12</f>
        <v>HOLD</v>
      </c>
      <c r="J9" s="25" t="str">
        <f ca="1">Trends!G12</f>
        <v>HOLD</v>
      </c>
      <c r="L9" s="32"/>
      <c r="M9" s="33" t="s">
        <v>135</v>
      </c>
      <c r="N9" s="34" t="s">
        <v>269</v>
      </c>
    </row>
    <row r="10" spans="2:14" ht="15">
      <c r="B10" s="44" t="s">
        <v>252</v>
      </c>
      <c r="C10" s="28">
        <f>Ledger!J8</f>
        <v>0</v>
      </c>
      <c r="D10" s="28">
        <f>Ledger!U8</f>
        <v>0</v>
      </c>
      <c r="E10" s="40">
        <f>Ledger!AG7</f>
        <v>0</v>
      </c>
      <c r="F10" s="99">
        <f t="shared" ref="F10" si="0">SUM(C10:E10)</f>
        <v>0</v>
      </c>
      <c r="L10" s="26" t="s">
        <v>266</v>
      </c>
      <c r="M10" s="3">
        <f ca="1">Forecast!B25</f>
        <v>47.698952048473345</v>
      </c>
      <c r="N10" s="22">
        <f ca="1">1-Forecast!F25</f>
        <v>0.99956236421756595</v>
      </c>
    </row>
    <row r="11" spans="2:14" ht="15.75" thickBot="1">
      <c r="B11" s="46" t="s">
        <v>253</v>
      </c>
      <c r="C11" s="29" t="e">
        <f>Ledger!J9</f>
        <v>#DIV/0!</v>
      </c>
      <c r="D11" s="11" t="e">
        <f>Ledger!U9</f>
        <v>#DIV/0!</v>
      </c>
      <c r="E11" s="41" t="e">
        <f>Ledger!AG8</f>
        <v>#DIV/0!</v>
      </c>
      <c r="F11" s="99"/>
      <c r="L11" s="26" t="s">
        <v>267</v>
      </c>
      <c r="M11" s="3">
        <f ca="1">Forecast!B26</f>
        <v>47.730349281578903</v>
      </c>
      <c r="N11" s="22">
        <f ca="1">1-Forecast!F26</f>
        <v>0.99956716191706663</v>
      </c>
    </row>
    <row r="12" spans="2:14" ht="15" thickBot="1">
      <c r="B12" s="2"/>
      <c r="L12" s="30" t="s">
        <v>268</v>
      </c>
      <c r="M12" s="25">
        <f ca="1">Forecast!B27</f>
        <v>47.877759641294716</v>
      </c>
      <c r="N12" s="31">
        <f ca="1">1-Forecast!F27</f>
        <v>0.99955447798739672</v>
      </c>
    </row>
    <row r="13" spans="2:14" ht="33">
      <c r="B13" s="152" t="s">
        <v>256</v>
      </c>
      <c r="C13" s="152"/>
      <c r="D13" s="152"/>
    </row>
    <row r="14" spans="2:14">
      <c r="H14" s="151" t="s">
        <v>140</v>
      </c>
      <c r="I14" s="151"/>
      <c r="J14" s="151"/>
      <c r="K14" s="151"/>
      <c r="L14" s="151"/>
      <c r="M14" s="151"/>
      <c r="N14" s="151"/>
    </row>
    <row r="15" spans="2:14" ht="15">
      <c r="B15" s="3" t="s">
        <v>6</v>
      </c>
      <c r="C15" s="3" t="s">
        <v>7</v>
      </c>
      <c r="D15" s="3" t="s">
        <v>8</v>
      </c>
      <c r="J15" s="3" t="s">
        <v>11</v>
      </c>
      <c r="K15" s="3" t="s">
        <v>15</v>
      </c>
    </row>
    <row r="16" spans="2:14">
      <c r="B16" s="3" t="s">
        <v>9</v>
      </c>
      <c r="C16" s="3" t="s">
        <v>1605</v>
      </c>
      <c r="D16" s="3" t="s">
        <v>1606</v>
      </c>
      <c r="E16" s="4"/>
      <c r="F16" s="4"/>
      <c r="H16" s="3">
        <f>VALUE(SUBSTITUTE(SUBSTITUTE(C16, ".", ""), ",", "."))</f>
        <v>6513.01</v>
      </c>
      <c r="I16" s="3">
        <f>VALUE(SUBSTITUTE(SUBSTITUTE(D16, ".", ""), ",", "."))</f>
        <v>6704.5</v>
      </c>
      <c r="J16" s="3">
        <f>I16-H16</f>
        <v>191.48999999999978</v>
      </c>
      <c r="K16" s="5">
        <f>J16/I16</f>
        <v>2.8561413975687937E-2</v>
      </c>
      <c r="L16" s="3" t="str">
        <f>IF(K16 &lt; 0.01, "Good", IF(K16 &lt;= 0.025, "Neutral", "Bad"))</f>
        <v>Bad</v>
      </c>
      <c r="N16" s="3" t="str">
        <f>IF(AND(K16&lt;0.01, K24&lt;-0.003), "BUY", "WAIT")</f>
        <v>WAIT</v>
      </c>
    </row>
    <row r="17" spans="2:14" ht="15">
      <c r="B17" s="3" t="s">
        <v>6</v>
      </c>
      <c r="C17" t="s">
        <v>7</v>
      </c>
      <c r="D17" t="s">
        <v>8</v>
      </c>
      <c r="E17"/>
      <c r="F17"/>
      <c r="G17" s="3" t="s">
        <v>1604</v>
      </c>
      <c r="H17" s="8">
        <f ca="1">_xlfn.XLOOKUP(H16,Trends!E:E,Trends!D:D, ,-1)</f>
        <v>46055</v>
      </c>
      <c r="I17" s="12">
        <f ca="1">G1-H17</f>
        <v>187.97360601851688</v>
      </c>
    </row>
    <row r="18" spans="2:14" ht="15">
      <c r="B18" s="3" t="s">
        <v>10</v>
      </c>
      <c r="C18">
        <v>9460</v>
      </c>
      <c r="D18">
        <v>9748</v>
      </c>
      <c r="E18"/>
      <c r="F18"/>
      <c r="G18"/>
      <c r="H18" s="3">
        <f>Live_Silver[[#This Row],[Alış]]/100</f>
        <v>94.6</v>
      </c>
      <c r="I18" s="3">
        <f>Live_Silver[[#This Row],[Satış]]/100</f>
        <v>97.48</v>
      </c>
      <c r="J18" s="3">
        <f>I18-H18</f>
        <v>2.8800000000000097</v>
      </c>
      <c r="K18" s="5">
        <f>J18/I18</f>
        <v>2.954452195322127E-2</v>
      </c>
      <c r="L18" s="3" t="str">
        <f>IF(K18 &lt; 0.01, "Good", IF(K18 &lt;= 0.025, "Neutral", "Bad"))</f>
        <v>Bad</v>
      </c>
      <c r="N18" s="3" t="str">
        <f>IF(AND(K18&lt;0.01, K25&lt;-0.003), "BUY", "WAIT")</f>
        <v>WAIT</v>
      </c>
    </row>
    <row r="19" spans="2:14" ht="15">
      <c r="B19" s="3" t="s">
        <v>12</v>
      </c>
      <c r="C19" s="3" t="s">
        <v>7</v>
      </c>
      <c r="D19" s="3" t="s">
        <v>8</v>
      </c>
      <c r="G19" s="3" t="s">
        <v>1602</v>
      </c>
      <c r="H19" s="8">
        <f>_xlfn.XLOOKUP(H18,Trends!W:W,Trends!V:V, ,-1)</f>
        <v>46240</v>
      </c>
      <c r="I19" s="12">
        <f ca="1">G1-H19</f>
        <v>2.9736060185168753</v>
      </c>
    </row>
    <row r="20" spans="2:14" ht="28.5">
      <c r="B20" s="3" t="s">
        <v>13</v>
      </c>
      <c r="C20" s="3">
        <v>477600</v>
      </c>
      <c r="D20" s="3">
        <v>477700</v>
      </c>
      <c r="H20" s="3">
        <f>C20/10000</f>
        <v>47.76</v>
      </c>
      <c r="I20" s="3">
        <f>D20/10000</f>
        <v>47.77</v>
      </c>
      <c r="J20" s="3">
        <f>I20-H20</f>
        <v>1.0000000000005116E-2</v>
      </c>
      <c r="K20" s="5">
        <f>J20/I20</f>
        <v>2.0933640360069322E-4</v>
      </c>
      <c r="L20" s="3" t="str">
        <f>IF(K20 &lt; 0.01, "Good", IF(K20 &lt;= 0.025, "Neutral", "Bad"))</f>
        <v>Good</v>
      </c>
      <c r="N20" s="3" t="str">
        <f>IF(AND(K20&lt;0.01, K23&lt;-0.003), "BUY", "WAIT")</f>
        <v>WAIT</v>
      </c>
    </row>
    <row r="21" spans="2:14">
      <c r="G21" s="3" t="s">
        <v>1603</v>
      </c>
      <c r="H21" s="8">
        <f>_xlfn.XLOOKUP(H20,Trends!AM:AM,Trends!AL:AL, ,-1)</f>
        <v>46241</v>
      </c>
      <c r="I21" s="12">
        <f ca="1">G1-H21</f>
        <v>1.9736060185168753</v>
      </c>
    </row>
    <row r="22" spans="2:14" ht="15">
      <c r="B22" s="3" t="s">
        <v>0</v>
      </c>
      <c r="C22" s="3" t="s">
        <v>1</v>
      </c>
      <c r="D22" s="3" t="s">
        <v>2</v>
      </c>
      <c r="K22" s="3" t="s">
        <v>138</v>
      </c>
    </row>
    <row r="23" spans="2:14">
      <c r="B23" s="3" t="s">
        <v>4</v>
      </c>
      <c r="C23" s="3" t="s">
        <v>1596</v>
      </c>
      <c r="D23" s="3">
        <v>0.18</v>
      </c>
      <c r="K23" s="5">
        <f>0.01*Changes[[#This Row],[Column3]]</f>
        <v>1.8E-3</v>
      </c>
      <c r="L23" s="3" t="str">
        <f>IF(K23 &lt; -0.003, "Good", IF(K23 &lt;= 0.003, "Neutral", "Bad"))</f>
        <v>Neutral</v>
      </c>
    </row>
    <row r="24" spans="2:14">
      <c r="B24" s="3" t="s">
        <v>3</v>
      </c>
      <c r="C24" s="3" t="s">
        <v>1597</v>
      </c>
      <c r="D24" s="3">
        <v>2.59</v>
      </c>
      <c r="K24" s="5">
        <f>0.01*Changes[[#This Row],[Column3]]</f>
        <v>2.5899999999999999E-2</v>
      </c>
      <c r="L24" s="3" t="str">
        <f>IF(K24 &lt; -0.003, "Good", IF(K24 &lt;= 0.003, "Neutral", "Bad"))</f>
        <v>Bad</v>
      </c>
    </row>
    <row r="25" spans="2:14">
      <c r="B25" s="3" t="s">
        <v>5</v>
      </c>
      <c r="C25" s="3" t="s">
        <v>1598</v>
      </c>
      <c r="D25" s="3">
        <v>3.57</v>
      </c>
      <c r="K25" s="5">
        <f>0.01*Changes[[#This Row],[Column3]]</f>
        <v>3.5700000000000003E-2</v>
      </c>
      <c r="L25" s="3" t="str">
        <f>IF(K25 &lt; -0.003, "Good", IF(K25 &lt;= 0.003, "Neutral", "Bad"))</f>
        <v>Bad</v>
      </c>
    </row>
    <row r="27" spans="2:14" ht="28.5">
      <c r="B27" s="3" t="s">
        <v>227</v>
      </c>
      <c r="C27" s="3">
        <v>41.68</v>
      </c>
    </row>
  </sheetData>
  <mergeCells count="2">
    <mergeCell ref="H14:N14"/>
    <mergeCell ref="B13:D13"/>
  </mergeCells>
  <phoneticPr fontId="2" type="noConversion"/>
  <conditionalFormatting sqref="H4:J4 K16 K18 K20">
    <cfRule type="cellIs" dxfId="782" priority="26" operator="between">
      <formula>0.01</formula>
      <formula>0.025</formula>
    </cfRule>
    <cfRule type="cellIs" dxfId="781" priority="27" operator="lessThan">
      <formula>0.01</formula>
    </cfRule>
    <cfRule type="cellIs" dxfId="780" priority="28" operator="greaterThan">
      <formula>0.025</formula>
    </cfRule>
  </conditionalFormatting>
  <conditionalFormatting sqref="H5:J5 K23:K25">
    <cfRule type="cellIs" dxfId="779" priority="29" operator="greaterThan">
      <formula>0.003</formula>
    </cfRule>
    <cfRule type="cellIs" dxfId="778" priority="30" operator="between">
      <formula>-0.003</formula>
      <formula>0.003</formula>
    </cfRule>
    <cfRule type="cellIs" dxfId="777" priority="31" operator="lessThan">
      <formula>-0.003</formula>
    </cfRule>
  </conditionalFormatting>
  <conditionalFormatting sqref="H6:J6">
    <cfRule type="containsText" dxfId="776" priority="16" operator="containsText" text="Weak">
      <formula>NOT(ISERROR(SEARCH("Weak",H6)))</formula>
    </cfRule>
    <cfRule type="containsText" dxfId="775" priority="17" operator="containsText" text="Down">
      <formula>NOT(ISERROR(SEARCH("Down",H6)))</formula>
    </cfRule>
    <cfRule type="containsText" dxfId="774" priority="18" operator="containsText" text="Up">
      <formula>NOT(ISERROR(SEARCH("Up",H6)))</formula>
    </cfRule>
  </conditionalFormatting>
  <conditionalFormatting sqref="H7:J7 I8:J9 H9">
    <cfRule type="containsText" dxfId="773" priority="19" operator="containsText" text="Low">
      <formula>NOT(ISERROR(SEARCH("Low",H7)))</formula>
    </cfRule>
  </conditionalFormatting>
  <conditionalFormatting sqref="H8:J8">
    <cfRule type="cellIs" dxfId="772" priority="20" operator="lessThan">
      <formula>-0.05</formula>
    </cfRule>
    <cfRule type="cellIs" dxfId="771" priority="21" operator="equal">
      <formula>0</formula>
    </cfRule>
  </conditionalFormatting>
  <conditionalFormatting sqref="F10 H9:J9">
    <cfRule type="containsText" dxfId="770" priority="22" operator="containsText" text="Sell">
      <formula>NOT(ISERROR(SEARCH("Sell",F9)))</formula>
    </cfRule>
    <cfRule type="containsText" dxfId="769" priority="23" operator="containsText" text="Hold">
      <formula>NOT(ISERROR(SEARCH("Hold",F9)))</formula>
    </cfRule>
    <cfRule type="containsText" dxfId="768" priority="24" operator="containsText" text="Wait">
      <formula>NOT(ISERROR(SEARCH("Wait",F9)))</formula>
    </cfRule>
    <cfRule type="containsText" dxfId="767" priority="25" operator="containsText" text="Buy">
      <formula>NOT(ISERROR(SEARCH("Buy",F9)))</formula>
    </cfRule>
  </conditionalFormatting>
  <conditionalFormatting sqref="C10:E11">
    <cfRule type="cellIs" dxfId="766" priority="12" operator="greaterThan">
      <formula>0</formula>
    </cfRule>
    <cfRule type="cellIs" dxfId="765" priority="13" operator="lessThan">
      <formula>0</formula>
    </cfRule>
  </conditionalFormatting>
  <conditionalFormatting sqref="A12:XFD1048576 K9 B1:E7 A1:A11 F1:O8 M9:O9 K10:O11 T1:XFD11 E9:F11 E8:E9 B8:D11 G8:J9">
    <cfRule type="containsText" dxfId="764" priority="9" operator="containsText" text="USD">
      <formula>NOT(ISERROR(SEARCH("USD",A1)))</formula>
    </cfRule>
    <cfRule type="containsText" dxfId="763" priority="10" operator="containsText" text="Silver">
      <formula>NOT(ISERROR(SEARCH("Silver",A1)))</formula>
    </cfRule>
    <cfRule type="containsText" dxfId="762" priority="11" operator="containsText" text="Gold">
      <formula>NOT(ISERROR(SEARCH("Gold",A1)))</formula>
    </cfRule>
  </conditionalFormatting>
  <conditionalFormatting sqref="C6">
    <cfRule type="cellIs" dxfId="761" priority="7" operator="lessThan">
      <formula>$C$5</formula>
    </cfRule>
    <cfRule type="cellIs" dxfId="760" priority="8" operator="greaterThan">
      <formula>$C$5</formula>
    </cfRule>
  </conditionalFormatting>
  <conditionalFormatting sqref="D6">
    <cfRule type="cellIs" dxfId="759" priority="5" operator="lessThan">
      <formula>$D$5</formula>
    </cfRule>
    <cfRule type="cellIs" dxfId="758" priority="6" operator="greaterThan">
      <formula>$D$5</formula>
    </cfRule>
  </conditionalFormatting>
  <conditionalFormatting sqref="E6">
    <cfRule type="cellIs" dxfId="757" priority="3" operator="lessThan">
      <formula>$E$5</formula>
    </cfRule>
    <cfRule type="cellIs" dxfId="756" priority="4" operator="greaterThan">
      <formula>$E$5</formula>
    </cfRule>
  </conditionalFormatting>
  <conditionalFormatting sqref="H7:J7">
    <cfRule type="containsText" dxfId="755" priority="1" operator="containsText" text="High">
      <formula>NOT(ISERROR(SEARCH("High",H7)))</formula>
    </cfRule>
    <cfRule type="containsText" dxfId="754" priority="2" operator="containsText" text="Medium">
      <formula>NOT(ISERROR(SEARCH("Medium",H7)))</formula>
    </cfRule>
  </conditionalFormatting>
  <pageMargins left="0.7" right="0.7" top="0.75" bottom="0.75" header="0.3" footer="0.3"/>
  <pageSetup orientation="portrait"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5A591-BA6D-4F21-9DB0-C56653D6D59A}">
  <sheetPr codeName="Sheet3"/>
  <dimension ref="A1:AW637"/>
  <sheetViews>
    <sheetView topLeftCell="W10" workbookViewId="0">
      <selection activeCell="AM494" sqref="AM494"/>
    </sheetView>
  </sheetViews>
  <sheetFormatPr defaultColWidth="9.140625" defaultRowHeight="15"/>
  <cols>
    <col min="1" max="1" width="10.28515625" style="14" customWidth="1"/>
    <col min="2" max="2" width="9.140625" style="14" customWidth="1"/>
    <col min="3" max="3" width="13.85546875" style="14" customWidth="1"/>
    <col min="4" max="4" width="12.5703125" style="54" customWidth="1"/>
    <col min="5" max="5" width="13.140625" style="14" bestFit="1" customWidth="1"/>
    <col min="6" max="6" width="10.28515625" style="14" customWidth="1"/>
    <col min="7" max="7" width="13.140625" style="14" customWidth="1"/>
    <col min="8" max="8" width="10.5703125" style="14" bestFit="1" customWidth="1"/>
    <col min="9" max="10" width="11.5703125" style="14" customWidth="1"/>
    <col min="11" max="11" width="9.140625" style="16" customWidth="1"/>
    <col min="12" max="13" width="7.28515625" style="14" customWidth="1"/>
    <col min="14" max="14" width="13.140625" style="14" customWidth="1"/>
    <col min="15" max="15" width="20.140625" style="14" customWidth="1"/>
    <col min="16" max="16" width="9.140625" style="14" customWidth="1"/>
    <col min="17" max="18" width="9.140625" style="14"/>
    <col min="19" max="21" width="9.140625" style="14" customWidth="1"/>
    <col min="22" max="22" width="10.85546875" style="14" customWidth="1"/>
    <col min="23" max="23" width="9.42578125" style="14" bestFit="1" customWidth="1"/>
    <col min="24" max="25" width="9.42578125" style="14" customWidth="1"/>
    <col min="26" max="26" width="9.140625" style="14"/>
    <col min="27" max="31" width="9.140625" style="14" customWidth="1"/>
    <col min="32" max="32" width="12" style="14" customWidth="1"/>
    <col min="33" max="33" width="18.5703125" style="14" customWidth="1"/>
    <col min="34" max="34" width="9.140625" style="14"/>
    <col min="35" max="35" width="9.140625" style="14" customWidth="1"/>
    <col min="36" max="36" width="10.42578125" style="14" customWidth="1"/>
    <col min="37" max="37" width="9.140625" style="14" customWidth="1"/>
    <col min="38" max="38" width="12" style="14" customWidth="1"/>
    <col min="39" max="39" width="9.140625" style="14"/>
    <col min="40" max="40" width="9.140625" style="14" customWidth="1"/>
    <col min="41" max="41" width="10.28515625" style="14" customWidth="1"/>
    <col min="42" max="42" width="10.7109375" style="14" customWidth="1"/>
    <col min="43" max="47" width="9.140625" style="14" customWidth="1"/>
    <col min="48" max="16384" width="9.140625" style="14"/>
  </cols>
  <sheetData>
    <row r="1" spans="1:49">
      <c r="D1" s="117">
        <f ca="1">TODAY()</f>
        <v>46242</v>
      </c>
      <c r="E1" s="6" t="s">
        <v>133</v>
      </c>
      <c r="F1" s="6" t="s">
        <v>134</v>
      </c>
      <c r="G1" s="6" t="s">
        <v>135</v>
      </c>
      <c r="K1" s="14"/>
      <c r="L1" s="16"/>
    </row>
    <row r="2" spans="1:49" ht="30">
      <c r="D2" s="133" t="s">
        <v>132</v>
      </c>
      <c r="E2" s="6">
        <f>'Financial Tracker'!H2</f>
        <v>6704.5</v>
      </c>
      <c r="F2" s="6">
        <f>'Financial Tracker'!I2</f>
        <v>97.48</v>
      </c>
      <c r="G2" s="6">
        <f>'Financial Tracker'!J2</f>
        <v>47.77</v>
      </c>
    </row>
    <row r="3" spans="1:49" ht="30">
      <c r="D3" s="133" t="s">
        <v>136</v>
      </c>
      <c r="E3" s="7">
        <f ca="1">_xlfn.XLOOKUP($D$1,D$16:D$1005,H$16:H$1005)</f>
        <v>0</v>
      </c>
      <c r="F3" s="7">
        <f ca="1">_xlfn.XLOOKUP($D$1,V$16:V$1005,Z$16:Z$1005)</f>
        <v>0</v>
      </c>
      <c r="G3" s="7">
        <f ca="1">_xlfn.XLOOKUP($D$1,AL$16:AL$1005,AP$16:AP$1005)</f>
        <v>0</v>
      </c>
      <c r="J3" s="16"/>
      <c r="AB3" s="16"/>
      <c r="AR3" s="16"/>
    </row>
    <row r="4" spans="1:49">
      <c r="D4" s="6" t="s">
        <v>1591</v>
      </c>
      <c r="E4" s="7">
        <f ca="1">_xlfn.XLOOKUP($D$1,D$16:D$1005,K$16:K$1005)</f>
        <v>7.861067434016096E-2</v>
      </c>
      <c r="F4" s="7">
        <f ca="1">_xlfn.XLOOKUP($D$1,V$16:V$1005,AC$16:AC$1005)</f>
        <v>0.10626207523582236</v>
      </c>
      <c r="G4" s="7">
        <f ca="1">_xlfn.XLOOKUP($D$1,AL$16:AL$1005,AS$16:AS$1005)</f>
        <v>4.0305013185947709E-3</v>
      </c>
      <c r="J4" s="16"/>
      <c r="AB4" s="16"/>
      <c r="AR4" s="16"/>
    </row>
    <row r="5" spans="1:49">
      <c r="D5" s="6" t="s">
        <v>1592</v>
      </c>
      <c r="E5" s="7">
        <f ca="1">_xlfn.XLOOKUP($D$1,$D$11:$D$1000,$E$11:$E$1000,"",-1)/_xlfn.XLOOKUP($D$1-30,$D$11:$D$1000,$E$11:$E$1000,"",-1)-1</f>
        <v>7.1158976767074167E-2</v>
      </c>
      <c r="F5" s="7">
        <f ca="1">_xlfn.XLOOKUP($D$1,$V$11:$V$1000,$W$11:$W$1000,"",-1)/_xlfn.XLOOKUP($D$1-30,$V$11:$V$1000,$W$11:$W$1000,"",-1)-1</f>
        <v>7.6055715233252386E-2</v>
      </c>
      <c r="G5" s="7">
        <f ca="1">_xlfn.XLOOKUP($D$1,$AL$11:$AL$1000,$AM$11:$AM$1000,"",-1)/_xlfn.XLOOKUP($D$1-30,$AL$11:$AL$1000,$AM$11:$AM$1000,"",-1)-1</f>
        <v>1.712760309503647E-2</v>
      </c>
      <c r="J5" s="16"/>
      <c r="AB5" s="16"/>
      <c r="AR5" s="16"/>
    </row>
    <row r="6" spans="1:49">
      <c r="D6" s="6" t="s">
        <v>1593</v>
      </c>
      <c r="E6" s="7">
        <f ca="1">_xlfn.XLOOKUP($D$1,$D$11:$D$1000,$E$11:$E$1000,"",-1)/_xlfn.XLOOKUP($D$1-90,$D$11:$D$1000,$E$11:$E$1000,"",-1)-1</f>
        <v>-3.1240819009776599E-2</v>
      </c>
      <c r="F6" s="7">
        <f ca="1">_xlfn.XLOOKUP($D$1,$V$11:$V$1000,$W$11:$W$1000,"",-1)/_xlfn.XLOOKUP($D$1-90,$V$11:$V$1000,$W$11:$W$1000,"",-1)-1</f>
        <v>-0.16924127336348893</v>
      </c>
      <c r="G6" s="7">
        <f ca="1">_xlfn.XLOOKUP($D$1,$AL$11:$AL$1000,$AM$11:$AM$1000,"",-1)/_xlfn.XLOOKUP($D$1-90,$AL$11:$AL$1000,$AM$11:$AM$1000,"",-1)-1</f>
        <v>5.1837577061816908E-2</v>
      </c>
      <c r="J6" s="16"/>
      <c r="AB6" s="16"/>
      <c r="AR6" s="16"/>
    </row>
    <row r="7" spans="1:49">
      <c r="D7" s="6" t="s">
        <v>1594</v>
      </c>
      <c r="E7" s="7">
        <f ca="1">_xlfn.XLOOKUP($D$1,$D$11:$D$1000,$E$11:$E$1000,"",-1)/_xlfn.XLOOKUP($D$1-180,$D$11:$D$1000,$E$11:$E$1000,"",-1)-1</f>
        <v>-6.4373305614473852E-2</v>
      </c>
      <c r="F7" s="7">
        <f ca="1">_xlfn.XLOOKUP($D$1,$V$11:$V$1000,$W$11:$W$1000,"",-1)/_xlfn.XLOOKUP($D$1-180,$V$11:$V$1000,$W$11:$W$1000,"",-1)-1</f>
        <v>-0.17241965652099989</v>
      </c>
      <c r="G7" s="7">
        <f ca="1">_xlfn.XLOOKUP($D$1,$AL$11:$AL$1000,$AM$11:$AM$1000,"",-1)/_xlfn.XLOOKUP($D$1-180,$AL$11:$AL$1000,$AM$11:$AM$1000,"",-1)-1</f>
        <v>9.4381522409904939E-2</v>
      </c>
      <c r="J7" s="16"/>
      <c r="AB7" s="16"/>
      <c r="AR7" s="16"/>
    </row>
    <row r="8" spans="1:49">
      <c r="D8" s="6" t="s">
        <v>1595</v>
      </c>
      <c r="E8" s="7">
        <f ca="1">_xlfn.XLOOKUP($D$1,$D$11:$D$1000,$E$11:$E$1000,"",-1)/_xlfn.XLOOKUP($D$1-365,$D$11:$D$1000,$E$11:$E$1000,"",-1)-1</f>
        <v>0.48347884187082402</v>
      </c>
      <c r="F8" s="7">
        <f ca="1">IFERROR(_xlfn.XLOOKUP($D$1,$V$11:$V$1000,$W$11:$W$1000,"",-1)/_xlfn.XLOOKUP($D$1-365,$V$11:$V$1000,$W$11:$W$1000,"",-1)-1,"")</f>
        <v>0.91012558869701721</v>
      </c>
      <c r="G8" s="7">
        <f ca="1">IFERROR(_xlfn.XLOOKUP($D$1,$AL$11:$AL$1000,$AM$11:$AM$1000,"",-1)/_xlfn.XLOOKUP($D$1-365,$AL$11:$AL$1000,$AM$11:$AM$1000,"",-1)-1,"")</f>
        <v>0.17324643384161353</v>
      </c>
      <c r="J8" s="16"/>
      <c r="AB8" s="16"/>
      <c r="AR8" s="16"/>
    </row>
    <row r="9" spans="1:49" ht="30">
      <c r="D9" s="133" t="s">
        <v>143</v>
      </c>
      <c r="E9" s="6" t="s">
        <v>1587</v>
      </c>
      <c r="F9" s="6" t="s">
        <v>1587</v>
      </c>
      <c r="G9" s="6" t="s">
        <v>1588</v>
      </c>
      <c r="AB9" s="16"/>
      <c r="AR9" s="16"/>
    </row>
    <row r="10" spans="1:49" ht="30">
      <c r="D10" s="133" t="s">
        <v>226</v>
      </c>
      <c r="E10" s="6" t="s">
        <v>1589</v>
      </c>
      <c r="F10" s="6" t="s">
        <v>1590</v>
      </c>
      <c r="G10" s="6" t="s">
        <v>1590</v>
      </c>
    </row>
    <row r="11" spans="1:49">
      <c r="D11" s="133" t="s">
        <v>232</v>
      </c>
      <c r="E11" s="7">
        <v>-0.1160921751939116</v>
      </c>
      <c r="F11" s="7">
        <v>-0.40131619410787872</v>
      </c>
      <c r="G11" s="7">
        <v>0</v>
      </c>
    </row>
    <row r="12" spans="1:49">
      <c r="D12" s="2" t="s">
        <v>228</v>
      </c>
      <c r="E12" s="6" t="str">
        <f ca="1">IF(
 AND(E9="Strong Uptrend",E3&lt;=-0.3%,E10&lt;&gt;"High Volatility"),
 "BUY",
 IF(
   OR(
      AND(E9="Strong Downtrend",E10="Low Volatility"),
      AND(E9="Strong Downtrend",E10="Medium Volatility",E3&gt;=0.3%)
   ),
   "SELL",
   "HOLD"
 )
)</f>
        <v>HOLD</v>
      </c>
      <c r="F12" s="6" t="str">
        <f ca="1">IF(
 AND(F9="Strong Uptrend",F3&lt;=-0.75%,F10&lt;&gt;"High Volatility"),
 "BUY",
 IF(
   OR(
      AND(F9="Strong Downtrend",F10="Low Volatility"),
      AND(F9="Strong Downtrend",F10="Medium Volatility",F3&gt;=0.75%)
   ),
   "SELL",
   "HOLD"
 )
)</f>
        <v>HOLD</v>
      </c>
      <c r="G12" s="6" t="str">
        <f ca="1">IF(
 AND(G9="Strong Uptrend",G3&lt;=-0.2%,G10&lt;&gt;"High Volatility"),
 "BUY",
 IF(
   OR(
      AND(G9="Strong Downtrend",G10="Low Volatility"),
      AND(G9="Strong Downtrend",G10="Medium Volatility",G3&gt;=0.2%)
   ),
   "SELL",
   "HOLD"
 )
)</f>
        <v>HOLD</v>
      </c>
    </row>
    <row r="13" spans="1:49">
      <c r="D13" s="55"/>
      <c r="K13" s="54"/>
      <c r="L13" s="54"/>
    </row>
    <row r="14" spans="1:49">
      <c r="D14" s="55"/>
      <c r="K14" s="54"/>
      <c r="L14" s="54"/>
    </row>
    <row r="15" spans="1:49" ht="15.75" thickBot="1">
      <c r="A15" s="56" t="s">
        <v>16</v>
      </c>
      <c r="B15" s="56" t="s">
        <v>231</v>
      </c>
      <c r="C15" s="56" t="s">
        <v>17</v>
      </c>
      <c r="D15" s="57" t="s">
        <v>115</v>
      </c>
      <c r="E15" s="56" t="s">
        <v>114</v>
      </c>
      <c r="F15" s="56" t="s">
        <v>14</v>
      </c>
      <c r="G15" s="56" t="s">
        <v>230</v>
      </c>
      <c r="H15" s="14" t="s">
        <v>233</v>
      </c>
      <c r="I15" s="14" t="s">
        <v>40</v>
      </c>
      <c r="J15" s="14" t="s">
        <v>229</v>
      </c>
      <c r="K15" s="16" t="s">
        <v>235</v>
      </c>
      <c r="L15" s="14" t="s">
        <v>41</v>
      </c>
      <c r="M15" s="14" t="s">
        <v>223</v>
      </c>
      <c r="N15" s="14" t="s">
        <v>225</v>
      </c>
      <c r="O15" s="14" t="s">
        <v>142</v>
      </c>
      <c r="P15" s="14" t="s">
        <v>234</v>
      </c>
      <c r="Q15" s="14" t="s">
        <v>236</v>
      </c>
      <c r="S15" s="56" t="s">
        <v>16</v>
      </c>
      <c r="T15" s="56" t="s">
        <v>231</v>
      </c>
      <c r="U15" s="56" t="s">
        <v>17</v>
      </c>
      <c r="V15" s="57" t="s">
        <v>115</v>
      </c>
      <c r="W15" s="56" t="s">
        <v>114</v>
      </c>
      <c r="X15" s="56"/>
      <c r="Y15" s="56" t="s">
        <v>230</v>
      </c>
      <c r="Z15" s="14" t="s">
        <v>14</v>
      </c>
      <c r="AA15" s="14" t="s">
        <v>40</v>
      </c>
      <c r="AB15" s="14" t="s">
        <v>229</v>
      </c>
      <c r="AC15" s="16" t="s">
        <v>42</v>
      </c>
      <c r="AD15" s="14" t="s">
        <v>41</v>
      </c>
      <c r="AE15" s="14" t="s">
        <v>223</v>
      </c>
      <c r="AF15" s="14" t="s">
        <v>225</v>
      </c>
      <c r="AG15" s="14" t="s">
        <v>142</v>
      </c>
      <c r="AI15" s="56" t="s">
        <v>224</v>
      </c>
      <c r="AJ15" s="56"/>
      <c r="AK15" s="56" t="s">
        <v>17</v>
      </c>
      <c r="AL15" s="57" t="s">
        <v>115</v>
      </c>
      <c r="AM15" s="56" t="s">
        <v>114</v>
      </c>
      <c r="AN15" s="56" t="s">
        <v>867</v>
      </c>
      <c r="AO15" s="56" t="s">
        <v>230</v>
      </c>
      <c r="AP15" s="14" t="s">
        <v>14</v>
      </c>
      <c r="AQ15" s="14" t="s">
        <v>40</v>
      </c>
      <c r="AR15" s="14" t="s">
        <v>229</v>
      </c>
      <c r="AS15" s="16" t="s">
        <v>42</v>
      </c>
      <c r="AT15" s="14" t="s">
        <v>41</v>
      </c>
      <c r="AU15" s="14" t="s">
        <v>223</v>
      </c>
      <c r="AV15" s="14" t="s">
        <v>137</v>
      </c>
      <c r="AW15" s="14" t="s">
        <v>142</v>
      </c>
    </row>
    <row r="16" spans="1:49" ht="26.25" hidden="1" thickBot="1">
      <c r="A16" s="102" t="s">
        <v>113</v>
      </c>
      <c r="B16" s="103" t="s">
        <v>440</v>
      </c>
      <c r="C16" s="103" t="s">
        <v>441</v>
      </c>
      <c r="D16" s="15">
        <f t="shared" ref="D16:D79" si="0">DATEVALUE(
  SUBSTITUTE(SUBSTITUTE(SUBSTITUTE(SUBSTITUTE(SUBSTITUTE(SUBSTITUTE(SUBSTITUTE(SUBSTITUTE(SUBSTITUTE(SUBSTITUTE(SUBSTITUTE(SUBSTITUTE(A16, "Ocak", "January"), "Şubat", "February"), "Mart", "March"), "Nisan", "April"), "Mayıs", "May"), "Haziran", "June"), "Temmuz", "July"), "Ağustos", "August"), "Eylül", "September"), "Ekim", "October"), "Kasım", "November"), "Aralık", "December")
)</f>
        <v>45766</v>
      </c>
      <c r="E16" s="60">
        <f t="shared" ref="E16:E47" si="1">VALUE(SUBSTITUTE(SUBSTITUTE(C16, ".", ""), ",", "."))</f>
        <v>4210</v>
      </c>
      <c r="F16" s="61"/>
      <c r="G16" s="62">
        <f>((E16-MAX(E$16:E16))/MAX(E$16:E16))</f>
        <v>0</v>
      </c>
      <c r="I16" s="153">
        <f>AVERAGE(E16:E17)</f>
        <v>4210</v>
      </c>
      <c r="L16" s="153"/>
      <c r="M16" s="16"/>
      <c r="N16" s="16"/>
      <c r="O16" s="14" t="str">
        <f t="shared" ref="O16:O47" si="2">IF(AND(K16 &gt; 0.01, L16 &gt; 0.01), "Strong Uptrend",
 IF(AND(K16 &lt; -0.01, L16 &lt; -0.01), "Strong Downtrend",
 IF(ABS(L16) &lt; 0.005, "Stable", "Weak/Unconfirmed")))</f>
        <v>Stable</v>
      </c>
      <c r="S16" s="58" t="s">
        <v>113</v>
      </c>
      <c r="T16" s="59"/>
      <c r="U16" s="60" t="s">
        <v>144</v>
      </c>
      <c r="V16" s="15">
        <f t="shared" ref="V16:V79" si="3">D16</f>
        <v>45766</v>
      </c>
      <c r="W16" s="60">
        <f t="shared" ref="W16:W47" si="4">VALUE(SUBSTITUTE(SUBSTITUTE(U16, ".", ""), ",", "."))</f>
        <v>40.880000000000003</v>
      </c>
      <c r="X16" s="61"/>
      <c r="Y16" s="62">
        <f>((W16-MAX(W$16:W16))/MAX(W$16:W16))</f>
        <v>0</v>
      </c>
      <c r="Z16" s="16"/>
      <c r="AA16" s="153">
        <f>AVERAGE(W16:W17)</f>
        <v>40.880000000000003</v>
      </c>
      <c r="AG16" s="14" t="str">
        <f>IF(AND(AC16 &gt; 0.01, AD16 &gt; 0.01), "Strong Uptrend",
 IF(AND(AC16 &lt; -0.01, AD16 &lt; -0.01), "Strong Downtrend",
 IF(ABS(AD16) &lt; 0.005, "Stable", "Weak/Unconfirmed")))</f>
        <v>Stable</v>
      </c>
      <c r="AI16" s="58" t="s">
        <v>113</v>
      </c>
      <c r="AJ16" s="63"/>
      <c r="AK16" s="64">
        <v>381600</v>
      </c>
      <c r="AL16" s="15">
        <f>V16</f>
        <v>45766</v>
      </c>
      <c r="AM16" s="60">
        <f t="shared" ref="AM16:AM47" si="5">VALUE(SUBSTITUTE(SUBSTITUTE(AK16, ".", ""), ",", "."))/10000</f>
        <v>38.159999999999997</v>
      </c>
      <c r="AN16" s="61"/>
      <c r="AO16" s="62">
        <f>((AM16-MAX(AM$16:AM16))/MAX(AM$16:AM16))</f>
        <v>0</v>
      </c>
      <c r="AQ16" s="153">
        <f>AVERAGE(AM16:AM17)</f>
        <v>38.159999999999997</v>
      </c>
      <c r="AS16" s="16"/>
      <c r="AT16" s="153"/>
      <c r="AW16" s="14" t="str">
        <f t="shared" ref="AW16:AW47" si="6">IF(AND(AS16 &gt; 0.01, AT16 &gt; 0.01), "Strong Uptrend",
 IF(AND(AS16 &lt; -0.01, AT16 &lt; -0.01), "Strong Downtrend",
 IF(ABS(AT16) &lt; 0.005, "Stable", "Weak/Unconfirmed")))</f>
        <v>Stable</v>
      </c>
    </row>
    <row r="17" spans="1:49" ht="26.25" hidden="1" thickBot="1">
      <c r="A17" s="104" t="s">
        <v>44</v>
      </c>
      <c r="B17" s="105" t="s">
        <v>440</v>
      </c>
      <c r="C17" s="105" t="s">
        <v>441</v>
      </c>
      <c r="D17" s="15">
        <f t="shared" si="0"/>
        <v>45767</v>
      </c>
      <c r="E17" s="60">
        <f t="shared" si="1"/>
        <v>4210</v>
      </c>
      <c r="F17" s="61">
        <f t="shared" ref="F17:F48" si="7">E17-E16</f>
        <v>0</v>
      </c>
      <c r="G17" s="62">
        <f>((E17-MAX(E$16:E17))/MAX(E$16:E17))</f>
        <v>0</v>
      </c>
      <c r="H17" s="16">
        <f t="shared" ref="H17:H80" si="8">F17/E16</f>
        <v>0</v>
      </c>
      <c r="I17" s="153"/>
      <c r="L17" s="153"/>
      <c r="M17" s="16"/>
      <c r="N17" s="16"/>
      <c r="O17" s="14" t="str">
        <f t="shared" si="2"/>
        <v>Stable</v>
      </c>
      <c r="S17" s="58" t="s">
        <v>44</v>
      </c>
      <c r="T17" s="59"/>
      <c r="U17" s="60" t="s">
        <v>144</v>
      </c>
      <c r="V17" s="15">
        <f t="shared" si="3"/>
        <v>45767</v>
      </c>
      <c r="W17" s="60">
        <f t="shared" si="4"/>
        <v>40.880000000000003</v>
      </c>
      <c r="X17" s="61">
        <f>W17-W16</f>
        <v>0</v>
      </c>
      <c r="Y17" s="62">
        <f>((W17-MAX(W$16:W17))/MAX(W$16:W17))</f>
        <v>0</v>
      </c>
      <c r="Z17" s="16">
        <f>(W17-W16)/W16</f>
        <v>0</v>
      </c>
      <c r="AA17" s="153"/>
      <c r="AG17" s="14" t="str">
        <f>IF(AND(AC17 &gt; 0.01, AD17 &gt; 0.01), "Strong Uptrend",
 IF(AND(AC17 &lt; -0.01, AD17 &lt; -0.01), "Strong Downtrend",
 IF(ABS(AD17) &lt; 0.005, "Stable", "Weak/Unconfirmed")))</f>
        <v>Stable</v>
      </c>
      <c r="AI17" s="58" t="s">
        <v>44</v>
      </c>
      <c r="AJ17" s="63"/>
      <c r="AK17" s="64">
        <v>381600</v>
      </c>
      <c r="AL17" s="15">
        <f t="shared" ref="AL17:AL80" si="9">V17</f>
        <v>45767</v>
      </c>
      <c r="AM17" s="60">
        <f t="shared" si="5"/>
        <v>38.159999999999997</v>
      </c>
      <c r="AN17" s="61">
        <f>AM17-AM16</f>
        <v>0</v>
      </c>
      <c r="AO17" s="62">
        <f>((AM17-MAX(AM$16:AM17))/MAX(AM$16:AM17))</f>
        <v>0</v>
      </c>
      <c r="AP17" s="16">
        <f>(AM17-AM16)/AM16</f>
        <v>0</v>
      </c>
      <c r="AQ17" s="153"/>
      <c r="AS17" s="16"/>
      <c r="AT17" s="153"/>
      <c r="AW17" s="14" t="str">
        <f t="shared" si="6"/>
        <v>Stable</v>
      </c>
    </row>
    <row r="18" spans="1:49" ht="26.25" hidden="1" thickBot="1">
      <c r="A18" s="104" t="s">
        <v>45</v>
      </c>
      <c r="B18" s="105" t="s">
        <v>440</v>
      </c>
      <c r="C18" s="105" t="s">
        <v>442</v>
      </c>
      <c r="D18" s="15">
        <f t="shared" si="0"/>
        <v>45768</v>
      </c>
      <c r="E18" s="60">
        <f t="shared" si="1"/>
        <v>4319</v>
      </c>
      <c r="F18" s="61">
        <f t="shared" si="7"/>
        <v>109</v>
      </c>
      <c r="G18" s="62">
        <f>((E18-MAX(E$16:E18))/MAX(E$16:E18))</f>
        <v>0</v>
      </c>
      <c r="H18" s="16">
        <f t="shared" si="8"/>
        <v>2.5890736342042756E-2</v>
      </c>
      <c r="I18" s="153">
        <f>AVERAGE(E18:E24)</f>
        <v>4258.8571428571431</v>
      </c>
      <c r="L18" s="16">
        <f>(I18-I16)/I16</f>
        <v>1.1605022056328532E-2</v>
      </c>
      <c r="M18" s="16">
        <f>_xlfn.STDEV.S(F18:F24)/I18</f>
        <v>2.0982192274377937E-2</v>
      </c>
      <c r="N18" s="155" t="str">
        <f>IF(M18 &lt; 0.02, "Low Volatility",
 IF(M18 &gt; 0.1, "High Volatility", "Medium Volatility"))</f>
        <v>Medium Volatility</v>
      </c>
      <c r="O18" s="14" t="str">
        <f t="shared" si="2"/>
        <v>Weak/Unconfirmed</v>
      </c>
      <c r="S18" s="58" t="s">
        <v>45</v>
      </c>
      <c r="T18" s="59"/>
      <c r="U18" s="60" t="s">
        <v>145</v>
      </c>
      <c r="V18" s="15">
        <f t="shared" si="3"/>
        <v>45768</v>
      </c>
      <c r="W18" s="60">
        <f t="shared" si="4"/>
        <v>40.700000000000003</v>
      </c>
      <c r="X18" s="61">
        <f t="shared" ref="X18:X81" si="10">W18-W17</f>
        <v>-0.17999999999999972</v>
      </c>
      <c r="Y18" s="62">
        <f>((W18-MAX(W$16:W18))/MAX(W$16:W18))</f>
        <v>-4.4031311154598754E-3</v>
      </c>
      <c r="Z18" s="16">
        <f t="shared" ref="Z18:Z81" si="11">(W18-W17)/W17</f>
        <v>-4.4031311154598754E-3</v>
      </c>
      <c r="AA18" s="153">
        <f>AVERAGEIFS(W18:W24, W18:W24, "&gt;=0")</f>
        <v>41.541428571428575</v>
      </c>
      <c r="AD18" s="16">
        <f>(AA18-AA16)/AA16</f>
        <v>1.6179759575062933E-2</v>
      </c>
      <c r="AE18" s="16">
        <f>_xlfn.STDEV.S(X18:X24)/AA18</f>
        <v>2.0219276714673759E-2</v>
      </c>
      <c r="AF18" s="16" t="str">
        <f>IF(AE18 &lt; 0.02, "Low Volatility",
 IF(AE18 &gt; 0.1, "High Volatility", "Medium Volatility"))</f>
        <v>Medium Volatility</v>
      </c>
      <c r="AG18" s="14" t="str">
        <f t="shared" ref="AG18:AG80" si="12">IF(AND(AC18 &gt; 0.01, AD18 &gt; 0.01), "Strong Uptrend",
 IF(AND(AC18 &lt; -0.01, AD18 &lt; -0.01), "Strong Downtrend",
 IF(ABS(AD18) &lt; 0.005, "Stable", "Weak/Unconfirmed")))</f>
        <v>Weak/Unconfirmed</v>
      </c>
      <c r="AI18" s="58" t="s">
        <v>45</v>
      </c>
      <c r="AJ18" s="63"/>
      <c r="AK18" s="64">
        <v>382100</v>
      </c>
      <c r="AL18" s="15">
        <f t="shared" si="9"/>
        <v>45768</v>
      </c>
      <c r="AM18" s="60">
        <f t="shared" si="5"/>
        <v>38.21</v>
      </c>
      <c r="AN18" s="61">
        <f t="shared" ref="AN18:AN81" si="13">AM18-AM17</f>
        <v>5.0000000000004263E-2</v>
      </c>
      <c r="AO18" s="62">
        <f>((AM18-MAX(AM$16:AM18))/MAX(AM$16:AM18))</f>
        <v>0</v>
      </c>
      <c r="AP18" s="16">
        <f t="shared" ref="AP18:AP81" si="14">(AM18-AM17)/AM17</f>
        <v>1.3102725366877428E-3</v>
      </c>
      <c r="AQ18" s="153">
        <f>AVERAGE(AM18:AM24)</f>
        <v>38.351428571428578</v>
      </c>
      <c r="AS18" s="16"/>
      <c r="AT18" s="16">
        <f>(AQ18-AQ16)/AQ16</f>
        <v>5.0164719976043253E-3</v>
      </c>
      <c r="AU18" s="16">
        <f>_xlfn.STDEV.S(AN18:AN24)/AQ18</f>
        <v>1.6888720990189598E-3</v>
      </c>
      <c r="AV18" s="16" t="str">
        <f>IF(AU18 &lt; 0.02, "Low Volatility",
 IF(AU18 &gt; 0.1, "High Volatility", "Medium Volatility"))</f>
        <v>Low Volatility</v>
      </c>
      <c r="AW18" s="14" t="str">
        <f t="shared" si="6"/>
        <v>Weak/Unconfirmed</v>
      </c>
    </row>
    <row r="19" spans="1:49" ht="26.25" hidden="1" thickBot="1">
      <c r="A19" s="104" t="s">
        <v>46</v>
      </c>
      <c r="B19" s="105" t="s">
        <v>442</v>
      </c>
      <c r="C19" s="105" t="s">
        <v>443</v>
      </c>
      <c r="D19" s="15">
        <f t="shared" si="0"/>
        <v>45769</v>
      </c>
      <c r="E19" s="60">
        <f t="shared" si="1"/>
        <v>4370</v>
      </c>
      <c r="F19" s="61">
        <f t="shared" si="7"/>
        <v>51</v>
      </c>
      <c r="G19" s="62">
        <f>((E19-MAX(E$16:E19))/MAX(E$16:E19))</f>
        <v>0</v>
      </c>
      <c r="H19" s="16">
        <f t="shared" si="8"/>
        <v>1.18082889557768E-2</v>
      </c>
      <c r="I19" s="153"/>
      <c r="L19" s="16">
        <f>L18</f>
        <v>1.1605022056328532E-2</v>
      </c>
      <c r="M19" s="16"/>
      <c r="N19" s="155"/>
      <c r="O19" s="14" t="str">
        <f t="shared" si="2"/>
        <v>Weak/Unconfirmed</v>
      </c>
      <c r="S19" s="58" t="s">
        <v>46</v>
      </c>
      <c r="T19" s="59"/>
      <c r="U19" s="60" t="s">
        <v>146</v>
      </c>
      <c r="V19" s="15">
        <f t="shared" si="3"/>
        <v>45769</v>
      </c>
      <c r="W19" s="60">
        <f t="shared" si="4"/>
        <v>40.51</v>
      </c>
      <c r="X19" s="61">
        <f t="shared" si="10"/>
        <v>-0.19000000000000483</v>
      </c>
      <c r="Y19" s="62">
        <f>((W19-MAX(W$16:W19))/MAX(W$16:W19))</f>
        <v>-9.0508806262232025E-3</v>
      </c>
      <c r="Z19" s="16">
        <f t="shared" si="11"/>
        <v>-4.6683046683047864E-3</v>
      </c>
      <c r="AA19" s="153"/>
      <c r="AD19" s="16">
        <f>AD18</f>
        <v>1.6179759575062933E-2</v>
      </c>
      <c r="AE19" s="16"/>
      <c r="AF19" s="16" t="str">
        <f t="shared" ref="AF19:AF24" si="15">AF18</f>
        <v>Medium Volatility</v>
      </c>
      <c r="AG19" s="14" t="str">
        <f t="shared" si="12"/>
        <v>Weak/Unconfirmed</v>
      </c>
      <c r="AI19" s="58" t="s">
        <v>46</v>
      </c>
      <c r="AJ19" s="63"/>
      <c r="AK19" s="64">
        <v>383300</v>
      </c>
      <c r="AL19" s="15">
        <f t="shared" si="9"/>
        <v>45769</v>
      </c>
      <c r="AM19" s="60">
        <f t="shared" si="5"/>
        <v>38.33</v>
      </c>
      <c r="AN19" s="61">
        <f t="shared" si="13"/>
        <v>0.11999999999999744</v>
      </c>
      <c r="AO19" s="62">
        <f>((AM19-MAX(AM$16:AM19))/MAX(AM$16:AM19))</f>
        <v>0</v>
      </c>
      <c r="AP19" s="16">
        <f t="shared" si="14"/>
        <v>3.1405391258832096E-3</v>
      </c>
      <c r="AQ19" s="153"/>
      <c r="AS19" s="16"/>
      <c r="AT19" s="16">
        <f>AT18</f>
        <v>5.0164719976043253E-3</v>
      </c>
      <c r="AU19" s="16"/>
      <c r="AV19" s="16" t="str">
        <f t="shared" ref="AV19:AV24" si="16">AV18</f>
        <v>Low Volatility</v>
      </c>
      <c r="AW19" s="14" t="str">
        <f t="shared" si="6"/>
        <v>Weak/Unconfirmed</v>
      </c>
    </row>
    <row r="20" spans="1:49" ht="30.75" hidden="1" customHeight="1" thickBot="1">
      <c r="A20" s="104" t="s">
        <v>47</v>
      </c>
      <c r="B20" s="105" t="s">
        <v>443</v>
      </c>
      <c r="C20" s="105" t="s">
        <v>441</v>
      </c>
      <c r="D20" s="15">
        <f t="shared" si="0"/>
        <v>45770</v>
      </c>
      <c r="E20" s="60">
        <f t="shared" si="1"/>
        <v>4210</v>
      </c>
      <c r="F20" s="61">
        <f t="shared" si="7"/>
        <v>-160</v>
      </c>
      <c r="G20" s="62">
        <f>((E20-MAX(E$16:E20))/MAX(E$16:E20))</f>
        <v>-3.6613272311212815E-2</v>
      </c>
      <c r="H20" s="16">
        <f t="shared" si="8"/>
        <v>-3.6613272311212815E-2</v>
      </c>
      <c r="I20" s="153"/>
      <c r="L20" s="16">
        <f>L18</f>
        <v>1.1605022056328532E-2</v>
      </c>
      <c r="M20" s="16"/>
      <c r="N20" s="155"/>
      <c r="O20" s="14" t="str">
        <f t="shared" si="2"/>
        <v>Weak/Unconfirmed</v>
      </c>
      <c r="S20" s="58" t="s">
        <v>47</v>
      </c>
      <c r="T20" s="59"/>
      <c r="U20" s="60" t="s">
        <v>147</v>
      </c>
      <c r="V20" s="15">
        <f t="shared" si="3"/>
        <v>45770</v>
      </c>
      <c r="W20" s="60">
        <f t="shared" si="4"/>
        <v>42.39</v>
      </c>
      <c r="X20" s="61">
        <f t="shared" si="10"/>
        <v>1.8800000000000026</v>
      </c>
      <c r="Y20" s="62">
        <f>((W20-MAX(W$16:W20))/MAX(W$16:W20))</f>
        <v>0</v>
      </c>
      <c r="Z20" s="16">
        <f t="shared" si="11"/>
        <v>4.6408294248333808E-2</v>
      </c>
      <c r="AA20" s="153"/>
      <c r="AD20" s="16">
        <f>AD18</f>
        <v>1.6179759575062933E-2</v>
      </c>
      <c r="AE20" s="16"/>
      <c r="AF20" s="16" t="str">
        <f t="shared" si="15"/>
        <v>Medium Volatility</v>
      </c>
      <c r="AG20" s="14" t="str">
        <f t="shared" si="12"/>
        <v>Weak/Unconfirmed</v>
      </c>
      <c r="AI20" s="58" t="s">
        <v>47</v>
      </c>
      <c r="AJ20" s="63"/>
      <c r="AK20" s="64">
        <v>384200</v>
      </c>
      <c r="AL20" s="15">
        <f t="shared" si="9"/>
        <v>45770</v>
      </c>
      <c r="AM20" s="60">
        <f t="shared" si="5"/>
        <v>38.42</v>
      </c>
      <c r="AN20" s="61">
        <f t="shared" si="13"/>
        <v>9.0000000000003411E-2</v>
      </c>
      <c r="AO20" s="62">
        <f>((AM20-MAX(AM$16:AM20))/MAX(AM$16:AM20))</f>
        <v>0</v>
      </c>
      <c r="AP20" s="16">
        <f t="shared" si="14"/>
        <v>2.348030263501263E-3</v>
      </c>
      <c r="AQ20" s="153"/>
      <c r="AS20" s="16"/>
      <c r="AT20" s="16">
        <f>AT18</f>
        <v>5.0164719976043253E-3</v>
      </c>
      <c r="AU20" s="16"/>
      <c r="AV20" s="16" t="str">
        <f t="shared" si="16"/>
        <v>Low Volatility</v>
      </c>
      <c r="AW20" s="14" t="str">
        <f t="shared" si="6"/>
        <v>Weak/Unconfirmed</v>
      </c>
    </row>
    <row r="21" spans="1:49" ht="30.75" hidden="1" customHeight="1" thickBot="1">
      <c r="A21" s="104" t="s">
        <v>48</v>
      </c>
      <c r="B21" s="105" t="s">
        <v>441</v>
      </c>
      <c r="C21" s="105" t="s">
        <v>444</v>
      </c>
      <c r="D21" s="15">
        <f t="shared" si="0"/>
        <v>45771</v>
      </c>
      <c r="E21" s="60">
        <f t="shared" si="1"/>
        <v>4260</v>
      </c>
      <c r="F21" s="61">
        <f t="shared" si="7"/>
        <v>50</v>
      </c>
      <c r="G21" s="62">
        <f>((E21-MAX(E$16:E21))/MAX(E$16:E21))</f>
        <v>-2.5171624713958809E-2</v>
      </c>
      <c r="H21" s="16">
        <f t="shared" si="8"/>
        <v>1.1876484560570071E-2</v>
      </c>
      <c r="I21" s="153"/>
      <c r="L21" s="16">
        <f>L18</f>
        <v>1.1605022056328532E-2</v>
      </c>
      <c r="M21" s="16"/>
      <c r="N21" s="155"/>
      <c r="O21" s="14" t="str">
        <f t="shared" si="2"/>
        <v>Weak/Unconfirmed</v>
      </c>
      <c r="S21" s="58" t="s">
        <v>48</v>
      </c>
      <c r="T21" s="59"/>
      <c r="U21" s="60" t="s">
        <v>148</v>
      </c>
      <c r="V21" s="15">
        <f t="shared" si="3"/>
        <v>45771</v>
      </c>
      <c r="W21" s="60">
        <f t="shared" si="4"/>
        <v>42.04</v>
      </c>
      <c r="X21" s="61">
        <f t="shared" si="10"/>
        <v>-0.35000000000000142</v>
      </c>
      <c r="Y21" s="62">
        <f>((W21-MAX(W$16:W21))/MAX(W$16:W21))</f>
        <v>-8.2566643076197547E-3</v>
      </c>
      <c r="Z21" s="16">
        <f t="shared" si="11"/>
        <v>-8.2566643076197547E-3</v>
      </c>
      <c r="AA21" s="153"/>
      <c r="AD21" s="16">
        <f>AD18</f>
        <v>1.6179759575062933E-2</v>
      </c>
      <c r="AE21" s="16"/>
      <c r="AF21" s="16" t="str">
        <f t="shared" si="15"/>
        <v>Medium Volatility</v>
      </c>
      <c r="AG21" s="14" t="str">
        <f t="shared" si="12"/>
        <v>Weak/Unconfirmed</v>
      </c>
      <c r="AI21" s="58" t="s">
        <v>48</v>
      </c>
      <c r="AJ21" s="63"/>
      <c r="AK21" s="64">
        <v>383400</v>
      </c>
      <c r="AL21" s="15">
        <f t="shared" si="9"/>
        <v>45771</v>
      </c>
      <c r="AM21" s="60">
        <f t="shared" si="5"/>
        <v>38.340000000000003</v>
      </c>
      <c r="AN21" s="61">
        <f t="shared" si="13"/>
        <v>-7.9999999999998295E-2</v>
      </c>
      <c r="AO21" s="62">
        <f>((AM21-MAX(AM$16:AM21))/MAX(AM$16:AM21))</f>
        <v>-2.0822488287349896E-3</v>
      </c>
      <c r="AP21" s="16">
        <f t="shared" si="14"/>
        <v>-2.0822488287349896E-3</v>
      </c>
      <c r="AQ21" s="153"/>
      <c r="AS21" s="16"/>
      <c r="AT21" s="16">
        <f>AT18</f>
        <v>5.0164719976043253E-3</v>
      </c>
      <c r="AU21" s="16"/>
      <c r="AV21" s="16" t="str">
        <f t="shared" si="16"/>
        <v>Low Volatility</v>
      </c>
      <c r="AW21" s="14" t="str">
        <f t="shared" si="6"/>
        <v>Weak/Unconfirmed</v>
      </c>
    </row>
    <row r="22" spans="1:49" ht="30.75" hidden="1" customHeight="1" thickBot="1">
      <c r="A22" s="104" t="s">
        <v>49</v>
      </c>
      <c r="B22" s="105" t="s">
        <v>444</v>
      </c>
      <c r="C22" s="105" t="s">
        <v>445</v>
      </c>
      <c r="D22" s="15">
        <f t="shared" si="0"/>
        <v>45772</v>
      </c>
      <c r="E22" s="60">
        <f t="shared" si="1"/>
        <v>4195</v>
      </c>
      <c r="F22" s="61">
        <f t="shared" si="7"/>
        <v>-65</v>
      </c>
      <c r="G22" s="62">
        <f>((E22-MAX(E$16:E22))/MAX(E$16:E22))</f>
        <v>-4.0045766590389019E-2</v>
      </c>
      <c r="H22" s="16">
        <f t="shared" si="8"/>
        <v>-1.5258215962441314E-2</v>
      </c>
      <c r="I22" s="153"/>
      <c r="L22" s="16">
        <f>L18</f>
        <v>1.1605022056328532E-2</v>
      </c>
      <c r="M22" s="16"/>
      <c r="N22" s="155"/>
      <c r="O22" s="14" t="str">
        <f t="shared" si="2"/>
        <v>Weak/Unconfirmed</v>
      </c>
      <c r="S22" s="58" t="s">
        <v>49</v>
      </c>
      <c r="T22" s="59"/>
      <c r="U22" s="60" t="s">
        <v>149</v>
      </c>
      <c r="V22" s="15">
        <f t="shared" si="3"/>
        <v>45772</v>
      </c>
      <c r="W22" s="60">
        <f t="shared" si="4"/>
        <v>41.39</v>
      </c>
      <c r="X22" s="61">
        <f t="shared" si="10"/>
        <v>-0.64999999999999858</v>
      </c>
      <c r="Y22" s="62">
        <f>((W22-MAX(W$16:W22))/MAX(W$16:W22))</f>
        <v>-2.3590469450342062E-2</v>
      </c>
      <c r="Z22" s="16">
        <f t="shared" si="11"/>
        <v>-1.5461465271170281E-2</v>
      </c>
      <c r="AA22" s="153"/>
      <c r="AD22" s="16">
        <f>AD18</f>
        <v>1.6179759575062933E-2</v>
      </c>
      <c r="AE22" s="16"/>
      <c r="AF22" s="16" t="str">
        <f t="shared" si="15"/>
        <v>Medium Volatility</v>
      </c>
      <c r="AG22" s="14" t="str">
        <f t="shared" si="12"/>
        <v>Weak/Unconfirmed</v>
      </c>
      <c r="AI22" s="58" t="s">
        <v>49</v>
      </c>
      <c r="AJ22" s="63"/>
      <c r="AK22" s="64">
        <v>383600</v>
      </c>
      <c r="AL22" s="15">
        <f t="shared" si="9"/>
        <v>45772</v>
      </c>
      <c r="AM22" s="60">
        <f t="shared" si="5"/>
        <v>38.36</v>
      </c>
      <c r="AN22" s="61">
        <f t="shared" si="13"/>
        <v>1.9999999999996021E-2</v>
      </c>
      <c r="AO22" s="62">
        <f>((AM22-MAX(AM$16:AM22))/MAX(AM$16:AM22))</f>
        <v>-1.5616866215513346E-3</v>
      </c>
      <c r="AP22" s="16">
        <f t="shared" si="14"/>
        <v>5.2164840897224885E-4</v>
      </c>
      <c r="AQ22" s="153"/>
      <c r="AS22" s="16"/>
      <c r="AT22" s="16">
        <f>AT18</f>
        <v>5.0164719976043253E-3</v>
      </c>
      <c r="AU22" s="16"/>
      <c r="AV22" s="16" t="str">
        <f t="shared" si="16"/>
        <v>Low Volatility</v>
      </c>
      <c r="AW22" s="14" t="str">
        <f t="shared" si="6"/>
        <v>Weak/Unconfirmed</v>
      </c>
    </row>
    <row r="23" spans="1:49" ht="30.75" hidden="1" customHeight="1" thickBot="1">
      <c r="A23" s="104" t="s">
        <v>50</v>
      </c>
      <c r="B23" s="105" t="s">
        <v>444</v>
      </c>
      <c r="C23" s="105" t="s">
        <v>446</v>
      </c>
      <c r="D23" s="15">
        <f t="shared" si="0"/>
        <v>45773</v>
      </c>
      <c r="E23" s="60">
        <f t="shared" si="1"/>
        <v>4229</v>
      </c>
      <c r="F23" s="61">
        <f t="shared" si="7"/>
        <v>34</v>
      </c>
      <c r="G23" s="62">
        <f>((E23-MAX(E$16:E23))/MAX(E$16:E23))</f>
        <v>-3.226544622425629E-2</v>
      </c>
      <c r="H23" s="16">
        <f t="shared" si="8"/>
        <v>8.1048867699642438E-3</v>
      </c>
      <c r="I23" s="153"/>
      <c r="K23" s="16">
        <f t="shared" ref="K23:K54" si="17">(E23-E16)/E16</f>
        <v>4.513064133016627E-3</v>
      </c>
      <c r="L23" s="16">
        <f>L18</f>
        <v>1.1605022056328532E-2</v>
      </c>
      <c r="M23" s="16"/>
      <c r="N23" s="155"/>
      <c r="O23" s="14" t="str">
        <f t="shared" si="2"/>
        <v>Weak/Unconfirmed</v>
      </c>
      <c r="S23" s="58" t="s">
        <v>50</v>
      </c>
      <c r="T23" s="59"/>
      <c r="U23" s="60" t="s">
        <v>150</v>
      </c>
      <c r="V23" s="15">
        <f t="shared" si="3"/>
        <v>45773</v>
      </c>
      <c r="W23" s="60">
        <f t="shared" si="4"/>
        <v>41.87</v>
      </c>
      <c r="X23" s="61">
        <f t="shared" si="10"/>
        <v>0.47999999999999687</v>
      </c>
      <c r="Y23" s="62">
        <f>((W23-MAX(W$16:W23))/MAX(W$16:W23))</f>
        <v>-1.2267044114177946E-2</v>
      </c>
      <c r="Z23" s="16">
        <f t="shared" si="11"/>
        <v>1.1597004107272213E-2</v>
      </c>
      <c r="AA23" s="153"/>
      <c r="AC23" s="16">
        <f t="shared" ref="AC23:AC54" si="18">(W23-W16)/W16</f>
        <v>2.4217221135029228E-2</v>
      </c>
      <c r="AD23" s="16">
        <f>AD18</f>
        <v>1.6179759575062933E-2</v>
      </c>
      <c r="AE23" s="16"/>
      <c r="AF23" s="16" t="str">
        <f t="shared" si="15"/>
        <v>Medium Volatility</v>
      </c>
      <c r="AG23" s="14" t="str">
        <f t="shared" si="12"/>
        <v>Strong Uptrend</v>
      </c>
      <c r="AI23" s="58" t="s">
        <v>50</v>
      </c>
      <c r="AJ23" s="63"/>
      <c r="AK23" s="64">
        <v>384000</v>
      </c>
      <c r="AL23" s="15">
        <f t="shared" si="9"/>
        <v>45773</v>
      </c>
      <c r="AM23" s="60">
        <f t="shared" si="5"/>
        <v>38.4</v>
      </c>
      <c r="AN23" s="61">
        <f t="shared" si="13"/>
        <v>3.9999999999999147E-2</v>
      </c>
      <c r="AO23" s="62">
        <f>((AM23-MAX(AM$16:AM23))/MAX(AM$16:AM23))</f>
        <v>-5.2056220718383977E-4</v>
      </c>
      <c r="AP23" s="16">
        <f t="shared" si="14"/>
        <v>1.0427528675703635E-3</v>
      </c>
      <c r="AQ23" s="153"/>
      <c r="AS23" s="16">
        <f>(AM23-AM16)/AM16</f>
        <v>6.2893081761006813E-3</v>
      </c>
      <c r="AT23" s="16">
        <f>AT18</f>
        <v>5.0164719976043253E-3</v>
      </c>
      <c r="AU23" s="16"/>
      <c r="AV23" s="16" t="str">
        <f t="shared" si="16"/>
        <v>Low Volatility</v>
      </c>
      <c r="AW23" s="14" t="str">
        <f t="shared" si="6"/>
        <v>Weak/Unconfirmed</v>
      </c>
    </row>
    <row r="24" spans="1:49" ht="30.75" hidden="1" customHeight="1" thickBot="1">
      <c r="A24" s="104" t="s">
        <v>51</v>
      </c>
      <c r="B24" s="105" t="s">
        <v>444</v>
      </c>
      <c r="C24" s="105" t="s">
        <v>446</v>
      </c>
      <c r="D24" s="15">
        <f t="shared" si="0"/>
        <v>45774</v>
      </c>
      <c r="E24" s="60">
        <f t="shared" si="1"/>
        <v>4229</v>
      </c>
      <c r="F24" s="61">
        <f t="shared" si="7"/>
        <v>0</v>
      </c>
      <c r="G24" s="62">
        <f>((E24-MAX(E$16:E24))/MAX(E$16:E24))</f>
        <v>-3.226544622425629E-2</v>
      </c>
      <c r="H24" s="16">
        <f t="shared" si="8"/>
        <v>0</v>
      </c>
      <c r="I24" s="153"/>
      <c r="K24" s="16">
        <f t="shared" si="17"/>
        <v>4.513064133016627E-3</v>
      </c>
      <c r="L24" s="16">
        <f>L18</f>
        <v>1.1605022056328532E-2</v>
      </c>
      <c r="M24" s="16"/>
      <c r="N24" s="155"/>
      <c r="O24" s="14" t="str">
        <f t="shared" si="2"/>
        <v>Weak/Unconfirmed</v>
      </c>
      <c r="S24" s="58" t="s">
        <v>51</v>
      </c>
      <c r="T24" s="59"/>
      <c r="U24" s="60" t="s">
        <v>151</v>
      </c>
      <c r="V24" s="15">
        <f t="shared" si="3"/>
        <v>45774</v>
      </c>
      <c r="W24" s="60">
        <f t="shared" si="4"/>
        <v>41.89</v>
      </c>
      <c r="X24" s="61">
        <f t="shared" si="10"/>
        <v>2.0000000000003126E-2</v>
      </c>
      <c r="Y24" s="62">
        <f>((W24-MAX(W$16:W24))/MAX(W$16:W24))</f>
        <v>-1.1795234725171031E-2</v>
      </c>
      <c r="Z24" s="16">
        <f t="shared" si="11"/>
        <v>4.7766897540012248E-4</v>
      </c>
      <c r="AA24" s="153"/>
      <c r="AC24" s="16">
        <f t="shared" si="18"/>
        <v>2.4706457925635958E-2</v>
      </c>
      <c r="AD24" s="16">
        <f>AD18</f>
        <v>1.6179759575062933E-2</v>
      </c>
      <c r="AE24" s="16"/>
      <c r="AF24" s="16" t="str">
        <f t="shared" si="15"/>
        <v>Medium Volatility</v>
      </c>
      <c r="AG24" s="14" t="str">
        <f t="shared" si="12"/>
        <v>Strong Uptrend</v>
      </c>
      <c r="AI24" s="58" t="s">
        <v>51</v>
      </c>
      <c r="AJ24" s="63"/>
      <c r="AK24" s="64">
        <v>384000</v>
      </c>
      <c r="AL24" s="15">
        <f t="shared" si="9"/>
        <v>45774</v>
      </c>
      <c r="AM24" s="60">
        <f t="shared" si="5"/>
        <v>38.4</v>
      </c>
      <c r="AN24" s="61">
        <f t="shared" si="13"/>
        <v>0</v>
      </c>
      <c r="AO24" s="62">
        <f>((AM24-MAX(AM$16:AM24))/MAX(AM$16:AM24))</f>
        <v>-5.2056220718383977E-4</v>
      </c>
      <c r="AP24" s="16">
        <f t="shared" si="14"/>
        <v>0</v>
      </c>
      <c r="AQ24" s="153"/>
      <c r="AS24" s="16">
        <f t="shared" ref="AS24:AS87" si="19">(AM24-AM17)/AM17</f>
        <v>6.2893081761006813E-3</v>
      </c>
      <c r="AT24" s="16">
        <f>AT18</f>
        <v>5.0164719976043253E-3</v>
      </c>
      <c r="AU24" s="16"/>
      <c r="AV24" s="16" t="str">
        <f t="shared" si="16"/>
        <v>Low Volatility</v>
      </c>
      <c r="AW24" s="14" t="str">
        <f t="shared" si="6"/>
        <v>Weak/Unconfirmed</v>
      </c>
    </row>
    <row r="25" spans="1:49" ht="26.25" hidden="1" thickBot="1">
      <c r="A25" s="104" t="s">
        <v>52</v>
      </c>
      <c r="B25" s="105" t="s">
        <v>444</v>
      </c>
      <c r="C25" s="105" t="s">
        <v>447</v>
      </c>
      <c r="D25" s="15">
        <f t="shared" si="0"/>
        <v>45775</v>
      </c>
      <c r="E25" s="60">
        <f t="shared" si="1"/>
        <v>4208</v>
      </c>
      <c r="F25" s="61">
        <f t="shared" si="7"/>
        <v>-21</v>
      </c>
      <c r="G25" s="62">
        <f>((E25-MAX(E$16:E25))/MAX(E$16:E25))</f>
        <v>-3.7070938215102975E-2</v>
      </c>
      <c r="H25" s="16">
        <f t="shared" si="8"/>
        <v>-4.9657129344998817E-3</v>
      </c>
      <c r="I25" s="153">
        <f>AVERAGE(E25:E31)</f>
        <v>4169.4285714285716</v>
      </c>
      <c r="K25" s="65">
        <f t="shared" si="17"/>
        <v>-2.5700393609631861E-2</v>
      </c>
      <c r="L25" s="66">
        <f>(I25-I18)/I18</f>
        <v>-2.0998255735945288E-2</v>
      </c>
      <c r="M25" s="16">
        <f>_xlfn.STDEV.S(F25:F31)/I25</f>
        <v>1.0295352952835481E-2</v>
      </c>
      <c r="N25" s="16" t="str">
        <f>IF(M25 &lt; 0.02, "Low Volatility",
 IF(M25 &gt; 0.1, "High Volatility", "Medium Volatility"))</f>
        <v>Low Volatility</v>
      </c>
      <c r="O25" s="14" t="str">
        <f t="shared" si="2"/>
        <v>Strong Downtrend</v>
      </c>
      <c r="S25" s="58" t="s">
        <v>52</v>
      </c>
      <c r="T25" s="59"/>
      <c r="U25" s="60" t="s">
        <v>152</v>
      </c>
      <c r="V25" s="15">
        <f t="shared" si="3"/>
        <v>45775</v>
      </c>
      <c r="W25" s="60">
        <f t="shared" si="4"/>
        <v>41.51</v>
      </c>
      <c r="X25" s="61">
        <f t="shared" si="10"/>
        <v>-0.38000000000000256</v>
      </c>
      <c r="Y25" s="62">
        <f>((W25-MAX(W$16:W25))/MAX(W$16:W25))</f>
        <v>-2.0759613116301076E-2</v>
      </c>
      <c r="Z25" s="16">
        <f t="shared" si="11"/>
        <v>-9.0713774170447011E-3</v>
      </c>
      <c r="AA25" s="153">
        <f>AVERAGEIFS(W25:W31, W25:W31, "&gt;=0")</f>
        <v>40.841428571428573</v>
      </c>
      <c r="AC25" s="16">
        <f t="shared" si="18"/>
        <v>1.990171990171978E-2</v>
      </c>
      <c r="AD25" s="66">
        <f>(AA25-AA18)/AA18</f>
        <v>-1.6850648234120909E-2</v>
      </c>
      <c r="AE25" s="16">
        <f>_xlfn.STDEV.S(X25:X31)/AA25</f>
        <v>6.783993403813378E-3</v>
      </c>
      <c r="AF25" s="16" t="str">
        <f>IF(AE25 &lt; 0.02, "Low Volatility",
 IF(AE25 &gt; 0.1, "High Volatility", "Medium Volatility"))</f>
        <v>Low Volatility</v>
      </c>
      <c r="AG25" s="14" t="str">
        <f t="shared" si="12"/>
        <v>Weak/Unconfirmed</v>
      </c>
      <c r="AI25" s="58" t="s">
        <v>52</v>
      </c>
      <c r="AJ25" s="63"/>
      <c r="AK25" s="64">
        <v>383900</v>
      </c>
      <c r="AL25" s="15">
        <f t="shared" si="9"/>
        <v>45775</v>
      </c>
      <c r="AM25" s="60">
        <f t="shared" si="5"/>
        <v>38.39</v>
      </c>
      <c r="AN25" s="61">
        <f t="shared" si="13"/>
        <v>-9.9999999999980105E-3</v>
      </c>
      <c r="AO25" s="62">
        <f>((AM25-MAX(AM$16:AM25))/MAX(AM$16:AM25))</f>
        <v>-7.8084331077566728E-4</v>
      </c>
      <c r="AP25" s="16">
        <f t="shared" si="14"/>
        <v>-2.6041666666661489E-4</v>
      </c>
      <c r="AQ25" s="153">
        <f>AVERAGE(AM25:AM31)</f>
        <v>38.461428571428577</v>
      </c>
      <c r="AS25" s="65">
        <f t="shared" si="19"/>
        <v>4.7108086888249072E-3</v>
      </c>
      <c r="AT25" s="66">
        <f>(AQ25-AQ18)/AQ18</f>
        <v>2.8682112791477161E-3</v>
      </c>
      <c r="AU25" s="16">
        <f>_xlfn.STDEV.S(AN25:AN31)/AQ25</f>
        <v>1.9013182619875408E-3</v>
      </c>
      <c r="AV25" s="16" t="str">
        <f>IF(AU25 &lt; 0.02, "Low Volatility",
 IF(AU25 &gt; 0.1, "High Volatility", "Medium Volatility"))</f>
        <v>Low Volatility</v>
      </c>
      <c r="AW25" s="14" t="str">
        <f t="shared" si="6"/>
        <v>Stable</v>
      </c>
    </row>
    <row r="26" spans="1:49" ht="26.25" hidden="1" thickBot="1">
      <c r="A26" s="104" t="s">
        <v>53</v>
      </c>
      <c r="B26" s="105" t="s">
        <v>447</v>
      </c>
      <c r="C26" s="105" t="s">
        <v>448</v>
      </c>
      <c r="D26" s="15">
        <f t="shared" si="0"/>
        <v>45776</v>
      </c>
      <c r="E26" s="60">
        <f t="shared" si="1"/>
        <v>4225</v>
      </c>
      <c r="F26" s="61">
        <f t="shared" si="7"/>
        <v>17</v>
      </c>
      <c r="G26" s="62">
        <f>((E26-MAX(E$16:E26))/MAX(E$16:E26))</f>
        <v>-3.3180778032036611E-2</v>
      </c>
      <c r="H26" s="16">
        <f t="shared" si="8"/>
        <v>4.0399239543726234E-3</v>
      </c>
      <c r="I26" s="153"/>
      <c r="K26" s="67">
        <f t="shared" si="17"/>
        <v>-3.3180778032036611E-2</v>
      </c>
      <c r="L26" s="16">
        <f>L25</f>
        <v>-2.0998255735945288E-2</v>
      </c>
      <c r="M26" s="16"/>
      <c r="N26" s="16" t="str">
        <f t="shared" ref="N26:N31" si="20">N25</f>
        <v>Low Volatility</v>
      </c>
      <c r="O26" s="14" t="str">
        <f t="shared" si="2"/>
        <v>Strong Downtrend</v>
      </c>
      <c r="S26" s="58" t="s">
        <v>53</v>
      </c>
      <c r="T26" s="59"/>
      <c r="U26" s="60" t="s">
        <v>153</v>
      </c>
      <c r="V26" s="15">
        <f t="shared" si="3"/>
        <v>45776</v>
      </c>
      <c r="W26" s="60">
        <f t="shared" si="4"/>
        <v>41.34</v>
      </c>
      <c r="X26" s="61">
        <f t="shared" si="10"/>
        <v>-0.1699999999999946</v>
      </c>
      <c r="Y26" s="62">
        <f>((W26-MAX(W$16:W26))/MAX(W$16:W26))</f>
        <v>-2.4769992922859096E-2</v>
      </c>
      <c r="Z26" s="16">
        <f t="shared" si="11"/>
        <v>-4.0953986991085186E-3</v>
      </c>
      <c r="AA26" s="153"/>
      <c r="AC26" s="16">
        <f t="shared" si="18"/>
        <v>2.0488768205381522E-2</v>
      </c>
      <c r="AD26" s="16">
        <f>AD25</f>
        <v>-1.6850648234120909E-2</v>
      </c>
      <c r="AE26" s="16"/>
      <c r="AF26" s="16" t="str">
        <f t="shared" ref="AF26:AF31" si="21">AF25</f>
        <v>Low Volatility</v>
      </c>
      <c r="AG26" s="14" t="str">
        <f t="shared" si="12"/>
        <v>Weak/Unconfirmed</v>
      </c>
      <c r="AI26" s="58" t="s">
        <v>53</v>
      </c>
      <c r="AJ26" s="63"/>
      <c r="AK26" s="64">
        <v>383600</v>
      </c>
      <c r="AL26" s="15">
        <f t="shared" si="9"/>
        <v>45776</v>
      </c>
      <c r="AM26" s="60">
        <f t="shared" si="5"/>
        <v>38.36</v>
      </c>
      <c r="AN26" s="61">
        <f t="shared" si="13"/>
        <v>-3.0000000000001137E-2</v>
      </c>
      <c r="AO26" s="62">
        <f>((AM26-MAX(AM$16:AM26))/MAX(AM$16:AM26))</f>
        <v>-1.5616866215513346E-3</v>
      </c>
      <c r="AP26" s="16">
        <f t="shared" si="14"/>
        <v>-7.8145350351657033E-4</v>
      </c>
      <c r="AQ26" s="153"/>
      <c r="AS26" s="67">
        <f t="shared" si="19"/>
        <v>7.8267675450042107E-4</v>
      </c>
      <c r="AT26" s="16">
        <f>AT25</f>
        <v>2.8682112791477161E-3</v>
      </c>
      <c r="AU26" s="16"/>
      <c r="AV26" s="16" t="str">
        <f t="shared" ref="AV26:AV31" si="22">AV25</f>
        <v>Low Volatility</v>
      </c>
      <c r="AW26" s="14" t="str">
        <f t="shared" si="6"/>
        <v>Stable</v>
      </c>
    </row>
    <row r="27" spans="1:49" ht="26.25" hidden="1" thickBot="1">
      <c r="A27" s="104" t="s">
        <v>54</v>
      </c>
      <c r="B27" s="105" t="s">
        <v>448</v>
      </c>
      <c r="C27" s="105" t="s">
        <v>447</v>
      </c>
      <c r="D27" s="15">
        <f t="shared" si="0"/>
        <v>45777</v>
      </c>
      <c r="E27" s="60">
        <f t="shared" si="1"/>
        <v>4208</v>
      </c>
      <c r="F27" s="61">
        <f t="shared" si="7"/>
        <v>-17</v>
      </c>
      <c r="G27" s="62">
        <f>((E27-MAX(E$16:E27))/MAX(E$16:E27))</f>
        <v>-3.7070938215102975E-2</v>
      </c>
      <c r="H27" s="16">
        <f t="shared" si="8"/>
        <v>-4.0236686390532541E-3</v>
      </c>
      <c r="I27" s="153"/>
      <c r="K27" s="67">
        <f t="shared" si="17"/>
        <v>-4.7505938242280285E-4</v>
      </c>
      <c r="L27" s="16">
        <f>L25</f>
        <v>-2.0998255735945288E-2</v>
      </c>
      <c r="M27" s="16"/>
      <c r="N27" s="16" t="str">
        <f t="shared" si="20"/>
        <v>Low Volatility</v>
      </c>
      <c r="O27" s="14" t="str">
        <f t="shared" si="2"/>
        <v>Weak/Unconfirmed</v>
      </c>
      <c r="S27" s="58" t="s">
        <v>54</v>
      </c>
      <c r="T27" s="59"/>
      <c r="U27" s="60" t="s">
        <v>154</v>
      </c>
      <c r="V27" s="15">
        <f t="shared" si="3"/>
        <v>45777</v>
      </c>
      <c r="W27" s="60">
        <f t="shared" si="4"/>
        <v>40.94</v>
      </c>
      <c r="X27" s="61">
        <f t="shared" si="10"/>
        <v>-0.40000000000000568</v>
      </c>
      <c r="Y27" s="62">
        <f>((W27-MAX(W$16:W27))/MAX(W$16:W27))</f>
        <v>-3.4206180702996053E-2</v>
      </c>
      <c r="Z27" s="16">
        <f t="shared" si="11"/>
        <v>-9.6758587324626433E-3</v>
      </c>
      <c r="AA27" s="153"/>
      <c r="AC27" s="16">
        <f t="shared" si="18"/>
        <v>-3.4206180702996053E-2</v>
      </c>
      <c r="AD27" s="16">
        <f>AD25</f>
        <v>-1.6850648234120909E-2</v>
      </c>
      <c r="AE27" s="16"/>
      <c r="AF27" s="16" t="str">
        <f t="shared" si="21"/>
        <v>Low Volatility</v>
      </c>
      <c r="AG27" s="14" t="str">
        <f t="shared" si="12"/>
        <v>Strong Downtrend</v>
      </c>
      <c r="AI27" s="58" t="s">
        <v>54</v>
      </c>
      <c r="AJ27" s="63"/>
      <c r="AK27" s="64">
        <v>384700</v>
      </c>
      <c r="AL27" s="15">
        <f t="shared" si="9"/>
        <v>45777</v>
      </c>
      <c r="AM27" s="60">
        <f t="shared" si="5"/>
        <v>38.47</v>
      </c>
      <c r="AN27" s="61">
        <f t="shared" si="13"/>
        <v>0.10999999999999943</v>
      </c>
      <c r="AO27" s="62">
        <f>((AM27-MAX(AM$16:AM27))/MAX(AM$16:AM27))</f>
        <v>0</v>
      </c>
      <c r="AP27" s="16">
        <f t="shared" si="14"/>
        <v>2.8675703858185462E-3</v>
      </c>
      <c r="AQ27" s="153"/>
      <c r="AS27" s="67">
        <f t="shared" si="19"/>
        <v>1.3014055179593222E-3</v>
      </c>
      <c r="AT27" s="16">
        <f>AT25</f>
        <v>2.8682112791477161E-3</v>
      </c>
      <c r="AU27" s="16"/>
      <c r="AV27" s="16" t="str">
        <f t="shared" si="22"/>
        <v>Low Volatility</v>
      </c>
      <c r="AW27" s="14" t="str">
        <f t="shared" si="6"/>
        <v>Stable</v>
      </c>
    </row>
    <row r="28" spans="1:49" ht="26.25" thickBot="1">
      <c r="A28" s="104" t="s">
        <v>55</v>
      </c>
      <c r="B28" s="105" t="s">
        <v>447</v>
      </c>
      <c r="C28" s="105" t="s">
        <v>449</v>
      </c>
      <c r="D28" s="15">
        <f t="shared" si="0"/>
        <v>45778</v>
      </c>
      <c r="E28" s="60">
        <f t="shared" si="1"/>
        <v>4115</v>
      </c>
      <c r="F28" s="61">
        <f t="shared" si="7"/>
        <v>-93</v>
      </c>
      <c r="G28" s="62">
        <f>((E28-MAX(E$16:E28))/MAX(E$16:E28))</f>
        <v>-5.8352402745995423E-2</v>
      </c>
      <c r="H28" s="16">
        <f t="shared" si="8"/>
        <v>-2.2100760456273766E-2</v>
      </c>
      <c r="I28" s="153"/>
      <c r="K28" s="67">
        <f t="shared" si="17"/>
        <v>-3.4037558685446008E-2</v>
      </c>
      <c r="L28" s="16">
        <f>L25</f>
        <v>-2.0998255735945288E-2</v>
      </c>
      <c r="M28" s="16"/>
      <c r="N28" s="16" t="str">
        <f t="shared" si="20"/>
        <v>Low Volatility</v>
      </c>
      <c r="O28" s="14" t="str">
        <f t="shared" si="2"/>
        <v>Strong Downtrend</v>
      </c>
      <c r="S28" s="58" t="s">
        <v>55</v>
      </c>
      <c r="T28" s="59"/>
      <c r="U28" s="60" t="s">
        <v>155</v>
      </c>
      <c r="V28" s="15">
        <f t="shared" si="3"/>
        <v>45778</v>
      </c>
      <c r="W28" s="60">
        <f t="shared" si="4"/>
        <v>40.6</v>
      </c>
      <c r="X28" s="61">
        <f t="shared" si="10"/>
        <v>-0.33999999999999631</v>
      </c>
      <c r="Y28" s="62">
        <f>((W28-MAX(W$16:W28))/MAX(W$16:W28))</f>
        <v>-4.2226940316112273E-2</v>
      </c>
      <c r="Z28" s="16">
        <f t="shared" si="11"/>
        <v>-8.3048363458719174E-3</v>
      </c>
      <c r="AA28" s="153"/>
      <c r="AC28" s="16">
        <f t="shared" si="18"/>
        <v>-3.4253092293054184E-2</v>
      </c>
      <c r="AD28" s="16">
        <f>AD25</f>
        <v>-1.6850648234120909E-2</v>
      </c>
      <c r="AE28" s="16"/>
      <c r="AF28" s="16" t="str">
        <f t="shared" si="21"/>
        <v>Low Volatility</v>
      </c>
      <c r="AG28" s="14" t="str">
        <f t="shared" si="12"/>
        <v>Strong Downtrend</v>
      </c>
      <c r="AI28" s="58" t="s">
        <v>55</v>
      </c>
      <c r="AJ28" s="63"/>
      <c r="AK28" s="64">
        <v>384900</v>
      </c>
      <c r="AL28" s="15">
        <f t="shared" si="9"/>
        <v>45778</v>
      </c>
      <c r="AM28" s="60">
        <f t="shared" si="5"/>
        <v>38.49</v>
      </c>
      <c r="AN28" s="61">
        <f t="shared" si="13"/>
        <v>2.0000000000003126E-2</v>
      </c>
      <c r="AO28" s="62">
        <f>((AM28-MAX(AM$16:AM28))/MAX(AM$16:AM28))</f>
        <v>0</v>
      </c>
      <c r="AP28" s="16">
        <f t="shared" si="14"/>
        <v>5.1988562516254552E-4</v>
      </c>
      <c r="AQ28" s="153"/>
      <c r="AS28" s="67">
        <f t="shared" si="19"/>
        <v>3.9123630672926075E-3</v>
      </c>
      <c r="AT28" s="16">
        <f>AT25</f>
        <v>2.8682112791477161E-3</v>
      </c>
      <c r="AU28" s="16"/>
      <c r="AV28" s="16" t="str">
        <f t="shared" si="22"/>
        <v>Low Volatility</v>
      </c>
      <c r="AW28" s="14" t="str">
        <f t="shared" si="6"/>
        <v>Stable</v>
      </c>
    </row>
    <row r="29" spans="1:49" ht="26.25" hidden="1" thickBot="1">
      <c r="A29" s="104" t="s">
        <v>56</v>
      </c>
      <c r="B29" s="105" t="s">
        <v>449</v>
      </c>
      <c r="C29" s="105" t="s">
        <v>450</v>
      </c>
      <c r="D29" s="15">
        <f t="shared" si="0"/>
        <v>45779</v>
      </c>
      <c r="E29" s="60">
        <f t="shared" si="1"/>
        <v>4160</v>
      </c>
      <c r="F29" s="61">
        <f t="shared" si="7"/>
        <v>45</v>
      </c>
      <c r="G29" s="62">
        <f>((E29-MAX(E$16:E29))/MAX(E$16:E29))</f>
        <v>-4.8054919908466817E-2</v>
      </c>
      <c r="H29" s="16">
        <f t="shared" si="8"/>
        <v>1.0935601458080195E-2</v>
      </c>
      <c r="I29" s="153"/>
      <c r="K29" s="67">
        <f t="shared" si="17"/>
        <v>-8.3432657926102508E-3</v>
      </c>
      <c r="L29" s="16">
        <f>L25</f>
        <v>-2.0998255735945288E-2</v>
      </c>
      <c r="M29" s="16"/>
      <c r="N29" s="16" t="str">
        <f t="shared" si="20"/>
        <v>Low Volatility</v>
      </c>
      <c r="O29" s="14" t="str">
        <f t="shared" si="2"/>
        <v>Weak/Unconfirmed</v>
      </c>
      <c r="S29" s="58" t="s">
        <v>56</v>
      </c>
      <c r="T29" s="59"/>
      <c r="U29" s="60" t="s">
        <v>156</v>
      </c>
      <c r="V29" s="15">
        <f t="shared" si="3"/>
        <v>45779</v>
      </c>
      <c r="W29" s="60">
        <f t="shared" si="4"/>
        <v>40.26</v>
      </c>
      <c r="X29" s="61">
        <f t="shared" si="10"/>
        <v>-0.34000000000000341</v>
      </c>
      <c r="Y29" s="62">
        <f>((W29-MAX(W$16:W29))/MAX(W$16:W29))</f>
        <v>-5.0247699929228652E-2</v>
      </c>
      <c r="Z29" s="16">
        <f t="shared" si="11"/>
        <v>-8.3743842364532861E-3</v>
      </c>
      <c r="AA29" s="153"/>
      <c r="AC29" s="16">
        <f t="shared" si="18"/>
        <v>-2.7301280502536905E-2</v>
      </c>
      <c r="AD29" s="16">
        <f>AD25</f>
        <v>-1.6850648234120909E-2</v>
      </c>
      <c r="AE29" s="16"/>
      <c r="AF29" s="16" t="str">
        <f t="shared" si="21"/>
        <v>Low Volatility</v>
      </c>
      <c r="AG29" s="14" t="str">
        <f t="shared" si="12"/>
        <v>Strong Downtrend</v>
      </c>
      <c r="AI29" s="58" t="s">
        <v>56</v>
      </c>
      <c r="AJ29" s="63"/>
      <c r="AK29" s="64">
        <v>384200</v>
      </c>
      <c r="AL29" s="15">
        <f t="shared" si="9"/>
        <v>45779</v>
      </c>
      <c r="AM29" s="60">
        <f t="shared" si="5"/>
        <v>38.42</v>
      </c>
      <c r="AN29" s="61">
        <f t="shared" si="13"/>
        <v>-7.0000000000000284E-2</v>
      </c>
      <c r="AO29" s="62">
        <f>((AM29-MAX(AM$16:AM29))/MAX(AM$16:AM29))</f>
        <v>-1.818654195895045E-3</v>
      </c>
      <c r="AP29" s="16">
        <f t="shared" si="14"/>
        <v>-1.818654195895045E-3</v>
      </c>
      <c r="AQ29" s="153"/>
      <c r="AS29" s="67">
        <f t="shared" si="19"/>
        <v>1.564129301355638E-3</v>
      </c>
      <c r="AT29" s="16">
        <f>AT25</f>
        <v>2.8682112791477161E-3</v>
      </c>
      <c r="AU29" s="16"/>
      <c r="AV29" s="16" t="str">
        <f t="shared" si="22"/>
        <v>Low Volatility</v>
      </c>
      <c r="AW29" s="14" t="str">
        <f t="shared" si="6"/>
        <v>Stable</v>
      </c>
    </row>
    <row r="30" spans="1:49" ht="26.25" hidden="1" thickBot="1">
      <c r="A30" s="104" t="s">
        <v>57</v>
      </c>
      <c r="B30" s="105" t="s">
        <v>449</v>
      </c>
      <c r="C30" s="105" t="s">
        <v>451</v>
      </c>
      <c r="D30" s="15">
        <f t="shared" si="0"/>
        <v>45780</v>
      </c>
      <c r="E30" s="60">
        <f t="shared" si="1"/>
        <v>4135</v>
      </c>
      <c r="F30" s="61">
        <f t="shared" si="7"/>
        <v>-25</v>
      </c>
      <c r="G30" s="62">
        <f>((E30-MAX(E$16:E30))/MAX(E$16:E30))</f>
        <v>-5.3775743707093822E-2</v>
      </c>
      <c r="H30" s="16">
        <f t="shared" si="8"/>
        <v>-6.0096153846153849E-3</v>
      </c>
      <c r="I30" s="153"/>
      <c r="K30" s="67">
        <f t="shared" si="17"/>
        <v>-2.2227476944904234E-2</v>
      </c>
      <c r="L30" s="16">
        <f>L25</f>
        <v>-2.0998255735945288E-2</v>
      </c>
      <c r="M30" s="16"/>
      <c r="N30" s="16" t="str">
        <f t="shared" si="20"/>
        <v>Low Volatility</v>
      </c>
      <c r="O30" s="14" t="str">
        <f t="shared" si="2"/>
        <v>Strong Downtrend</v>
      </c>
      <c r="S30" s="58" t="s">
        <v>57</v>
      </c>
      <c r="T30" s="59"/>
      <c r="U30" s="60" t="s">
        <v>157</v>
      </c>
      <c r="V30" s="15">
        <f t="shared" si="3"/>
        <v>45780</v>
      </c>
      <c r="W30" s="60">
        <f t="shared" si="4"/>
        <v>40.61</v>
      </c>
      <c r="X30" s="61">
        <f t="shared" si="10"/>
        <v>0.35000000000000142</v>
      </c>
      <c r="Y30" s="62">
        <f>((W30-MAX(W$16:W30))/MAX(W$16:W30))</f>
        <v>-4.1991035621608899E-2</v>
      </c>
      <c r="Z30" s="16">
        <f t="shared" si="11"/>
        <v>8.6934923000497131E-3</v>
      </c>
      <c r="AA30" s="153"/>
      <c r="AC30" s="16">
        <f t="shared" si="18"/>
        <v>-3.0093145450202963E-2</v>
      </c>
      <c r="AD30" s="16">
        <f>AD25</f>
        <v>-1.6850648234120909E-2</v>
      </c>
      <c r="AE30" s="16"/>
      <c r="AF30" s="16" t="str">
        <f t="shared" si="21"/>
        <v>Low Volatility</v>
      </c>
      <c r="AG30" s="14" t="str">
        <f t="shared" si="12"/>
        <v>Strong Downtrend</v>
      </c>
      <c r="AI30" s="58" t="s">
        <v>57</v>
      </c>
      <c r="AJ30" s="63"/>
      <c r="AK30" s="64">
        <v>385500</v>
      </c>
      <c r="AL30" s="15">
        <f t="shared" si="9"/>
        <v>45780</v>
      </c>
      <c r="AM30" s="60">
        <f t="shared" si="5"/>
        <v>38.549999999999997</v>
      </c>
      <c r="AN30" s="61">
        <f t="shared" si="13"/>
        <v>0.12999999999999545</v>
      </c>
      <c r="AO30" s="62">
        <f>((AM30-MAX(AM$16:AM30))/MAX(AM$16:AM30))</f>
        <v>0</v>
      </c>
      <c r="AP30" s="16">
        <f t="shared" si="14"/>
        <v>3.3836543466943115E-3</v>
      </c>
      <c r="AQ30" s="153"/>
      <c r="AS30" s="67">
        <f t="shared" si="19"/>
        <v>3.9062499999999631E-3</v>
      </c>
      <c r="AT30" s="16">
        <f>AT25</f>
        <v>2.8682112791477161E-3</v>
      </c>
      <c r="AU30" s="16"/>
      <c r="AV30" s="16" t="str">
        <f t="shared" si="22"/>
        <v>Low Volatility</v>
      </c>
      <c r="AW30" s="14" t="str">
        <f t="shared" si="6"/>
        <v>Stable</v>
      </c>
    </row>
    <row r="31" spans="1:49" ht="26.25" hidden="1" thickBot="1">
      <c r="A31" s="104" t="s">
        <v>58</v>
      </c>
      <c r="B31" s="105" t="s">
        <v>449</v>
      </c>
      <c r="C31" s="105" t="s">
        <v>451</v>
      </c>
      <c r="D31" s="15">
        <f t="shared" si="0"/>
        <v>45781</v>
      </c>
      <c r="E31" s="60">
        <f t="shared" si="1"/>
        <v>4135</v>
      </c>
      <c r="F31" s="61">
        <f t="shared" si="7"/>
        <v>0</v>
      </c>
      <c r="G31" s="62">
        <f>((E31-MAX(E$16:E31))/MAX(E$16:E31))</f>
        <v>-5.3775743707093822E-2</v>
      </c>
      <c r="H31" s="16">
        <f t="shared" si="8"/>
        <v>0</v>
      </c>
      <c r="I31" s="153"/>
      <c r="K31" s="68">
        <f t="shared" si="17"/>
        <v>-2.2227476944904234E-2</v>
      </c>
      <c r="L31" s="16">
        <f>L25</f>
        <v>-2.0998255735945288E-2</v>
      </c>
      <c r="M31" s="16"/>
      <c r="N31" s="16" t="str">
        <f t="shared" si="20"/>
        <v>Low Volatility</v>
      </c>
      <c r="O31" s="14" t="str">
        <f t="shared" si="2"/>
        <v>Strong Downtrend</v>
      </c>
      <c r="S31" s="58" t="s">
        <v>58</v>
      </c>
      <c r="T31" s="59"/>
      <c r="U31" s="60" t="s">
        <v>158</v>
      </c>
      <c r="V31" s="15">
        <f t="shared" si="3"/>
        <v>45781</v>
      </c>
      <c r="W31" s="60">
        <f t="shared" si="4"/>
        <v>40.630000000000003</v>
      </c>
      <c r="X31" s="61">
        <f t="shared" si="10"/>
        <v>2.0000000000003126E-2</v>
      </c>
      <c r="Y31" s="62">
        <f>((W31-MAX(W$16:W31))/MAX(W$16:W31))</f>
        <v>-4.1519226232601979E-2</v>
      </c>
      <c r="Z31" s="16">
        <f t="shared" si="11"/>
        <v>4.9248953459746681E-4</v>
      </c>
      <c r="AA31" s="153"/>
      <c r="AC31" s="16">
        <f t="shared" si="18"/>
        <v>-3.0078777751253234E-2</v>
      </c>
      <c r="AD31" s="16">
        <f>AD25</f>
        <v>-1.6850648234120909E-2</v>
      </c>
      <c r="AE31" s="16"/>
      <c r="AF31" s="16" t="str">
        <f t="shared" si="21"/>
        <v>Low Volatility</v>
      </c>
      <c r="AG31" s="14" t="str">
        <f t="shared" si="12"/>
        <v>Strong Downtrend</v>
      </c>
      <c r="AI31" s="58" t="s">
        <v>58</v>
      </c>
      <c r="AJ31" s="63"/>
      <c r="AK31" s="64">
        <v>385500</v>
      </c>
      <c r="AL31" s="15">
        <f t="shared" si="9"/>
        <v>45781</v>
      </c>
      <c r="AM31" s="60">
        <f t="shared" si="5"/>
        <v>38.549999999999997</v>
      </c>
      <c r="AN31" s="61">
        <f t="shared" si="13"/>
        <v>0</v>
      </c>
      <c r="AO31" s="62">
        <f>((AM31-MAX(AM$16:AM31))/MAX(AM$16:AM31))</f>
        <v>0</v>
      </c>
      <c r="AP31" s="16">
        <f t="shared" si="14"/>
        <v>0</v>
      </c>
      <c r="AQ31" s="153"/>
      <c r="AS31" s="68">
        <f t="shared" si="19"/>
        <v>3.9062499999999631E-3</v>
      </c>
      <c r="AT31" s="16">
        <f>AT25</f>
        <v>2.8682112791477161E-3</v>
      </c>
      <c r="AU31" s="16"/>
      <c r="AV31" s="16" t="str">
        <f t="shared" si="22"/>
        <v>Low Volatility</v>
      </c>
      <c r="AW31" s="14" t="str">
        <f t="shared" si="6"/>
        <v>Stable</v>
      </c>
    </row>
    <row r="32" spans="1:49" ht="26.25" hidden="1" thickBot="1">
      <c r="A32" s="104" t="s">
        <v>59</v>
      </c>
      <c r="B32" s="105" t="s">
        <v>449</v>
      </c>
      <c r="C32" s="105" t="s">
        <v>452</v>
      </c>
      <c r="D32" s="15">
        <f t="shared" si="0"/>
        <v>45782</v>
      </c>
      <c r="E32" s="60">
        <f t="shared" si="1"/>
        <v>4228</v>
      </c>
      <c r="F32" s="61">
        <f t="shared" si="7"/>
        <v>93</v>
      </c>
      <c r="G32" s="62">
        <f>((E32-MAX(E$16:E32))/MAX(E$16:E32))</f>
        <v>-3.2494279176201374E-2</v>
      </c>
      <c r="H32" s="16">
        <f t="shared" si="8"/>
        <v>2.2490931076178961E-2</v>
      </c>
      <c r="I32" s="153">
        <f>AVERAGE(E32:E38)</f>
        <v>4274.7142857142853</v>
      </c>
      <c r="K32" s="65">
        <f t="shared" si="17"/>
        <v>4.7528517110266158E-3</v>
      </c>
      <c r="L32" s="66">
        <f>(I32-I25)/I25</f>
        <v>2.5251833070650185E-2</v>
      </c>
      <c r="M32" s="16">
        <f>_xlfn.STDEV.S(F32:F38)/I32</f>
        <v>1.1650478516478477E-2</v>
      </c>
      <c r="N32" s="16" t="str">
        <f>IF(M32 &lt; 0.02, "Low Volatility",
 IF(M32 &gt; 0.1, "High Volatility", "Medium Volatility"))</f>
        <v>Low Volatility</v>
      </c>
      <c r="O32" s="14" t="str">
        <f t="shared" si="2"/>
        <v>Weak/Unconfirmed</v>
      </c>
      <c r="S32" s="58" t="s">
        <v>59</v>
      </c>
      <c r="T32" s="59"/>
      <c r="U32" s="60" t="s">
        <v>159</v>
      </c>
      <c r="V32" s="15">
        <f t="shared" si="3"/>
        <v>45782</v>
      </c>
      <c r="W32" s="60">
        <f t="shared" si="4"/>
        <v>41.04</v>
      </c>
      <c r="X32" s="61">
        <f t="shared" si="10"/>
        <v>0.40999999999999659</v>
      </c>
      <c r="Y32" s="62">
        <f>((W32-MAX(W$16:W32))/MAX(W$16:W32))</f>
        <v>-3.1847133757961818E-2</v>
      </c>
      <c r="Z32" s="16">
        <f t="shared" si="11"/>
        <v>1.009106571498884E-2</v>
      </c>
      <c r="AA32" s="153">
        <f>AVERAGEIFS(W32:W38, W32:W38, "&gt;=0")</f>
        <v>41.245714285714293</v>
      </c>
      <c r="AC32" s="16">
        <f t="shared" si="18"/>
        <v>-1.1322572874006237E-2</v>
      </c>
      <c r="AD32" s="66">
        <f>(AA32-AA25)/AA25</f>
        <v>9.8989121690161979E-3</v>
      </c>
      <c r="AE32" s="16">
        <f>_xlfn.STDEV.S(X32:X38)/AA32</f>
        <v>1.4925720998255445E-2</v>
      </c>
      <c r="AF32" s="16" t="str">
        <f>IF(AE32 &lt; 0.02, "Low Volatility",
 IF(AE32 &gt; 0.1, "High Volatility", "Medium Volatility"))</f>
        <v>Low Volatility</v>
      </c>
      <c r="AG32" s="14" t="str">
        <f t="shared" si="12"/>
        <v>Weak/Unconfirmed</v>
      </c>
      <c r="AI32" s="58" t="s">
        <v>59</v>
      </c>
      <c r="AJ32" s="63"/>
      <c r="AK32" s="64">
        <v>385000</v>
      </c>
      <c r="AL32" s="15">
        <f t="shared" si="9"/>
        <v>45782</v>
      </c>
      <c r="AM32" s="60">
        <f t="shared" si="5"/>
        <v>38.5</v>
      </c>
      <c r="AN32" s="61">
        <f t="shared" si="13"/>
        <v>-4.9999999999997158E-2</v>
      </c>
      <c r="AO32" s="62">
        <f>((AM32-MAX(AM$16:AM32))/MAX(AM$16:AM32))</f>
        <v>-1.2970168612191223E-3</v>
      </c>
      <c r="AP32" s="16">
        <f t="shared" si="14"/>
        <v>-1.2970168612191223E-3</v>
      </c>
      <c r="AQ32" s="153">
        <f>AVERAGE(AM32:AM38)</f>
        <v>38.660000000000004</v>
      </c>
      <c r="AS32" s="65">
        <f t="shared" si="19"/>
        <v>2.865329512893968E-3</v>
      </c>
      <c r="AT32" s="66">
        <f>(AQ32-AQ25)/AQ25</f>
        <v>5.1628718939196452E-3</v>
      </c>
      <c r="AU32" s="16">
        <f>_xlfn.STDEV.S(AN32:AN38)/AQ32</f>
        <v>1.6456518631152255E-3</v>
      </c>
      <c r="AV32" s="16" t="str">
        <f>IF(AU32 &lt; 0.02, "Low Volatility",
 IF(AU32 &gt; 0.1, "High Volatility", "Medium Volatility"))</f>
        <v>Low Volatility</v>
      </c>
      <c r="AW32" s="14" t="str">
        <f t="shared" si="6"/>
        <v>Weak/Unconfirmed</v>
      </c>
    </row>
    <row r="33" spans="1:49" ht="26.25" hidden="1" thickBot="1">
      <c r="A33" s="104" t="s">
        <v>60</v>
      </c>
      <c r="B33" s="105" t="s">
        <v>452</v>
      </c>
      <c r="C33" s="105" t="s">
        <v>453</v>
      </c>
      <c r="D33" s="15">
        <f t="shared" si="0"/>
        <v>45783</v>
      </c>
      <c r="E33" s="60">
        <f t="shared" si="1"/>
        <v>4312</v>
      </c>
      <c r="F33" s="61">
        <f t="shared" si="7"/>
        <v>84</v>
      </c>
      <c r="G33" s="62">
        <f>((E33-MAX(E$16:E33))/MAX(E$16:E33))</f>
        <v>-1.3272311212814645E-2</v>
      </c>
      <c r="H33" s="16">
        <f t="shared" si="8"/>
        <v>1.9867549668874173E-2</v>
      </c>
      <c r="I33" s="153"/>
      <c r="K33" s="67">
        <f t="shared" si="17"/>
        <v>2.059171597633136E-2</v>
      </c>
      <c r="L33" s="16">
        <f>L32</f>
        <v>2.5251833070650185E-2</v>
      </c>
      <c r="M33" s="16"/>
      <c r="N33" s="16" t="str">
        <f t="shared" ref="N33:N38" si="23">N32</f>
        <v>Low Volatility</v>
      </c>
      <c r="O33" s="14" t="str">
        <f t="shared" si="2"/>
        <v>Strong Uptrend</v>
      </c>
      <c r="S33" s="58" t="s">
        <v>60</v>
      </c>
      <c r="T33" s="59"/>
      <c r="U33" s="60" t="s">
        <v>160</v>
      </c>
      <c r="V33" s="15">
        <f t="shared" si="3"/>
        <v>45783</v>
      </c>
      <c r="W33" s="60">
        <f t="shared" si="4"/>
        <v>41.85</v>
      </c>
      <c r="X33" s="61">
        <f t="shared" si="10"/>
        <v>0.81000000000000227</v>
      </c>
      <c r="Y33" s="62">
        <f>((W33-MAX(W$16:W33))/MAX(W$16:W33))</f>
        <v>-1.2738853503184693E-2</v>
      </c>
      <c r="Z33" s="16">
        <f t="shared" si="11"/>
        <v>1.9736842105263212E-2</v>
      </c>
      <c r="AA33" s="153"/>
      <c r="AC33" s="16">
        <f t="shared" si="18"/>
        <v>1.2336719883889647E-2</v>
      </c>
      <c r="AD33" s="16">
        <f>AD32</f>
        <v>9.8989121690161979E-3</v>
      </c>
      <c r="AE33" s="16"/>
      <c r="AF33" s="16" t="str">
        <f t="shared" ref="AF33:AF38" si="24">AF32</f>
        <v>Low Volatility</v>
      </c>
      <c r="AG33" s="14" t="str">
        <f t="shared" si="12"/>
        <v>Weak/Unconfirmed</v>
      </c>
      <c r="AI33" s="58" t="s">
        <v>60</v>
      </c>
      <c r="AJ33" s="63"/>
      <c r="AK33" s="64">
        <v>386000</v>
      </c>
      <c r="AL33" s="15">
        <f t="shared" si="9"/>
        <v>45783</v>
      </c>
      <c r="AM33" s="60">
        <f t="shared" si="5"/>
        <v>38.6</v>
      </c>
      <c r="AN33" s="61">
        <f t="shared" si="13"/>
        <v>0.10000000000000142</v>
      </c>
      <c r="AO33" s="62">
        <f>((AM33-MAX(AM$16:AM33))/MAX(AM$16:AM33))</f>
        <v>0</v>
      </c>
      <c r="AP33" s="16">
        <f t="shared" si="14"/>
        <v>2.5974025974026343E-3</v>
      </c>
      <c r="AQ33" s="153"/>
      <c r="AS33" s="67">
        <f t="shared" si="19"/>
        <v>6.2565172054223671E-3</v>
      </c>
      <c r="AT33" s="16">
        <f>AT32</f>
        <v>5.1628718939196452E-3</v>
      </c>
      <c r="AU33" s="16"/>
      <c r="AV33" s="16" t="str">
        <f t="shared" ref="AV33:AV38" si="25">AV32</f>
        <v>Low Volatility</v>
      </c>
      <c r="AW33" s="14" t="str">
        <f t="shared" si="6"/>
        <v>Weak/Unconfirmed</v>
      </c>
    </row>
    <row r="34" spans="1:49" ht="26.25" hidden="1" thickBot="1">
      <c r="A34" s="104" t="s">
        <v>61</v>
      </c>
      <c r="B34" s="105" t="s">
        <v>453</v>
      </c>
      <c r="C34" s="105" t="s">
        <v>453</v>
      </c>
      <c r="D34" s="15">
        <f t="shared" si="0"/>
        <v>45784</v>
      </c>
      <c r="E34" s="60">
        <f t="shared" si="1"/>
        <v>4312</v>
      </c>
      <c r="F34" s="61">
        <f t="shared" si="7"/>
        <v>0</v>
      </c>
      <c r="G34" s="62">
        <f>((E34-MAX(E$16:E34))/MAX(E$16:E34))</f>
        <v>-1.3272311212814645E-2</v>
      </c>
      <c r="H34" s="16">
        <f t="shared" si="8"/>
        <v>0</v>
      </c>
      <c r="I34" s="153"/>
      <c r="K34" s="67">
        <f t="shared" si="17"/>
        <v>2.4714828897338403E-2</v>
      </c>
      <c r="L34" s="16">
        <f>L32</f>
        <v>2.5251833070650185E-2</v>
      </c>
      <c r="M34" s="16"/>
      <c r="N34" s="16" t="str">
        <f t="shared" si="23"/>
        <v>Low Volatility</v>
      </c>
      <c r="O34" s="14" t="str">
        <f t="shared" si="2"/>
        <v>Strong Uptrend</v>
      </c>
      <c r="S34" s="58" t="s">
        <v>61</v>
      </c>
      <c r="T34" s="59"/>
      <c r="U34" s="60" t="s">
        <v>161</v>
      </c>
      <c r="V34" s="15">
        <f t="shared" si="3"/>
        <v>45784</v>
      </c>
      <c r="W34" s="60">
        <f t="shared" si="4"/>
        <v>40.93</v>
      </c>
      <c r="X34" s="61">
        <f t="shared" si="10"/>
        <v>-0.92000000000000171</v>
      </c>
      <c r="Y34" s="62">
        <f>((W34-MAX(W$16:W34))/MAX(W$16:W34))</f>
        <v>-3.4442085397499426E-2</v>
      </c>
      <c r="Z34" s="16">
        <f t="shared" si="11"/>
        <v>-2.1983273596176862E-2</v>
      </c>
      <c r="AA34" s="153"/>
      <c r="AC34" s="16">
        <f t="shared" si="18"/>
        <v>-2.4425989252559871E-4</v>
      </c>
      <c r="AD34" s="16">
        <f>AD32</f>
        <v>9.8989121690161979E-3</v>
      </c>
      <c r="AE34" s="16"/>
      <c r="AF34" s="16" t="str">
        <f t="shared" si="24"/>
        <v>Low Volatility</v>
      </c>
      <c r="AG34" s="14" t="str">
        <f t="shared" si="12"/>
        <v>Weak/Unconfirmed</v>
      </c>
      <c r="AI34" s="58" t="s">
        <v>61</v>
      </c>
      <c r="AJ34" s="63"/>
      <c r="AK34" s="64">
        <v>386500</v>
      </c>
      <c r="AL34" s="15">
        <f t="shared" si="9"/>
        <v>45784</v>
      </c>
      <c r="AM34" s="60">
        <f t="shared" si="5"/>
        <v>38.65</v>
      </c>
      <c r="AN34" s="61">
        <f t="shared" si="13"/>
        <v>4.9999999999997158E-2</v>
      </c>
      <c r="AO34" s="62">
        <f>((AM34-MAX(AM$16:AM34))/MAX(AM$16:AM34))</f>
        <v>0</v>
      </c>
      <c r="AP34" s="16">
        <f t="shared" si="14"/>
        <v>1.2953367875646932E-3</v>
      </c>
      <c r="AQ34" s="153"/>
      <c r="AS34" s="67">
        <f t="shared" si="19"/>
        <v>4.6789706264621714E-3</v>
      </c>
      <c r="AT34" s="16">
        <f>AT32</f>
        <v>5.1628718939196452E-3</v>
      </c>
      <c r="AU34" s="16"/>
      <c r="AV34" s="16" t="str">
        <f t="shared" si="25"/>
        <v>Low Volatility</v>
      </c>
      <c r="AW34" s="14" t="str">
        <f t="shared" si="6"/>
        <v>Weak/Unconfirmed</v>
      </c>
    </row>
    <row r="35" spans="1:49" ht="26.25" hidden="1" thickBot="1">
      <c r="A35" s="104" t="s">
        <v>62</v>
      </c>
      <c r="B35" s="105" t="s">
        <v>453</v>
      </c>
      <c r="C35" s="105" t="s">
        <v>454</v>
      </c>
      <c r="D35" s="15">
        <f t="shared" si="0"/>
        <v>45785</v>
      </c>
      <c r="E35" s="60">
        <f t="shared" si="1"/>
        <v>4280</v>
      </c>
      <c r="F35" s="61">
        <f t="shared" si="7"/>
        <v>-32</v>
      </c>
      <c r="G35" s="62">
        <f>((E35-MAX(E$16:E35))/MAX(E$16:E35))</f>
        <v>-2.0594965675057208E-2</v>
      </c>
      <c r="H35" s="16">
        <f t="shared" si="8"/>
        <v>-7.4211502782931356E-3</v>
      </c>
      <c r="I35" s="153"/>
      <c r="K35" s="67">
        <f t="shared" si="17"/>
        <v>4.0097205346294046E-2</v>
      </c>
      <c r="L35" s="16">
        <f>L32</f>
        <v>2.5251833070650185E-2</v>
      </c>
      <c r="M35" s="16"/>
      <c r="N35" s="16" t="str">
        <f t="shared" si="23"/>
        <v>Low Volatility</v>
      </c>
      <c r="O35" s="14" t="str">
        <f t="shared" si="2"/>
        <v>Strong Uptrend</v>
      </c>
      <c r="S35" s="58" t="s">
        <v>62</v>
      </c>
      <c r="T35" s="59"/>
      <c r="U35" s="60" t="s">
        <v>162</v>
      </c>
      <c r="V35" s="15">
        <f t="shared" si="3"/>
        <v>45785</v>
      </c>
      <c r="W35" s="60">
        <f t="shared" si="4"/>
        <v>40.64</v>
      </c>
      <c r="X35" s="61">
        <f t="shared" si="10"/>
        <v>-0.28999999999999915</v>
      </c>
      <c r="Y35" s="62">
        <f>((W35-MAX(W$16:W35))/MAX(W$16:W35))</f>
        <v>-4.1283321538098605E-2</v>
      </c>
      <c r="Z35" s="16">
        <f t="shared" si="11"/>
        <v>-7.0852675299291267E-3</v>
      </c>
      <c r="AA35" s="153"/>
      <c r="AC35" s="16">
        <f t="shared" si="18"/>
        <v>9.8522167487682618E-4</v>
      </c>
      <c r="AD35" s="16">
        <f>AD32</f>
        <v>9.8989121690161979E-3</v>
      </c>
      <c r="AE35" s="16"/>
      <c r="AF35" s="16" t="str">
        <f t="shared" si="24"/>
        <v>Low Volatility</v>
      </c>
      <c r="AG35" s="14" t="str">
        <f t="shared" si="12"/>
        <v>Weak/Unconfirmed</v>
      </c>
      <c r="AI35" s="58" t="s">
        <v>62</v>
      </c>
      <c r="AJ35" s="63"/>
      <c r="AK35" s="64">
        <v>386100</v>
      </c>
      <c r="AL35" s="15">
        <f t="shared" si="9"/>
        <v>45785</v>
      </c>
      <c r="AM35" s="60">
        <f t="shared" si="5"/>
        <v>38.61</v>
      </c>
      <c r="AN35" s="61">
        <f t="shared" si="13"/>
        <v>-3.9999999999999147E-2</v>
      </c>
      <c r="AO35" s="62">
        <f>((AM35-MAX(AM$16:AM35))/MAX(AM$16:AM35))</f>
        <v>-1.0349288486416338E-3</v>
      </c>
      <c r="AP35" s="16">
        <f t="shared" si="14"/>
        <v>-1.0349288486416338E-3</v>
      </c>
      <c r="AQ35" s="153"/>
      <c r="AS35" s="67">
        <f t="shared" si="19"/>
        <v>3.1176929072485693E-3</v>
      </c>
      <c r="AT35" s="16">
        <f>AT32</f>
        <v>5.1628718939196452E-3</v>
      </c>
      <c r="AU35" s="16"/>
      <c r="AV35" s="16" t="str">
        <f t="shared" si="25"/>
        <v>Low Volatility</v>
      </c>
      <c r="AW35" s="14" t="str">
        <f t="shared" si="6"/>
        <v>Weak/Unconfirmed</v>
      </c>
    </row>
    <row r="36" spans="1:49" ht="26.25" hidden="1" thickBot="1">
      <c r="A36" s="104" t="s">
        <v>63</v>
      </c>
      <c r="B36" s="105" t="s">
        <v>454</v>
      </c>
      <c r="C36" s="105" t="s">
        <v>455</v>
      </c>
      <c r="D36" s="15">
        <f t="shared" si="0"/>
        <v>45786</v>
      </c>
      <c r="E36" s="60">
        <f t="shared" si="1"/>
        <v>4275</v>
      </c>
      <c r="F36" s="61">
        <f t="shared" si="7"/>
        <v>-5</v>
      </c>
      <c r="G36" s="62">
        <f>((E36-MAX(E$16:E36))/MAX(E$16:E36))</f>
        <v>-2.1739130434782608E-2</v>
      </c>
      <c r="H36" s="16">
        <f t="shared" si="8"/>
        <v>-1.1682242990654205E-3</v>
      </c>
      <c r="I36" s="153"/>
      <c r="K36" s="67">
        <f t="shared" si="17"/>
        <v>2.7644230769230768E-2</v>
      </c>
      <c r="L36" s="16">
        <f>L32</f>
        <v>2.5251833070650185E-2</v>
      </c>
      <c r="M36" s="16"/>
      <c r="N36" s="16" t="str">
        <f t="shared" si="23"/>
        <v>Low Volatility</v>
      </c>
      <c r="O36" s="14" t="str">
        <f t="shared" si="2"/>
        <v>Strong Uptrend</v>
      </c>
      <c r="S36" s="58" t="s">
        <v>63</v>
      </c>
      <c r="T36" s="59"/>
      <c r="U36" s="60" t="s">
        <v>163</v>
      </c>
      <c r="V36" s="15">
        <f t="shared" si="3"/>
        <v>45786</v>
      </c>
      <c r="W36" s="60">
        <f t="shared" si="4"/>
        <v>41.42</v>
      </c>
      <c r="X36" s="61">
        <f t="shared" si="10"/>
        <v>0.78000000000000114</v>
      </c>
      <c r="Y36" s="62">
        <f>((W36-MAX(W$16:W36))/MAX(W$16:W36))</f>
        <v>-2.2882755366831774E-2</v>
      </c>
      <c r="Z36" s="16">
        <f t="shared" si="11"/>
        <v>1.91929133858268E-2</v>
      </c>
      <c r="AA36" s="153"/>
      <c r="AC36" s="16">
        <f t="shared" si="18"/>
        <v>2.8812717337307593E-2</v>
      </c>
      <c r="AD36" s="16">
        <f>AD32</f>
        <v>9.8989121690161979E-3</v>
      </c>
      <c r="AE36" s="16"/>
      <c r="AF36" s="16" t="str">
        <f t="shared" si="24"/>
        <v>Low Volatility</v>
      </c>
      <c r="AG36" s="14" t="str">
        <f t="shared" si="12"/>
        <v>Weak/Unconfirmed</v>
      </c>
      <c r="AI36" s="58" t="s">
        <v>63</v>
      </c>
      <c r="AJ36" s="63"/>
      <c r="AK36" s="64">
        <v>387200</v>
      </c>
      <c r="AL36" s="15">
        <f t="shared" si="9"/>
        <v>45786</v>
      </c>
      <c r="AM36" s="60">
        <f t="shared" si="5"/>
        <v>38.72</v>
      </c>
      <c r="AN36" s="61">
        <f t="shared" si="13"/>
        <v>0.10999999999999943</v>
      </c>
      <c r="AO36" s="62">
        <f>((AM36-MAX(AM$16:AM36))/MAX(AM$16:AM36))</f>
        <v>0</v>
      </c>
      <c r="AP36" s="16">
        <f t="shared" si="14"/>
        <v>2.8490028490028344E-3</v>
      </c>
      <c r="AQ36" s="153"/>
      <c r="AS36" s="67">
        <f t="shared" si="19"/>
        <v>7.8084331077563022E-3</v>
      </c>
      <c r="AT36" s="16">
        <f>AT32</f>
        <v>5.1628718939196452E-3</v>
      </c>
      <c r="AU36" s="16"/>
      <c r="AV36" s="16" t="str">
        <f t="shared" si="25"/>
        <v>Low Volatility</v>
      </c>
      <c r="AW36" s="14" t="str">
        <f t="shared" si="6"/>
        <v>Weak/Unconfirmed</v>
      </c>
    </row>
    <row r="37" spans="1:49" ht="26.25" hidden="1" thickBot="1">
      <c r="A37" s="104" t="s">
        <v>64</v>
      </c>
      <c r="B37" s="105" t="s">
        <v>454</v>
      </c>
      <c r="C37" s="105" t="s">
        <v>456</v>
      </c>
      <c r="D37" s="15">
        <f t="shared" si="0"/>
        <v>45787</v>
      </c>
      <c r="E37" s="60">
        <f t="shared" si="1"/>
        <v>4258</v>
      </c>
      <c r="F37" s="61">
        <f t="shared" si="7"/>
        <v>-17</v>
      </c>
      <c r="G37" s="62">
        <f>((E37-MAX(E$16:E37))/MAX(E$16:E37))</f>
        <v>-2.5629290617848969E-2</v>
      </c>
      <c r="H37" s="16">
        <f t="shared" si="8"/>
        <v>-3.9766081871345027E-3</v>
      </c>
      <c r="I37" s="153"/>
      <c r="K37" s="67">
        <f t="shared" si="17"/>
        <v>2.9746070133010883E-2</v>
      </c>
      <c r="L37" s="16">
        <f>L32</f>
        <v>2.5251833070650185E-2</v>
      </c>
      <c r="M37" s="16"/>
      <c r="N37" s="16" t="str">
        <f t="shared" si="23"/>
        <v>Low Volatility</v>
      </c>
      <c r="O37" s="14" t="str">
        <f t="shared" si="2"/>
        <v>Strong Uptrend</v>
      </c>
      <c r="S37" s="58" t="s">
        <v>64</v>
      </c>
      <c r="T37" s="59"/>
      <c r="U37" s="60" t="s">
        <v>163</v>
      </c>
      <c r="V37" s="15">
        <f t="shared" si="3"/>
        <v>45787</v>
      </c>
      <c r="W37" s="60">
        <f t="shared" si="4"/>
        <v>41.42</v>
      </c>
      <c r="X37" s="61">
        <f t="shared" si="10"/>
        <v>0</v>
      </c>
      <c r="Y37" s="62">
        <f>((W37-MAX(W$16:W37))/MAX(W$16:W37))</f>
        <v>-2.2882755366831774E-2</v>
      </c>
      <c r="Z37" s="16">
        <f t="shared" si="11"/>
        <v>0</v>
      </c>
      <c r="AA37" s="153"/>
      <c r="AC37" s="16">
        <f t="shared" si="18"/>
        <v>1.9945826151194345E-2</v>
      </c>
      <c r="AD37" s="16">
        <f>AD32</f>
        <v>9.8989121690161979E-3</v>
      </c>
      <c r="AE37" s="16"/>
      <c r="AF37" s="16" t="str">
        <f t="shared" si="24"/>
        <v>Low Volatility</v>
      </c>
      <c r="AG37" s="14" t="str">
        <f t="shared" si="12"/>
        <v>Weak/Unconfirmed</v>
      </c>
      <c r="AI37" s="58" t="s">
        <v>64</v>
      </c>
      <c r="AJ37" s="63"/>
      <c r="AK37" s="64">
        <v>387700</v>
      </c>
      <c r="AL37" s="15">
        <f t="shared" si="9"/>
        <v>45787</v>
      </c>
      <c r="AM37" s="60">
        <f t="shared" si="5"/>
        <v>38.770000000000003</v>
      </c>
      <c r="AN37" s="61">
        <f t="shared" si="13"/>
        <v>5.0000000000004263E-2</v>
      </c>
      <c r="AO37" s="62">
        <f>((AM37-MAX(AM$16:AM37))/MAX(AM$16:AM37))</f>
        <v>0</v>
      </c>
      <c r="AP37" s="16">
        <f t="shared" si="14"/>
        <v>1.291322314049697E-3</v>
      </c>
      <c r="AQ37" s="153"/>
      <c r="AS37" s="67">
        <f t="shared" si="19"/>
        <v>5.7068741893646167E-3</v>
      </c>
      <c r="AT37" s="16">
        <f>AT32</f>
        <v>5.1628718939196452E-3</v>
      </c>
      <c r="AU37" s="16"/>
      <c r="AV37" s="16" t="str">
        <f t="shared" si="25"/>
        <v>Low Volatility</v>
      </c>
      <c r="AW37" s="14" t="str">
        <f t="shared" si="6"/>
        <v>Weak/Unconfirmed</v>
      </c>
    </row>
    <row r="38" spans="1:49" ht="26.25" hidden="1" thickBot="1">
      <c r="A38" s="104" t="s">
        <v>65</v>
      </c>
      <c r="B38" s="105" t="s">
        <v>454</v>
      </c>
      <c r="C38" s="105" t="s">
        <v>456</v>
      </c>
      <c r="D38" s="15">
        <f t="shared" si="0"/>
        <v>45788</v>
      </c>
      <c r="E38" s="60">
        <f t="shared" si="1"/>
        <v>4258</v>
      </c>
      <c r="F38" s="61">
        <f t="shared" si="7"/>
        <v>0</v>
      </c>
      <c r="G38" s="62">
        <f>((E38-MAX(E$16:E38))/MAX(E$16:E38))</f>
        <v>-2.5629290617848969E-2</v>
      </c>
      <c r="H38" s="16">
        <f t="shared" si="8"/>
        <v>0</v>
      </c>
      <c r="I38" s="153"/>
      <c r="K38" s="68">
        <f t="shared" si="17"/>
        <v>2.9746070133010883E-2</v>
      </c>
      <c r="L38" s="16">
        <f>L32</f>
        <v>2.5251833070650185E-2</v>
      </c>
      <c r="M38" s="16"/>
      <c r="N38" s="16" t="str">
        <f t="shared" si="23"/>
        <v>Low Volatility</v>
      </c>
      <c r="O38" s="14" t="str">
        <f t="shared" si="2"/>
        <v>Strong Uptrend</v>
      </c>
      <c r="S38" s="58" t="s">
        <v>65</v>
      </c>
      <c r="T38" s="59"/>
      <c r="U38" s="60" t="s">
        <v>163</v>
      </c>
      <c r="V38" s="15">
        <f t="shared" si="3"/>
        <v>45788</v>
      </c>
      <c r="W38" s="60">
        <f t="shared" si="4"/>
        <v>41.42</v>
      </c>
      <c r="X38" s="61">
        <f t="shared" si="10"/>
        <v>0</v>
      </c>
      <c r="Y38" s="62">
        <f>((W38-MAX(W$16:W38))/MAX(W$16:W38))</f>
        <v>-2.2882755366831774E-2</v>
      </c>
      <c r="Z38" s="16">
        <f t="shared" si="11"/>
        <v>0</v>
      </c>
      <c r="AA38" s="153"/>
      <c r="AC38" s="16">
        <f t="shared" si="18"/>
        <v>1.9443760767905466E-2</v>
      </c>
      <c r="AD38" s="16">
        <f>AD32</f>
        <v>9.8989121690161979E-3</v>
      </c>
      <c r="AE38" s="16"/>
      <c r="AF38" s="16" t="str">
        <f t="shared" si="24"/>
        <v>Low Volatility</v>
      </c>
      <c r="AG38" s="14" t="str">
        <f t="shared" si="12"/>
        <v>Weak/Unconfirmed</v>
      </c>
      <c r="AI38" s="58" t="s">
        <v>65</v>
      </c>
      <c r="AJ38" s="63"/>
      <c r="AK38" s="64">
        <v>387700</v>
      </c>
      <c r="AL38" s="15">
        <f t="shared" si="9"/>
        <v>45788</v>
      </c>
      <c r="AM38" s="60">
        <f t="shared" si="5"/>
        <v>38.770000000000003</v>
      </c>
      <c r="AN38" s="61">
        <f t="shared" si="13"/>
        <v>0</v>
      </c>
      <c r="AO38" s="62">
        <f>((AM38-MAX(AM$16:AM38))/MAX(AM$16:AM38))</f>
        <v>0</v>
      </c>
      <c r="AP38" s="16">
        <f t="shared" si="14"/>
        <v>0</v>
      </c>
      <c r="AQ38" s="153"/>
      <c r="AS38" s="68">
        <f t="shared" si="19"/>
        <v>5.7068741893646167E-3</v>
      </c>
      <c r="AT38" s="16">
        <f>AT32</f>
        <v>5.1628718939196452E-3</v>
      </c>
      <c r="AU38" s="16"/>
      <c r="AV38" s="16" t="str">
        <f t="shared" si="25"/>
        <v>Low Volatility</v>
      </c>
      <c r="AW38" s="14" t="str">
        <f t="shared" si="6"/>
        <v>Weak/Unconfirmed</v>
      </c>
    </row>
    <row r="39" spans="1:49" ht="26.25" hidden="1" thickBot="1">
      <c r="A39" s="104" t="s">
        <v>66</v>
      </c>
      <c r="B39" s="105" t="s">
        <v>454</v>
      </c>
      <c r="C39" s="105" t="s">
        <v>457</v>
      </c>
      <c r="D39" s="15">
        <f t="shared" si="0"/>
        <v>45789</v>
      </c>
      <c r="E39" s="60">
        <f t="shared" si="1"/>
        <v>4150</v>
      </c>
      <c r="F39" s="61">
        <f t="shared" si="7"/>
        <v>-108</v>
      </c>
      <c r="G39" s="62">
        <f>((E39-MAX(E$16:E39))/MAX(E$16:E39))</f>
        <v>-5.0343249427917618E-2</v>
      </c>
      <c r="H39" s="16">
        <f t="shared" si="8"/>
        <v>-2.5364020666979802E-2</v>
      </c>
      <c r="I39" s="153">
        <f>AVERAGE(E39:E45)</f>
        <v>4148.2857142857147</v>
      </c>
      <c r="K39" s="65">
        <f t="shared" si="17"/>
        <v>-1.8448438978240302E-2</v>
      </c>
      <c r="L39" s="66">
        <f>(I39-I32)/I32</f>
        <v>-2.9575911506199065E-2</v>
      </c>
      <c r="M39" s="16">
        <f>_xlfn.STDEV.S(F39:F45)/I39</f>
        <v>1.3516555433583148E-2</v>
      </c>
      <c r="N39" s="16" t="str">
        <f>IF(M39 &lt; 0.02, "Low Volatility",
 IF(M39 &gt; 0.1, "High Volatility", "Medium Volatility"))</f>
        <v>Low Volatility</v>
      </c>
      <c r="O39" s="14" t="str">
        <f t="shared" si="2"/>
        <v>Strong Downtrend</v>
      </c>
      <c r="S39" s="58" t="s">
        <v>66</v>
      </c>
      <c r="T39" s="59"/>
      <c r="U39" s="60" t="s">
        <v>164</v>
      </c>
      <c r="V39" s="15">
        <f t="shared" si="3"/>
        <v>45789</v>
      </c>
      <c r="W39" s="60">
        <f t="shared" si="4"/>
        <v>41.33</v>
      </c>
      <c r="X39" s="61">
        <f t="shared" si="10"/>
        <v>-9.0000000000003411E-2</v>
      </c>
      <c r="Y39" s="62">
        <f>((W39-MAX(W$16:W39))/MAX(W$16:W39))</f>
        <v>-2.5005897617362639E-2</v>
      </c>
      <c r="Z39" s="16">
        <f t="shared" si="11"/>
        <v>-2.1728633510382281E-3</v>
      </c>
      <c r="AA39" s="153">
        <f>AVERAGEIFS(W39:W45, W39:W45, "&gt;=0")</f>
        <v>41.17</v>
      </c>
      <c r="AC39" s="16">
        <f t="shared" si="18"/>
        <v>7.066276803118888E-3</v>
      </c>
      <c r="AD39" s="66">
        <f>(AA39-AA32)/AA32</f>
        <v>-1.8356885563869374E-3</v>
      </c>
      <c r="AE39" s="16">
        <f>_xlfn.STDEV.S(X39:X45)/AA39</f>
        <v>1.3158155032106489E-2</v>
      </c>
      <c r="AF39" s="16" t="str">
        <f>IF(AE39 &lt; 0.02, "Low Volatility",
 IF(AE39 &gt; 0.1, "High Volatility", "Medium Volatility"))</f>
        <v>Low Volatility</v>
      </c>
      <c r="AG39" s="14" t="str">
        <f>IF(AND(AC39 &gt; 0.01, AD39 &gt; 0.01), "Strong Uptrend",
 IF(AND(AC39 &lt; -0.01, AD39 &lt; -0.01), "Strong Downtrend",
 IF(ABS(AD39) &lt; 0.005, "Stable", "Weak/Unconfirmed")))</f>
        <v>Stable</v>
      </c>
      <c r="AI39" s="58" t="s">
        <v>66</v>
      </c>
      <c r="AJ39" s="63"/>
      <c r="AK39" s="64">
        <v>387800</v>
      </c>
      <c r="AL39" s="15">
        <f t="shared" si="9"/>
        <v>45789</v>
      </c>
      <c r="AM39" s="60">
        <f t="shared" si="5"/>
        <v>38.78</v>
      </c>
      <c r="AN39" s="61">
        <f t="shared" si="13"/>
        <v>9.9999999999980105E-3</v>
      </c>
      <c r="AO39" s="62">
        <f>((AM39-MAX(AM$16:AM39))/MAX(AM$16:AM39))</f>
        <v>0</v>
      </c>
      <c r="AP39" s="16">
        <f t="shared" si="14"/>
        <v>2.5793139025014213E-4</v>
      </c>
      <c r="AQ39" s="153">
        <f>AVERAGE(AM39:AM45)</f>
        <v>38.834285714285713</v>
      </c>
      <c r="AS39" s="65">
        <f t="shared" si="19"/>
        <v>7.2727272727273022E-3</v>
      </c>
      <c r="AT39" s="66">
        <f>(AQ39-AQ32)/AQ32</f>
        <v>4.508166432636033E-3</v>
      </c>
      <c r="AU39" s="16">
        <f>_xlfn.STDEV.S(AN39:AN45)/AQ39</f>
        <v>1.7032316047539556E-3</v>
      </c>
      <c r="AV39" s="16" t="str">
        <f>IF(AU39 &lt; 0.02, "Low Volatility",
 IF(AU39 &gt; 0.1, "High Volatility", "Medium Volatility"))</f>
        <v>Low Volatility</v>
      </c>
      <c r="AW39" s="14" t="str">
        <f t="shared" si="6"/>
        <v>Stable</v>
      </c>
    </row>
    <row r="40" spans="1:49" ht="26.25" hidden="1" thickBot="1">
      <c r="A40" s="104" t="s">
        <v>67</v>
      </c>
      <c r="B40" s="105" t="s">
        <v>457</v>
      </c>
      <c r="C40" s="105" t="s">
        <v>440</v>
      </c>
      <c r="D40" s="15">
        <f t="shared" si="0"/>
        <v>45790</v>
      </c>
      <c r="E40" s="60">
        <f t="shared" si="1"/>
        <v>4180</v>
      </c>
      <c r="F40" s="61">
        <f t="shared" si="7"/>
        <v>30</v>
      </c>
      <c r="G40" s="62">
        <f>((E40-MAX(E$16:E40))/MAX(E$16:E40))</f>
        <v>-4.3478260869565216E-2</v>
      </c>
      <c r="H40" s="16">
        <f t="shared" si="8"/>
        <v>7.2289156626506026E-3</v>
      </c>
      <c r="I40" s="153"/>
      <c r="K40" s="67">
        <f t="shared" si="17"/>
        <v>-3.0612244897959183E-2</v>
      </c>
      <c r="L40" s="16">
        <f>L39</f>
        <v>-2.9575911506199065E-2</v>
      </c>
      <c r="M40" s="16"/>
      <c r="N40" s="16" t="str">
        <f t="shared" ref="N40:N45" si="26">N39</f>
        <v>Low Volatility</v>
      </c>
      <c r="O40" s="14" t="str">
        <f t="shared" si="2"/>
        <v>Strong Downtrend</v>
      </c>
      <c r="S40" s="58" t="s">
        <v>67</v>
      </c>
      <c r="T40" s="59"/>
      <c r="U40" s="60" t="s">
        <v>165</v>
      </c>
      <c r="V40" s="15">
        <f t="shared" si="3"/>
        <v>45790</v>
      </c>
      <c r="W40" s="60">
        <f t="shared" si="4"/>
        <v>41.86</v>
      </c>
      <c r="X40" s="61">
        <f t="shared" si="10"/>
        <v>0.53000000000000114</v>
      </c>
      <c r="Y40" s="62">
        <f>((W40-MAX(W$16:W40))/MAX(W$16:W40))</f>
        <v>-1.250294880868132E-2</v>
      </c>
      <c r="Z40" s="16">
        <f t="shared" si="11"/>
        <v>1.2823614807645807E-2</v>
      </c>
      <c r="AA40" s="153"/>
      <c r="AC40" s="16">
        <f t="shared" si="18"/>
        <v>2.3894862604535269E-4</v>
      </c>
      <c r="AD40" s="16">
        <f>AD39</f>
        <v>-1.8356885563869374E-3</v>
      </c>
      <c r="AE40" s="16"/>
      <c r="AF40" s="16" t="str">
        <f t="shared" ref="AF40:AF45" si="27">AF39</f>
        <v>Low Volatility</v>
      </c>
      <c r="AG40" s="14" t="str">
        <f t="shared" si="12"/>
        <v>Stable</v>
      </c>
      <c r="AI40" s="58" t="s">
        <v>67</v>
      </c>
      <c r="AJ40" s="63"/>
      <c r="AK40" s="64">
        <v>387900</v>
      </c>
      <c r="AL40" s="15">
        <f t="shared" si="9"/>
        <v>45790</v>
      </c>
      <c r="AM40" s="60">
        <f t="shared" si="5"/>
        <v>38.79</v>
      </c>
      <c r="AN40" s="61">
        <f t="shared" si="13"/>
        <v>9.9999999999980105E-3</v>
      </c>
      <c r="AO40" s="62">
        <f>((AM40-MAX(AM$16:AM40))/MAX(AM$16:AM40))</f>
        <v>0</v>
      </c>
      <c r="AP40" s="16">
        <f t="shared" si="14"/>
        <v>2.5786487880345563E-4</v>
      </c>
      <c r="AQ40" s="153"/>
      <c r="AS40" s="67">
        <f t="shared" si="19"/>
        <v>4.9222797927460553E-3</v>
      </c>
      <c r="AT40" s="16">
        <f>AT39</f>
        <v>4.508166432636033E-3</v>
      </c>
      <c r="AU40" s="16"/>
      <c r="AV40" s="16" t="str">
        <f t="shared" ref="AV40:AV45" si="28">AV39</f>
        <v>Low Volatility</v>
      </c>
      <c r="AW40" s="14" t="str">
        <f t="shared" si="6"/>
        <v>Stable</v>
      </c>
    </row>
    <row r="41" spans="1:49" ht="26.25" hidden="1" thickBot="1">
      <c r="A41" s="104" t="s">
        <v>68</v>
      </c>
      <c r="B41" s="105" t="s">
        <v>440</v>
      </c>
      <c r="C41" s="105" t="s">
        <v>458</v>
      </c>
      <c r="D41" s="15">
        <f t="shared" si="0"/>
        <v>45791</v>
      </c>
      <c r="E41" s="60">
        <f t="shared" si="1"/>
        <v>4105</v>
      </c>
      <c r="F41" s="61">
        <f t="shared" si="7"/>
        <v>-75</v>
      </c>
      <c r="G41" s="62">
        <f>((E41-MAX(E$16:E41))/MAX(E$16:E41))</f>
        <v>-6.0640732265446223E-2</v>
      </c>
      <c r="H41" s="16">
        <f t="shared" si="8"/>
        <v>-1.7942583732057416E-2</v>
      </c>
      <c r="I41" s="153"/>
      <c r="K41" s="67">
        <f t="shared" si="17"/>
        <v>-4.8005565862708717E-2</v>
      </c>
      <c r="L41" s="16">
        <f>L39</f>
        <v>-2.9575911506199065E-2</v>
      </c>
      <c r="M41" s="16"/>
      <c r="N41" s="16" t="str">
        <f t="shared" si="26"/>
        <v>Low Volatility</v>
      </c>
      <c r="O41" s="14" t="str">
        <f t="shared" si="2"/>
        <v>Strong Downtrend</v>
      </c>
      <c r="S41" s="58" t="s">
        <v>68</v>
      </c>
      <c r="T41" s="59"/>
      <c r="U41" s="60" t="s">
        <v>166</v>
      </c>
      <c r="V41" s="15">
        <f t="shared" si="3"/>
        <v>45791</v>
      </c>
      <c r="W41" s="60">
        <f t="shared" si="4"/>
        <v>40.83</v>
      </c>
      <c r="X41" s="61">
        <f t="shared" si="10"/>
        <v>-1.0300000000000011</v>
      </c>
      <c r="Y41" s="62">
        <f>((W41-MAX(W$16:W41))/MAX(W$16:W41))</f>
        <v>-3.6801132342533668E-2</v>
      </c>
      <c r="Z41" s="16">
        <f t="shared" si="11"/>
        <v>-2.4605828953655068E-2</v>
      </c>
      <c r="AA41" s="153"/>
      <c r="AC41" s="16">
        <f t="shared" si="18"/>
        <v>-2.4431956999756027E-3</v>
      </c>
      <c r="AD41" s="16">
        <f>AD39</f>
        <v>-1.8356885563869374E-3</v>
      </c>
      <c r="AE41" s="16"/>
      <c r="AF41" s="16" t="str">
        <f t="shared" si="27"/>
        <v>Low Volatility</v>
      </c>
      <c r="AG41" s="14" t="str">
        <f t="shared" si="12"/>
        <v>Stable</v>
      </c>
      <c r="AI41" s="58" t="s">
        <v>68</v>
      </c>
      <c r="AJ41" s="63"/>
      <c r="AK41" s="64">
        <v>387600</v>
      </c>
      <c r="AL41" s="15">
        <f t="shared" si="9"/>
        <v>45791</v>
      </c>
      <c r="AM41" s="60">
        <f t="shared" si="5"/>
        <v>38.76</v>
      </c>
      <c r="AN41" s="61">
        <f t="shared" si="13"/>
        <v>-3.0000000000001137E-2</v>
      </c>
      <c r="AO41" s="62">
        <f>((AM41-MAX(AM$16:AM41))/MAX(AM$16:AM41))</f>
        <v>-7.7339520494975863E-4</v>
      </c>
      <c r="AP41" s="16">
        <f t="shared" si="14"/>
        <v>-7.7339520494975863E-4</v>
      </c>
      <c r="AQ41" s="153"/>
      <c r="AS41" s="67">
        <f t="shared" si="19"/>
        <v>2.8460543337645392E-3</v>
      </c>
      <c r="AT41" s="16">
        <f>AT39</f>
        <v>4.508166432636033E-3</v>
      </c>
      <c r="AU41" s="16"/>
      <c r="AV41" s="16" t="str">
        <f t="shared" si="28"/>
        <v>Low Volatility</v>
      </c>
      <c r="AW41" s="14" t="str">
        <f t="shared" si="6"/>
        <v>Stable</v>
      </c>
    </row>
    <row r="42" spans="1:49" ht="26.25" hidden="1" thickBot="1">
      <c r="A42" s="104" t="s">
        <v>69</v>
      </c>
      <c r="B42" s="105" t="s">
        <v>458</v>
      </c>
      <c r="C42" s="105" t="s">
        <v>459</v>
      </c>
      <c r="D42" s="15">
        <f t="shared" si="0"/>
        <v>45792</v>
      </c>
      <c r="E42" s="60">
        <f t="shared" si="1"/>
        <v>4130</v>
      </c>
      <c r="F42" s="61">
        <f t="shared" si="7"/>
        <v>25</v>
      </c>
      <c r="G42" s="62">
        <f>((E42-MAX(E$16:E42))/MAX(E$16:E42))</f>
        <v>-5.4919908466819219E-2</v>
      </c>
      <c r="H42" s="16">
        <f t="shared" si="8"/>
        <v>6.0901339829476245E-3</v>
      </c>
      <c r="I42" s="153"/>
      <c r="K42" s="67">
        <f t="shared" si="17"/>
        <v>-3.5046728971962614E-2</v>
      </c>
      <c r="L42" s="16">
        <f>L39</f>
        <v>-2.9575911506199065E-2</v>
      </c>
      <c r="M42" s="16"/>
      <c r="N42" s="16" t="str">
        <f t="shared" si="26"/>
        <v>Low Volatility</v>
      </c>
      <c r="O42" s="14" t="str">
        <f t="shared" si="2"/>
        <v>Strong Downtrend</v>
      </c>
      <c r="S42" s="58" t="s">
        <v>69</v>
      </c>
      <c r="T42" s="59"/>
      <c r="U42" s="60" t="s">
        <v>164</v>
      </c>
      <c r="V42" s="15">
        <f t="shared" si="3"/>
        <v>45792</v>
      </c>
      <c r="W42" s="60">
        <f t="shared" si="4"/>
        <v>41.33</v>
      </c>
      <c r="X42" s="61">
        <f t="shared" si="10"/>
        <v>0.5</v>
      </c>
      <c r="Y42" s="62">
        <f>((W42-MAX(W$16:W42))/MAX(W$16:W42))</f>
        <v>-2.5005897617362639E-2</v>
      </c>
      <c r="Z42" s="16">
        <f t="shared" si="11"/>
        <v>1.2245897624295862E-2</v>
      </c>
      <c r="AA42" s="153"/>
      <c r="AC42" s="16">
        <f t="shared" si="18"/>
        <v>1.6978346456692855E-2</v>
      </c>
      <c r="AD42" s="16">
        <f>AD39</f>
        <v>-1.8356885563869374E-3</v>
      </c>
      <c r="AE42" s="16"/>
      <c r="AF42" s="16" t="str">
        <f t="shared" si="27"/>
        <v>Low Volatility</v>
      </c>
      <c r="AG42" s="14" t="str">
        <f t="shared" si="12"/>
        <v>Stable</v>
      </c>
      <c r="AI42" s="58" t="s">
        <v>69</v>
      </c>
      <c r="AJ42" s="63"/>
      <c r="AK42" s="64">
        <v>387300</v>
      </c>
      <c r="AL42" s="15">
        <f t="shared" si="9"/>
        <v>45792</v>
      </c>
      <c r="AM42" s="60">
        <f t="shared" si="5"/>
        <v>38.729999999999997</v>
      </c>
      <c r="AN42" s="61">
        <f t="shared" si="13"/>
        <v>-3.0000000000001137E-2</v>
      </c>
      <c r="AO42" s="62">
        <f>((AM42-MAX(AM$16:AM42))/MAX(AM$16:AM42))</f>
        <v>-1.5467904098995173E-3</v>
      </c>
      <c r="AP42" s="16">
        <f t="shared" si="14"/>
        <v>-7.7399380804956492E-4</v>
      </c>
      <c r="AQ42" s="153"/>
      <c r="AS42" s="67">
        <f t="shared" si="19"/>
        <v>3.1080031080030416E-3</v>
      </c>
      <c r="AT42" s="16">
        <f>AT39</f>
        <v>4.508166432636033E-3</v>
      </c>
      <c r="AU42" s="16"/>
      <c r="AV42" s="16" t="str">
        <f t="shared" si="28"/>
        <v>Low Volatility</v>
      </c>
      <c r="AW42" s="14" t="str">
        <f t="shared" si="6"/>
        <v>Stable</v>
      </c>
    </row>
    <row r="43" spans="1:49" ht="26.25" hidden="1" thickBot="1">
      <c r="A43" s="104" t="s">
        <v>70</v>
      </c>
      <c r="B43" s="105" t="s">
        <v>459</v>
      </c>
      <c r="C43" s="105" t="s">
        <v>451</v>
      </c>
      <c r="D43" s="15">
        <f t="shared" si="0"/>
        <v>45793</v>
      </c>
      <c r="E43" s="60">
        <f t="shared" si="1"/>
        <v>4135</v>
      </c>
      <c r="F43" s="61">
        <f t="shared" si="7"/>
        <v>5</v>
      </c>
      <c r="G43" s="62">
        <f>((E43-MAX(E$16:E43))/MAX(E$16:E43))</f>
        <v>-5.3775743707093822E-2</v>
      </c>
      <c r="H43" s="16">
        <f t="shared" si="8"/>
        <v>1.2106537530266344E-3</v>
      </c>
      <c r="I43" s="153"/>
      <c r="K43" s="67">
        <f t="shared" si="17"/>
        <v>-3.2748538011695909E-2</v>
      </c>
      <c r="L43" s="16">
        <f>L39</f>
        <v>-2.9575911506199065E-2</v>
      </c>
      <c r="M43" s="16"/>
      <c r="N43" s="16" t="str">
        <f t="shared" si="26"/>
        <v>Low Volatility</v>
      </c>
      <c r="O43" s="14" t="str">
        <f t="shared" si="2"/>
        <v>Strong Downtrend</v>
      </c>
      <c r="S43" s="58" t="s">
        <v>70</v>
      </c>
      <c r="T43" s="59"/>
      <c r="U43" s="60" t="s">
        <v>167</v>
      </c>
      <c r="V43" s="15">
        <f t="shared" si="3"/>
        <v>45793</v>
      </c>
      <c r="W43" s="60">
        <f t="shared" si="4"/>
        <v>40.9</v>
      </c>
      <c r="X43" s="61">
        <f t="shared" si="10"/>
        <v>-0.42999999999999972</v>
      </c>
      <c r="Y43" s="62">
        <f>((W43-MAX(W$16:W43))/MAX(W$16:W43))</f>
        <v>-3.5149799481009721E-2</v>
      </c>
      <c r="Z43" s="16">
        <f t="shared" si="11"/>
        <v>-1.040406484393902E-2</v>
      </c>
      <c r="AA43" s="153"/>
      <c r="AC43" s="16">
        <f t="shared" si="18"/>
        <v>-1.2554321583776028E-2</v>
      </c>
      <c r="AD43" s="16">
        <f>AD39</f>
        <v>-1.8356885563869374E-3</v>
      </c>
      <c r="AE43" s="16"/>
      <c r="AF43" s="16" t="str">
        <f t="shared" si="27"/>
        <v>Low Volatility</v>
      </c>
      <c r="AG43" s="14" t="str">
        <f t="shared" si="12"/>
        <v>Stable</v>
      </c>
      <c r="AI43" s="58" t="s">
        <v>70</v>
      </c>
      <c r="AJ43" s="63"/>
      <c r="AK43" s="64">
        <v>388900</v>
      </c>
      <c r="AL43" s="15">
        <f t="shared" si="9"/>
        <v>45793</v>
      </c>
      <c r="AM43" s="60">
        <f t="shared" si="5"/>
        <v>38.89</v>
      </c>
      <c r="AN43" s="61">
        <f t="shared" si="13"/>
        <v>0.16000000000000369</v>
      </c>
      <c r="AO43" s="62">
        <f>((AM43-MAX(AM$16:AM43))/MAX(AM$16:AM43))</f>
        <v>0</v>
      </c>
      <c r="AP43" s="16">
        <f t="shared" si="14"/>
        <v>4.1311644719856369E-3</v>
      </c>
      <c r="AQ43" s="153"/>
      <c r="AS43" s="67">
        <f t="shared" si="19"/>
        <v>4.3904958677686394E-3</v>
      </c>
      <c r="AT43" s="16">
        <f>AT39</f>
        <v>4.508166432636033E-3</v>
      </c>
      <c r="AU43" s="16"/>
      <c r="AV43" s="16" t="str">
        <f t="shared" si="28"/>
        <v>Low Volatility</v>
      </c>
      <c r="AW43" s="14" t="str">
        <f t="shared" si="6"/>
        <v>Stable</v>
      </c>
    </row>
    <row r="44" spans="1:49" ht="26.25" hidden="1" thickBot="1">
      <c r="A44" s="104" t="s">
        <v>71</v>
      </c>
      <c r="B44" s="105" t="s">
        <v>459</v>
      </c>
      <c r="C44" s="105" t="s">
        <v>460</v>
      </c>
      <c r="D44" s="15">
        <f t="shared" si="0"/>
        <v>45794</v>
      </c>
      <c r="E44" s="60">
        <f t="shared" si="1"/>
        <v>4169</v>
      </c>
      <c r="F44" s="61">
        <f t="shared" si="7"/>
        <v>34</v>
      </c>
      <c r="G44" s="62">
        <f>((E44-MAX(E$16:E44))/MAX(E$16:E44))</f>
        <v>-4.59954233409611E-2</v>
      </c>
      <c r="H44" s="16">
        <f t="shared" si="8"/>
        <v>8.2224909310761787E-3</v>
      </c>
      <c r="I44" s="153"/>
      <c r="K44" s="67">
        <f t="shared" si="17"/>
        <v>-2.0901831845937059E-2</v>
      </c>
      <c r="L44" s="16">
        <f>L39</f>
        <v>-2.9575911506199065E-2</v>
      </c>
      <c r="M44" s="16"/>
      <c r="N44" s="16" t="str">
        <f t="shared" si="26"/>
        <v>Low Volatility</v>
      </c>
      <c r="O44" s="14" t="str">
        <f t="shared" si="2"/>
        <v>Strong Downtrend</v>
      </c>
      <c r="S44" s="58" t="s">
        <v>71</v>
      </c>
      <c r="T44" s="59"/>
      <c r="U44" s="60" t="s">
        <v>168</v>
      </c>
      <c r="V44" s="15">
        <f t="shared" si="3"/>
        <v>45794</v>
      </c>
      <c r="W44" s="60">
        <f t="shared" si="4"/>
        <v>40.97</v>
      </c>
      <c r="X44" s="61">
        <f t="shared" si="10"/>
        <v>7.0000000000000284E-2</v>
      </c>
      <c r="Y44" s="62">
        <f>((W44-MAX(W$16:W44))/MAX(W$16:W44))</f>
        <v>-3.3498466619485766E-2</v>
      </c>
      <c r="Z44" s="16">
        <f t="shared" si="11"/>
        <v>1.7114914425427944E-3</v>
      </c>
      <c r="AA44" s="153"/>
      <c r="AC44" s="16">
        <f t="shared" si="18"/>
        <v>-1.0864316755190798E-2</v>
      </c>
      <c r="AD44" s="16">
        <f>AD39</f>
        <v>-1.8356885563869374E-3</v>
      </c>
      <c r="AE44" s="16"/>
      <c r="AF44" s="16" t="str">
        <f t="shared" si="27"/>
        <v>Low Volatility</v>
      </c>
      <c r="AG44" s="14" t="str">
        <f t="shared" si="12"/>
        <v>Stable</v>
      </c>
      <c r="AI44" s="58" t="s">
        <v>71</v>
      </c>
      <c r="AJ44" s="63"/>
      <c r="AK44" s="64">
        <v>389450</v>
      </c>
      <c r="AL44" s="15">
        <f t="shared" si="9"/>
        <v>45794</v>
      </c>
      <c r="AM44" s="60">
        <f t="shared" si="5"/>
        <v>38.945</v>
      </c>
      <c r="AN44" s="61">
        <f t="shared" si="13"/>
        <v>5.4999999999999716E-2</v>
      </c>
      <c r="AO44" s="62">
        <f>((AM44-MAX(AM$16:AM44))/MAX(AM$16:AM44))</f>
        <v>0</v>
      </c>
      <c r="AP44" s="16">
        <f t="shared" si="14"/>
        <v>1.4142453072769276E-3</v>
      </c>
      <c r="AQ44" s="153"/>
      <c r="AS44" s="67">
        <f t="shared" si="19"/>
        <v>4.5137993293783117E-3</v>
      </c>
      <c r="AT44" s="16">
        <f>AT39</f>
        <v>4.508166432636033E-3</v>
      </c>
      <c r="AU44" s="16"/>
      <c r="AV44" s="16" t="str">
        <f t="shared" si="28"/>
        <v>Low Volatility</v>
      </c>
      <c r="AW44" s="14" t="str">
        <f t="shared" si="6"/>
        <v>Stable</v>
      </c>
    </row>
    <row r="45" spans="1:49" ht="26.25" hidden="1" thickBot="1">
      <c r="A45" s="104" t="s">
        <v>72</v>
      </c>
      <c r="B45" s="105" t="s">
        <v>459</v>
      </c>
      <c r="C45" s="105" t="s">
        <v>460</v>
      </c>
      <c r="D45" s="15">
        <f t="shared" si="0"/>
        <v>45795</v>
      </c>
      <c r="E45" s="60">
        <f t="shared" si="1"/>
        <v>4169</v>
      </c>
      <c r="F45" s="61">
        <f t="shared" si="7"/>
        <v>0</v>
      </c>
      <c r="G45" s="62">
        <f>((E45-MAX(E$16:E45))/MAX(E$16:E45))</f>
        <v>-4.59954233409611E-2</v>
      </c>
      <c r="H45" s="16">
        <f t="shared" si="8"/>
        <v>0</v>
      </c>
      <c r="I45" s="153"/>
      <c r="K45" s="68">
        <f t="shared" si="17"/>
        <v>-2.0901831845937059E-2</v>
      </c>
      <c r="L45" s="16">
        <f>L39</f>
        <v>-2.9575911506199065E-2</v>
      </c>
      <c r="M45" s="16"/>
      <c r="N45" s="16" t="str">
        <f t="shared" si="26"/>
        <v>Low Volatility</v>
      </c>
      <c r="O45" s="14" t="str">
        <f t="shared" si="2"/>
        <v>Strong Downtrend</v>
      </c>
      <c r="P45" s="16">
        <f t="shared" ref="P45:P76" si="29">(E45-E16)/E16</f>
        <v>-9.7387173396674583E-3</v>
      </c>
      <c r="S45" s="58" t="s">
        <v>72</v>
      </c>
      <c r="T45" s="59"/>
      <c r="U45" s="60" t="s">
        <v>168</v>
      </c>
      <c r="V45" s="15">
        <f t="shared" si="3"/>
        <v>45795</v>
      </c>
      <c r="W45" s="60">
        <f t="shared" si="4"/>
        <v>40.97</v>
      </c>
      <c r="X45" s="61">
        <f t="shared" si="10"/>
        <v>0</v>
      </c>
      <c r="Y45" s="62">
        <f>((W45-MAX(W$16:W45))/MAX(W$16:W45))</f>
        <v>-3.3498466619485766E-2</v>
      </c>
      <c r="Z45" s="16">
        <f t="shared" si="11"/>
        <v>0</v>
      </c>
      <c r="AA45" s="153"/>
      <c r="AC45" s="16">
        <f t="shared" si="18"/>
        <v>-1.0864316755190798E-2</v>
      </c>
      <c r="AD45" s="16">
        <f>AD39</f>
        <v>-1.8356885563869374E-3</v>
      </c>
      <c r="AE45" s="16"/>
      <c r="AF45" s="16" t="str">
        <f t="shared" si="27"/>
        <v>Low Volatility</v>
      </c>
      <c r="AG45" s="14" t="str">
        <f t="shared" si="12"/>
        <v>Stable</v>
      </c>
      <c r="AI45" s="58" t="s">
        <v>72</v>
      </c>
      <c r="AJ45" s="63"/>
      <c r="AK45" s="64">
        <v>389450</v>
      </c>
      <c r="AL45" s="15">
        <f t="shared" si="9"/>
        <v>45795</v>
      </c>
      <c r="AM45" s="60">
        <f t="shared" si="5"/>
        <v>38.945</v>
      </c>
      <c r="AN45" s="61">
        <f t="shared" si="13"/>
        <v>0</v>
      </c>
      <c r="AO45" s="62">
        <f>((AM45-MAX(AM$16:AM45))/MAX(AM$16:AM45))</f>
        <v>0</v>
      </c>
      <c r="AP45" s="16">
        <f t="shared" si="14"/>
        <v>0</v>
      </c>
      <c r="AQ45" s="153"/>
      <c r="AS45" s="68">
        <f t="shared" si="19"/>
        <v>4.5137993293783117E-3</v>
      </c>
      <c r="AT45" s="16">
        <f>AT39</f>
        <v>4.508166432636033E-3</v>
      </c>
      <c r="AU45" s="16"/>
      <c r="AV45" s="16" t="str">
        <f t="shared" si="28"/>
        <v>Low Volatility</v>
      </c>
      <c r="AW45" s="14" t="str">
        <f t="shared" si="6"/>
        <v>Stable</v>
      </c>
    </row>
    <row r="46" spans="1:49" ht="26.25" hidden="1" thickBot="1">
      <c r="A46" s="104" t="s">
        <v>73</v>
      </c>
      <c r="B46" s="105" t="s">
        <v>459</v>
      </c>
      <c r="C46" s="105" t="s">
        <v>441</v>
      </c>
      <c r="D46" s="15">
        <f t="shared" si="0"/>
        <v>45796</v>
      </c>
      <c r="E46" s="60">
        <f t="shared" si="1"/>
        <v>4210</v>
      </c>
      <c r="F46" s="61">
        <f t="shared" si="7"/>
        <v>41</v>
      </c>
      <c r="G46" s="62">
        <f>((E46-MAX(E$16:E46))/MAX(E$16:E46))</f>
        <v>-3.6613272311212815E-2</v>
      </c>
      <c r="H46" s="16">
        <f t="shared" si="8"/>
        <v>9.8344926840969061E-3</v>
      </c>
      <c r="I46" s="153">
        <f>AVERAGE(E46:E52)</f>
        <v>4255.4285714285716</v>
      </c>
      <c r="K46" s="65">
        <f t="shared" si="17"/>
        <v>1.4457831325301205E-2</v>
      </c>
      <c r="L46" s="66">
        <f>(I46-I39)/I39</f>
        <v>2.5828225084372138E-2</v>
      </c>
      <c r="M46" s="16">
        <f>_xlfn.STDEV.S(F46:F52)/I46</f>
        <v>5.7047576291227725E-3</v>
      </c>
      <c r="N46" s="16" t="str">
        <f>IF(M46 &lt; 0.02, "Low Volatility",
 IF(M46 &gt; 0.1, "High Volatility", "Medium Volatility"))</f>
        <v>Low Volatility</v>
      </c>
      <c r="O46" s="14" t="str">
        <f t="shared" si="2"/>
        <v>Strong Uptrend</v>
      </c>
      <c r="P46" s="16">
        <f t="shared" si="29"/>
        <v>0</v>
      </c>
      <c r="S46" s="58" t="s">
        <v>73</v>
      </c>
      <c r="T46" s="59"/>
      <c r="U46" s="60" t="s">
        <v>169</v>
      </c>
      <c r="V46" s="15">
        <f t="shared" si="3"/>
        <v>45796</v>
      </c>
      <c r="W46" s="60">
        <f t="shared" si="4"/>
        <v>41.05</v>
      </c>
      <c r="X46" s="61">
        <f t="shared" si="10"/>
        <v>7.9999999999998295E-2</v>
      </c>
      <c r="Y46" s="62">
        <f>((W46-MAX(W$16:W46))/MAX(W$16:W46))</f>
        <v>-3.1611229063458444E-2</v>
      </c>
      <c r="Z46" s="16">
        <f t="shared" si="11"/>
        <v>1.9526482792286623E-3</v>
      </c>
      <c r="AA46" s="153">
        <f>AVERAGEIFS(W46:W52, W46:W52, "&gt;=0")</f>
        <v>42.204285714285717</v>
      </c>
      <c r="AC46" s="16">
        <f t="shared" si="18"/>
        <v>-6.7747398983789295E-3</v>
      </c>
      <c r="AD46" s="66">
        <f>(AA46-AA39)/AA39</f>
        <v>2.5122315139317841E-2</v>
      </c>
      <c r="AE46" s="16">
        <f>_xlfn.STDEV.S(X46:X52)/AA46</f>
        <v>9.4643024228250553E-3</v>
      </c>
      <c r="AF46" s="16" t="str">
        <f>IF(AE46 &lt; 0.02, "Low Volatility",
 IF(AE46 &gt; 0.1, "High Volatility", "Medium Volatility"))</f>
        <v>Low Volatility</v>
      </c>
      <c r="AG46" s="14" t="str">
        <f t="shared" si="12"/>
        <v>Weak/Unconfirmed</v>
      </c>
      <c r="AI46" s="58" t="s">
        <v>73</v>
      </c>
      <c r="AJ46" s="63"/>
      <c r="AK46" s="64">
        <v>389900</v>
      </c>
      <c r="AL46" s="15">
        <f t="shared" si="9"/>
        <v>45796</v>
      </c>
      <c r="AM46" s="60">
        <f t="shared" si="5"/>
        <v>38.99</v>
      </c>
      <c r="AN46" s="61">
        <f t="shared" si="13"/>
        <v>4.5000000000001705E-2</v>
      </c>
      <c r="AO46" s="62">
        <f>((AM46-MAX(AM$16:AM46))/MAX(AM$16:AM46))</f>
        <v>0</v>
      </c>
      <c r="AP46" s="16">
        <f t="shared" si="14"/>
        <v>1.1554756708178637E-3</v>
      </c>
      <c r="AQ46" s="153">
        <f>AVERAGE(AM46:AM52)</f>
        <v>38.800000000000004</v>
      </c>
      <c r="AS46" s="65">
        <f t="shared" si="19"/>
        <v>5.4151624548736677E-3</v>
      </c>
      <c r="AT46" s="66">
        <f>(AQ46-AQ39)/AQ39</f>
        <v>-8.828722778103273E-4</v>
      </c>
      <c r="AU46" s="16">
        <f>_xlfn.STDEV.S(AN46:AN52)/AQ46</f>
        <v>2.5562157579435605E-3</v>
      </c>
      <c r="AV46" s="16" t="str">
        <f>IF(AU46 &lt; 0.02, "Low Volatility",
 IF(AU46 &gt; 0.1, "High Volatility", "Medium Volatility"))</f>
        <v>Low Volatility</v>
      </c>
      <c r="AW46" s="14" t="str">
        <f t="shared" si="6"/>
        <v>Stable</v>
      </c>
    </row>
    <row r="47" spans="1:49" ht="26.25" hidden="1" thickBot="1">
      <c r="A47" s="104" t="s">
        <v>74</v>
      </c>
      <c r="B47" s="105" t="s">
        <v>441</v>
      </c>
      <c r="C47" s="105" t="s">
        <v>441</v>
      </c>
      <c r="D47" s="15">
        <f t="shared" si="0"/>
        <v>45797</v>
      </c>
      <c r="E47" s="60">
        <f t="shared" si="1"/>
        <v>4210</v>
      </c>
      <c r="F47" s="61">
        <f t="shared" si="7"/>
        <v>0</v>
      </c>
      <c r="G47" s="62">
        <f>((E47-MAX(E$16:E47))/MAX(E$16:E47))</f>
        <v>-3.6613272311212815E-2</v>
      </c>
      <c r="H47" s="16">
        <f t="shared" si="8"/>
        <v>0</v>
      </c>
      <c r="I47" s="153"/>
      <c r="K47" s="67">
        <f t="shared" si="17"/>
        <v>7.1770334928229667E-3</v>
      </c>
      <c r="L47" s="16">
        <f>L46</f>
        <v>2.5828225084372138E-2</v>
      </c>
      <c r="M47" s="16"/>
      <c r="N47" s="16" t="str">
        <f t="shared" ref="N47:N52" si="30">N46</f>
        <v>Low Volatility</v>
      </c>
      <c r="O47" s="14" t="str">
        <f t="shared" si="2"/>
        <v>Weak/Unconfirmed</v>
      </c>
      <c r="P47" s="16">
        <f t="shared" si="29"/>
        <v>-2.5237323454503358E-2</v>
      </c>
      <c r="S47" s="58" t="s">
        <v>74</v>
      </c>
      <c r="T47" s="59"/>
      <c r="U47" s="60" t="s">
        <v>170</v>
      </c>
      <c r="V47" s="15">
        <f t="shared" si="3"/>
        <v>45797</v>
      </c>
      <c r="W47" s="60">
        <f t="shared" si="4"/>
        <v>41.94</v>
      </c>
      <c r="X47" s="61">
        <f t="shared" si="10"/>
        <v>0.89000000000000057</v>
      </c>
      <c r="Y47" s="62">
        <f>((W47-MAX(W$16:W47))/MAX(W$16:W47))</f>
        <v>-1.0615711252653995E-2</v>
      </c>
      <c r="Z47" s="16">
        <f t="shared" si="11"/>
        <v>2.1680876979293561E-2</v>
      </c>
      <c r="AA47" s="153"/>
      <c r="AC47" s="16">
        <f t="shared" si="18"/>
        <v>1.911132345914914E-3</v>
      </c>
      <c r="AD47" s="16">
        <f>AD46</f>
        <v>2.5122315139317841E-2</v>
      </c>
      <c r="AE47" s="16"/>
      <c r="AF47" s="16" t="str">
        <f t="shared" ref="AF47:AF52" si="31">AF46</f>
        <v>Low Volatility</v>
      </c>
      <c r="AG47" s="14" t="str">
        <f t="shared" si="12"/>
        <v>Weak/Unconfirmed</v>
      </c>
      <c r="AI47" s="58" t="s">
        <v>74</v>
      </c>
      <c r="AJ47" s="63"/>
      <c r="AK47" s="64">
        <v>388200</v>
      </c>
      <c r="AL47" s="15">
        <f t="shared" si="9"/>
        <v>45797</v>
      </c>
      <c r="AM47" s="60">
        <f t="shared" si="5"/>
        <v>38.82</v>
      </c>
      <c r="AN47" s="61">
        <f t="shared" si="13"/>
        <v>-0.17000000000000171</v>
      </c>
      <c r="AO47" s="62">
        <f>((AM47-MAX(AM$16:AM47))/MAX(AM$16:AM47))</f>
        <v>-4.3600923313670608E-3</v>
      </c>
      <c r="AP47" s="16">
        <f t="shared" si="14"/>
        <v>-4.3600923313670608E-3</v>
      </c>
      <c r="AQ47" s="153"/>
      <c r="AS47" s="67">
        <f t="shared" si="19"/>
        <v>7.7339520494975863E-4</v>
      </c>
      <c r="AT47" s="16">
        <f>AT46</f>
        <v>-8.828722778103273E-4</v>
      </c>
      <c r="AU47" s="16"/>
      <c r="AV47" s="16" t="str">
        <f t="shared" ref="AV47:AV52" si="32">AV46</f>
        <v>Low Volatility</v>
      </c>
      <c r="AW47" s="14" t="str">
        <f t="shared" si="6"/>
        <v>Stable</v>
      </c>
    </row>
    <row r="48" spans="1:49" ht="26.25" hidden="1" thickBot="1">
      <c r="A48" s="104" t="s">
        <v>75</v>
      </c>
      <c r="B48" s="105" t="s">
        <v>441</v>
      </c>
      <c r="C48" s="105" t="s">
        <v>461</v>
      </c>
      <c r="D48" s="15">
        <f t="shared" si="0"/>
        <v>45798</v>
      </c>
      <c r="E48" s="60">
        <f t="shared" ref="E48:E79" si="33">VALUE(SUBSTITUTE(SUBSTITUTE(C48, ".", ""), ",", "."))</f>
        <v>4243</v>
      </c>
      <c r="F48" s="61">
        <f t="shared" si="7"/>
        <v>33</v>
      </c>
      <c r="G48" s="62">
        <f>((E48-MAX(E$16:E48))/MAX(E$16:E48))</f>
        <v>-2.9061784897025173E-2</v>
      </c>
      <c r="H48" s="16">
        <f t="shared" si="8"/>
        <v>7.8384798099762464E-3</v>
      </c>
      <c r="I48" s="153"/>
      <c r="K48" s="67">
        <f t="shared" si="17"/>
        <v>3.3617539585870888E-2</v>
      </c>
      <c r="L48" s="16">
        <f>L46</f>
        <v>2.5828225084372138E-2</v>
      </c>
      <c r="M48" s="16"/>
      <c r="N48" s="16" t="str">
        <f t="shared" si="30"/>
        <v>Low Volatility</v>
      </c>
      <c r="O48" s="14" t="str">
        <f t="shared" ref="O48:O79" si="34">IF(AND(K48 &gt; 0.01, L48 &gt; 0.01), "Strong Uptrend",
 IF(AND(K48 &lt; -0.01, L48 &lt; -0.01), "Strong Downtrend",
 IF(ABS(L48) &lt; 0.005, "Stable", "Weak/Unconfirmed")))</f>
        <v>Strong Uptrend</v>
      </c>
      <c r="P48" s="16">
        <f t="shared" si="29"/>
        <v>-2.9061784897025173E-2</v>
      </c>
      <c r="S48" s="58" t="s">
        <v>75</v>
      </c>
      <c r="T48" s="59"/>
      <c r="U48" s="60" t="s">
        <v>171</v>
      </c>
      <c r="V48" s="15">
        <f t="shared" si="3"/>
        <v>45798</v>
      </c>
      <c r="W48" s="60">
        <f t="shared" ref="W48:W79" si="35">VALUE(SUBSTITUTE(SUBSTITUTE(U48, ".", ""), ",", "."))</f>
        <v>42.42</v>
      </c>
      <c r="X48" s="61">
        <f t="shared" si="10"/>
        <v>0.48000000000000398</v>
      </c>
      <c r="Y48" s="62">
        <f>((W48-MAX(W$16:W48))/MAX(W$16:W48))</f>
        <v>0</v>
      </c>
      <c r="Z48" s="16">
        <f t="shared" si="11"/>
        <v>1.1444921316166047E-2</v>
      </c>
      <c r="AA48" s="153"/>
      <c r="AC48" s="16">
        <f t="shared" si="18"/>
        <v>3.8941954445260926E-2</v>
      </c>
      <c r="AD48" s="16">
        <f>AD46</f>
        <v>2.5122315139317841E-2</v>
      </c>
      <c r="AE48" s="16"/>
      <c r="AF48" s="16" t="str">
        <f t="shared" si="31"/>
        <v>Low Volatility</v>
      </c>
      <c r="AG48" s="14" t="str">
        <f t="shared" si="12"/>
        <v>Strong Uptrend</v>
      </c>
      <c r="AI48" s="58" t="s">
        <v>75</v>
      </c>
      <c r="AJ48" s="63"/>
      <c r="AK48" s="64">
        <v>387700</v>
      </c>
      <c r="AL48" s="15">
        <f t="shared" si="9"/>
        <v>45798</v>
      </c>
      <c r="AM48" s="60">
        <f t="shared" ref="AM48:AM79" si="36">VALUE(SUBSTITUTE(SUBSTITUTE(AK48, ".", ""), ",", "."))/10000</f>
        <v>38.770000000000003</v>
      </c>
      <c r="AN48" s="61">
        <f t="shared" si="13"/>
        <v>-4.9999999999997158E-2</v>
      </c>
      <c r="AO48" s="62">
        <f>((AM48-MAX(AM$16:AM48))/MAX(AM$16:AM48))</f>
        <v>-5.6424724288278751E-3</v>
      </c>
      <c r="AP48" s="16">
        <f t="shared" si="14"/>
        <v>-1.2879958784131158E-3</v>
      </c>
      <c r="AQ48" s="153"/>
      <c r="AS48" s="67">
        <f t="shared" si="19"/>
        <v>2.5799793601664385E-4</v>
      </c>
      <c r="AT48" s="16">
        <f>AT46</f>
        <v>-8.828722778103273E-4</v>
      </c>
      <c r="AU48" s="16"/>
      <c r="AV48" s="16" t="str">
        <f t="shared" si="32"/>
        <v>Low Volatility</v>
      </c>
      <c r="AW48" s="14" t="str">
        <f t="shared" ref="AW48:AW79" si="37">IF(AND(AS48 &gt; 0.01, AT48 &gt; 0.01), "Strong Uptrend",
 IF(AND(AS48 &lt; -0.01, AT48 &lt; -0.01), "Strong Downtrend",
 IF(ABS(AT48) &lt; 0.005, "Stable", "Weak/Unconfirmed")))</f>
        <v>Stable</v>
      </c>
    </row>
    <row r="49" spans="1:49" ht="26.25" hidden="1" thickBot="1">
      <c r="A49" s="104" t="s">
        <v>76</v>
      </c>
      <c r="B49" s="105" t="s">
        <v>461</v>
      </c>
      <c r="C49" s="105" t="s">
        <v>462</v>
      </c>
      <c r="D49" s="15">
        <f t="shared" si="0"/>
        <v>45799</v>
      </c>
      <c r="E49" s="60">
        <f t="shared" si="33"/>
        <v>4240</v>
      </c>
      <c r="F49" s="61">
        <f t="shared" ref="F49:F80" si="38">E49-E48</f>
        <v>-3</v>
      </c>
      <c r="G49" s="62">
        <f>((E49-MAX(E$16:E49))/MAX(E$16:E49))</f>
        <v>-2.9748283752860413E-2</v>
      </c>
      <c r="H49" s="16">
        <f t="shared" si="8"/>
        <v>-7.0704690077775156E-4</v>
      </c>
      <c r="I49" s="153"/>
      <c r="K49" s="67">
        <f t="shared" si="17"/>
        <v>2.6634382566585957E-2</v>
      </c>
      <c r="L49" s="16">
        <f>L46</f>
        <v>2.5828225084372138E-2</v>
      </c>
      <c r="M49" s="16"/>
      <c r="N49" s="16" t="str">
        <f t="shared" si="30"/>
        <v>Low Volatility</v>
      </c>
      <c r="O49" s="14" t="str">
        <f t="shared" si="34"/>
        <v>Strong Uptrend</v>
      </c>
      <c r="P49" s="16">
        <f t="shared" si="29"/>
        <v>7.1258907363420431E-3</v>
      </c>
      <c r="S49" s="58" t="s">
        <v>76</v>
      </c>
      <c r="T49" s="59"/>
      <c r="U49" s="60" t="s">
        <v>172</v>
      </c>
      <c r="V49" s="15">
        <f t="shared" si="3"/>
        <v>45799</v>
      </c>
      <c r="W49" s="60">
        <f t="shared" si="35"/>
        <v>42.05</v>
      </c>
      <c r="X49" s="61">
        <f t="shared" si="10"/>
        <v>-0.37000000000000455</v>
      </c>
      <c r="Y49" s="62">
        <f>((W49-MAX(W$16:W49))/MAX(W$16:W49))</f>
        <v>-8.7223008015088286E-3</v>
      </c>
      <c r="Z49" s="16">
        <f t="shared" si="11"/>
        <v>-8.7223008015088286E-3</v>
      </c>
      <c r="AA49" s="153"/>
      <c r="AC49" s="16">
        <f t="shared" si="18"/>
        <v>1.7420759738688577E-2</v>
      </c>
      <c r="AD49" s="16">
        <f>AD46</f>
        <v>2.5122315139317841E-2</v>
      </c>
      <c r="AE49" s="16"/>
      <c r="AF49" s="16" t="str">
        <f t="shared" si="31"/>
        <v>Low Volatility</v>
      </c>
      <c r="AG49" s="14" t="str">
        <f t="shared" si="12"/>
        <v>Strong Uptrend</v>
      </c>
      <c r="AI49" s="58" t="s">
        <v>76</v>
      </c>
      <c r="AJ49" s="63"/>
      <c r="AK49" s="64">
        <v>388300</v>
      </c>
      <c r="AL49" s="15">
        <f t="shared" si="9"/>
        <v>45799</v>
      </c>
      <c r="AM49" s="60">
        <f t="shared" si="36"/>
        <v>38.83</v>
      </c>
      <c r="AN49" s="61">
        <f t="shared" si="13"/>
        <v>5.9999999999995168E-2</v>
      </c>
      <c r="AO49" s="62">
        <f>((AM49-MAX(AM$16:AM49))/MAX(AM$16:AM49))</f>
        <v>-4.1036163118749339E-3</v>
      </c>
      <c r="AP49" s="16">
        <f t="shared" si="14"/>
        <v>1.5475883415010359E-3</v>
      </c>
      <c r="AQ49" s="153"/>
      <c r="AS49" s="67">
        <f t="shared" si="19"/>
        <v>2.5819777949910002E-3</v>
      </c>
      <c r="AT49" s="16">
        <f>AT46</f>
        <v>-8.828722778103273E-4</v>
      </c>
      <c r="AU49" s="16"/>
      <c r="AV49" s="16" t="str">
        <f t="shared" si="32"/>
        <v>Low Volatility</v>
      </c>
      <c r="AW49" s="14" t="str">
        <f t="shared" si="37"/>
        <v>Stable</v>
      </c>
    </row>
    <row r="50" spans="1:49" ht="26.25" hidden="1" thickBot="1">
      <c r="A50" s="104" t="s">
        <v>77</v>
      </c>
      <c r="B50" s="105" t="s">
        <v>462</v>
      </c>
      <c r="C50" s="105" t="s">
        <v>463</v>
      </c>
      <c r="D50" s="15">
        <f t="shared" si="0"/>
        <v>45800</v>
      </c>
      <c r="E50" s="60">
        <f t="shared" si="33"/>
        <v>4295</v>
      </c>
      <c r="F50" s="61">
        <f t="shared" si="38"/>
        <v>55</v>
      </c>
      <c r="G50" s="62">
        <f>((E50-MAX(E$16:E50))/MAX(E$16:E50))</f>
        <v>-1.7162471395881007E-2</v>
      </c>
      <c r="H50" s="16">
        <f t="shared" si="8"/>
        <v>1.2971698113207548E-2</v>
      </c>
      <c r="I50" s="153"/>
      <c r="K50" s="67">
        <f t="shared" si="17"/>
        <v>3.8694074969770252E-2</v>
      </c>
      <c r="L50" s="16">
        <f>L46</f>
        <v>2.5828225084372138E-2</v>
      </c>
      <c r="M50" s="16"/>
      <c r="N50" s="16" t="str">
        <f t="shared" si="30"/>
        <v>Low Volatility</v>
      </c>
      <c r="O50" s="14" t="str">
        <f t="shared" si="34"/>
        <v>Strong Uptrend</v>
      </c>
      <c r="P50" s="16">
        <f t="shared" si="29"/>
        <v>8.2159624413145546E-3</v>
      </c>
      <c r="S50" s="58" t="s">
        <v>77</v>
      </c>
      <c r="T50" s="59"/>
      <c r="U50" s="60" t="s">
        <v>171</v>
      </c>
      <c r="V50" s="15">
        <f t="shared" si="3"/>
        <v>45800</v>
      </c>
      <c r="W50" s="60">
        <f t="shared" si="35"/>
        <v>42.42</v>
      </c>
      <c r="X50" s="61">
        <f t="shared" si="10"/>
        <v>0.37000000000000455</v>
      </c>
      <c r="Y50" s="62">
        <f>((W50-MAX(W$16:W50))/MAX(W$16:W50))</f>
        <v>0</v>
      </c>
      <c r="Z50" s="16">
        <f t="shared" si="11"/>
        <v>8.7990487514864341E-3</v>
      </c>
      <c r="AA50" s="153"/>
      <c r="AC50" s="16">
        <f t="shared" si="18"/>
        <v>3.7163814180929171E-2</v>
      </c>
      <c r="AD50" s="16">
        <f>AD46</f>
        <v>2.5122315139317841E-2</v>
      </c>
      <c r="AE50" s="16"/>
      <c r="AF50" s="16" t="str">
        <f t="shared" si="31"/>
        <v>Low Volatility</v>
      </c>
      <c r="AG50" s="14" t="str">
        <f t="shared" si="12"/>
        <v>Strong Uptrend</v>
      </c>
      <c r="AI50" s="58" t="s">
        <v>77</v>
      </c>
      <c r="AJ50" s="63"/>
      <c r="AK50" s="64">
        <v>388500</v>
      </c>
      <c r="AL50" s="15">
        <f t="shared" si="9"/>
        <v>45800</v>
      </c>
      <c r="AM50" s="60">
        <f t="shared" si="36"/>
        <v>38.85</v>
      </c>
      <c r="AN50" s="61">
        <f t="shared" si="13"/>
        <v>2.0000000000003126E-2</v>
      </c>
      <c r="AO50" s="62">
        <f>((AM50-MAX(AM$16:AM50))/MAX(AM$16:AM50))</f>
        <v>-3.5906642728904992E-3</v>
      </c>
      <c r="AP50" s="16">
        <f t="shared" si="14"/>
        <v>5.1506567087311681E-4</v>
      </c>
      <c r="AQ50" s="153"/>
      <c r="AS50" s="67">
        <f t="shared" si="19"/>
        <v>-1.0285420416559308E-3</v>
      </c>
      <c r="AT50" s="16">
        <f>AT46</f>
        <v>-8.828722778103273E-4</v>
      </c>
      <c r="AU50" s="16"/>
      <c r="AV50" s="16" t="str">
        <f t="shared" si="32"/>
        <v>Low Volatility</v>
      </c>
      <c r="AW50" s="14" t="str">
        <f t="shared" si="37"/>
        <v>Stable</v>
      </c>
    </row>
    <row r="51" spans="1:49" ht="26.25" hidden="1" thickBot="1">
      <c r="A51" s="104" t="s">
        <v>78</v>
      </c>
      <c r="B51" s="105" t="s">
        <v>462</v>
      </c>
      <c r="C51" s="105" t="s">
        <v>463</v>
      </c>
      <c r="D51" s="15">
        <f t="shared" si="0"/>
        <v>45801</v>
      </c>
      <c r="E51" s="60">
        <f t="shared" si="33"/>
        <v>4295</v>
      </c>
      <c r="F51" s="61">
        <f t="shared" si="38"/>
        <v>0</v>
      </c>
      <c r="G51" s="62">
        <f>((E51-MAX(E$16:E51))/MAX(E$16:E51))</f>
        <v>-1.7162471395881007E-2</v>
      </c>
      <c r="H51" s="16">
        <f t="shared" si="8"/>
        <v>0</v>
      </c>
      <c r="I51" s="153"/>
      <c r="K51" s="67">
        <f t="shared" si="17"/>
        <v>3.0223075077956345E-2</v>
      </c>
      <c r="L51" s="16">
        <f>L46</f>
        <v>2.5828225084372138E-2</v>
      </c>
      <c r="M51" s="16"/>
      <c r="N51" s="16" t="str">
        <f t="shared" si="30"/>
        <v>Low Volatility</v>
      </c>
      <c r="O51" s="14" t="str">
        <f t="shared" si="34"/>
        <v>Strong Uptrend</v>
      </c>
      <c r="P51" s="16">
        <f t="shared" si="29"/>
        <v>2.3837902264600714E-2</v>
      </c>
      <c r="S51" s="58" t="s">
        <v>78</v>
      </c>
      <c r="T51" s="59"/>
      <c r="U51" s="60" t="s">
        <v>173</v>
      </c>
      <c r="V51" s="15">
        <f t="shared" si="3"/>
        <v>45801</v>
      </c>
      <c r="W51" s="60">
        <f t="shared" si="35"/>
        <v>42.77</v>
      </c>
      <c r="X51" s="61">
        <f t="shared" si="10"/>
        <v>0.35000000000000142</v>
      </c>
      <c r="Y51" s="62">
        <f>((W51-MAX(W$16:W51))/MAX(W$16:W51))</f>
        <v>0</v>
      </c>
      <c r="Z51" s="16">
        <f t="shared" si="11"/>
        <v>8.2508250825082848E-3</v>
      </c>
      <c r="AA51" s="153"/>
      <c r="AC51" s="16">
        <f t="shared" si="18"/>
        <v>4.3934586282645946E-2</v>
      </c>
      <c r="AD51" s="16">
        <f>AD46</f>
        <v>2.5122315139317841E-2</v>
      </c>
      <c r="AE51" s="16"/>
      <c r="AF51" s="16" t="str">
        <f t="shared" si="31"/>
        <v>Low Volatility</v>
      </c>
      <c r="AG51" s="14" t="str">
        <f t="shared" si="12"/>
        <v>Strong Uptrend</v>
      </c>
      <c r="AI51" s="58" t="s">
        <v>78</v>
      </c>
      <c r="AJ51" s="63"/>
      <c r="AK51" s="64">
        <v>386700</v>
      </c>
      <c r="AL51" s="15">
        <f t="shared" si="9"/>
        <v>45801</v>
      </c>
      <c r="AM51" s="60">
        <f t="shared" si="36"/>
        <v>38.67</v>
      </c>
      <c r="AN51" s="61">
        <f t="shared" si="13"/>
        <v>-0.17999999999999972</v>
      </c>
      <c r="AO51" s="62">
        <f>((AM51-MAX(AM$16:AM51))/MAX(AM$16:AM51))</f>
        <v>-8.2072326237496857E-3</v>
      </c>
      <c r="AP51" s="16">
        <f t="shared" si="14"/>
        <v>-4.633204633204626E-3</v>
      </c>
      <c r="AQ51" s="153"/>
      <c r="AS51" s="67">
        <f t="shared" si="19"/>
        <v>-7.0612402105533082E-3</v>
      </c>
      <c r="AT51" s="16">
        <f>AT46</f>
        <v>-8.828722778103273E-4</v>
      </c>
      <c r="AU51" s="16"/>
      <c r="AV51" s="16" t="str">
        <f t="shared" si="32"/>
        <v>Low Volatility</v>
      </c>
      <c r="AW51" s="14" t="str">
        <f t="shared" si="37"/>
        <v>Stable</v>
      </c>
    </row>
    <row r="52" spans="1:49" ht="26.25" hidden="1" thickBot="1">
      <c r="A52" s="104" t="s">
        <v>79</v>
      </c>
      <c r="B52" s="105" t="s">
        <v>462</v>
      </c>
      <c r="C52" s="105" t="s">
        <v>463</v>
      </c>
      <c r="D52" s="15">
        <f t="shared" si="0"/>
        <v>45802</v>
      </c>
      <c r="E52" s="60">
        <f t="shared" si="33"/>
        <v>4295</v>
      </c>
      <c r="F52" s="61">
        <f t="shared" si="38"/>
        <v>0</v>
      </c>
      <c r="G52" s="62">
        <f>((E52-MAX(E$16:E52))/MAX(E$16:E52))</f>
        <v>-1.7162471395881007E-2</v>
      </c>
      <c r="H52" s="16">
        <f t="shared" si="8"/>
        <v>0</v>
      </c>
      <c r="I52" s="153"/>
      <c r="K52" s="68">
        <f t="shared" si="17"/>
        <v>3.0223075077956345E-2</v>
      </c>
      <c r="L52" s="16">
        <f>L46</f>
        <v>2.5828225084372138E-2</v>
      </c>
      <c r="M52" s="16"/>
      <c r="N52" s="16" t="str">
        <f t="shared" si="30"/>
        <v>Low Volatility</v>
      </c>
      <c r="O52" s="14" t="str">
        <f t="shared" si="34"/>
        <v>Strong Uptrend</v>
      </c>
      <c r="P52" s="16">
        <f t="shared" si="29"/>
        <v>1.5606526365571057E-2</v>
      </c>
      <c r="S52" s="58" t="s">
        <v>79</v>
      </c>
      <c r="T52" s="59"/>
      <c r="U52" s="60" t="s">
        <v>174</v>
      </c>
      <c r="V52" s="15">
        <f t="shared" si="3"/>
        <v>45802</v>
      </c>
      <c r="W52" s="60">
        <f t="shared" si="35"/>
        <v>42.78</v>
      </c>
      <c r="X52" s="61">
        <f t="shared" si="10"/>
        <v>9.9999999999980105E-3</v>
      </c>
      <c r="Y52" s="62">
        <f>((W52-MAX(W$16:W52))/MAX(W$16:W52))</f>
        <v>0</v>
      </c>
      <c r="Z52" s="16">
        <f t="shared" si="11"/>
        <v>2.3380874444699578E-4</v>
      </c>
      <c r="AA52" s="153"/>
      <c r="AC52" s="16">
        <f t="shared" si="18"/>
        <v>4.4178667317549485E-2</v>
      </c>
      <c r="AD52" s="16">
        <f>AD46</f>
        <v>2.5122315139317841E-2</v>
      </c>
      <c r="AE52" s="16"/>
      <c r="AF52" s="16" t="str">
        <f t="shared" si="31"/>
        <v>Low Volatility</v>
      </c>
      <c r="AG52" s="14" t="str">
        <f t="shared" si="12"/>
        <v>Strong Uptrend</v>
      </c>
      <c r="AI52" s="58" t="s">
        <v>79</v>
      </c>
      <c r="AJ52" s="63"/>
      <c r="AK52" s="64">
        <v>386700</v>
      </c>
      <c r="AL52" s="15">
        <f t="shared" si="9"/>
        <v>45802</v>
      </c>
      <c r="AM52" s="60">
        <f t="shared" si="36"/>
        <v>38.67</v>
      </c>
      <c r="AN52" s="61">
        <f t="shared" si="13"/>
        <v>0</v>
      </c>
      <c r="AO52" s="62">
        <f>((AM52-MAX(AM$16:AM52))/MAX(AM$16:AM52))</f>
        <v>-8.2072326237496857E-3</v>
      </c>
      <c r="AP52" s="16">
        <f t="shared" si="14"/>
        <v>0</v>
      </c>
      <c r="AQ52" s="153"/>
      <c r="AS52" s="68">
        <f t="shared" si="19"/>
        <v>-7.0612402105533082E-3</v>
      </c>
      <c r="AT52" s="16">
        <f>AT46</f>
        <v>-8.828722778103273E-4</v>
      </c>
      <c r="AU52" s="16"/>
      <c r="AV52" s="16" t="str">
        <f t="shared" si="32"/>
        <v>Low Volatility</v>
      </c>
      <c r="AW52" s="14" t="str">
        <f t="shared" si="37"/>
        <v>Stable</v>
      </c>
    </row>
    <row r="53" spans="1:49" ht="26.25" hidden="1" thickBot="1">
      <c r="A53" s="104" t="s">
        <v>80</v>
      </c>
      <c r="B53" s="105" t="s">
        <v>462</v>
      </c>
      <c r="C53" s="105" t="s">
        <v>464</v>
      </c>
      <c r="D53" s="15">
        <f t="shared" si="0"/>
        <v>45803</v>
      </c>
      <c r="E53" s="60">
        <f t="shared" si="33"/>
        <v>4248</v>
      </c>
      <c r="F53" s="61">
        <f t="shared" si="38"/>
        <v>-47</v>
      </c>
      <c r="G53" s="62">
        <f>((E53-MAX(E$16:E53))/MAX(E$16:E53))</f>
        <v>-2.7917620137299773E-2</v>
      </c>
      <c r="H53" s="16">
        <f t="shared" si="8"/>
        <v>-1.0942956926658906E-2</v>
      </c>
      <c r="I53" s="153">
        <f>AVERAGE(E53:E59)</f>
        <v>4231.4285714285716</v>
      </c>
      <c r="K53" s="67">
        <f t="shared" si="17"/>
        <v>9.026128266033254E-3</v>
      </c>
      <c r="L53" s="69">
        <f>(I53-I46)/I46</f>
        <v>-5.6398549751577815E-3</v>
      </c>
      <c r="M53" s="16">
        <f>_xlfn.STDEV.S(F53:F59)/I53</f>
        <v>6.4182263375858915E-3</v>
      </c>
      <c r="N53" s="16" t="str">
        <f>IF(M53 &lt; 0.02, "Low Volatility",
 IF(M53 &gt; 0.1, "High Volatility", "Medium Volatility"))</f>
        <v>Low Volatility</v>
      </c>
      <c r="O53" s="14" t="str">
        <f t="shared" si="34"/>
        <v>Weak/Unconfirmed</v>
      </c>
      <c r="P53" s="16">
        <f t="shared" si="29"/>
        <v>4.4927878931189406E-3</v>
      </c>
      <c r="S53" s="58" t="s">
        <v>80</v>
      </c>
      <c r="T53" s="59"/>
      <c r="U53" s="60" t="s">
        <v>175</v>
      </c>
      <c r="V53" s="15">
        <f t="shared" si="3"/>
        <v>45803</v>
      </c>
      <c r="W53" s="60">
        <f t="shared" si="35"/>
        <v>42.6</v>
      </c>
      <c r="X53" s="61">
        <f t="shared" si="10"/>
        <v>-0.17999999999999972</v>
      </c>
      <c r="Y53" s="62">
        <f>((W53-MAX(W$16:W53))/MAX(W$16:W53))</f>
        <v>-4.2075736325385624E-3</v>
      </c>
      <c r="Z53" s="16">
        <f t="shared" si="11"/>
        <v>-4.2075736325385624E-3</v>
      </c>
      <c r="AA53" s="153">
        <f>AVERAGEIFS(W53:W59, W53:W59, "&gt;=0")</f>
        <v>42.342857142857142</v>
      </c>
      <c r="AC53" s="16">
        <f t="shared" si="18"/>
        <v>3.775883069427538E-2</v>
      </c>
      <c r="AD53" s="66">
        <f>(AA53-AA46)/AA46</f>
        <v>3.2833496936667582E-3</v>
      </c>
      <c r="AE53" s="16">
        <f>_xlfn.STDEV.S(X53:X59)/AA53</f>
        <v>7.367296360409066E-3</v>
      </c>
      <c r="AF53" s="16" t="str">
        <f>IF(AE53 &lt; 0.02, "Low Volatility",
 IF(AE53 &gt; 0.1, "High Volatility", "Medium Volatility"))</f>
        <v>Low Volatility</v>
      </c>
      <c r="AG53" s="14" t="str">
        <f t="shared" si="12"/>
        <v>Stable</v>
      </c>
      <c r="AI53" s="58" t="s">
        <v>80</v>
      </c>
      <c r="AJ53" s="63"/>
      <c r="AK53" s="64">
        <v>387900</v>
      </c>
      <c r="AL53" s="15">
        <f t="shared" si="9"/>
        <v>45803</v>
      </c>
      <c r="AM53" s="60">
        <f t="shared" si="36"/>
        <v>38.79</v>
      </c>
      <c r="AN53" s="61">
        <f t="shared" si="13"/>
        <v>0.11999999999999744</v>
      </c>
      <c r="AO53" s="62">
        <f>((AM53-MAX(AM$16:AM53))/MAX(AM$16:AM53))</f>
        <v>-5.1295203898436221E-3</v>
      </c>
      <c r="AP53" s="16">
        <f t="shared" si="14"/>
        <v>3.1031807602792199E-3</v>
      </c>
      <c r="AQ53" s="153">
        <f>AVERAGE(AM53:AM59)</f>
        <v>38.94</v>
      </c>
      <c r="AS53" s="67">
        <f t="shared" si="19"/>
        <v>-5.1295203898436221E-3</v>
      </c>
      <c r="AT53" s="69">
        <f>(AQ53-AQ46)/AQ46</f>
        <v>3.6082474226802434E-3</v>
      </c>
      <c r="AU53" s="16">
        <f>_xlfn.STDEV.S(AN53:AN59)/AQ53</f>
        <v>2.7293029699859664E-3</v>
      </c>
      <c r="AV53" s="16" t="str">
        <f>IF(AU53 &lt; 0.02, "Low Volatility",
 IF(AU53 &gt; 0.1, "High Volatility", "Medium Volatility"))</f>
        <v>Low Volatility</v>
      </c>
      <c r="AW53" s="14" t="str">
        <f t="shared" si="37"/>
        <v>Stable</v>
      </c>
    </row>
    <row r="54" spans="1:49" ht="26.25" hidden="1" thickBot="1">
      <c r="A54" s="104" t="s">
        <v>81</v>
      </c>
      <c r="B54" s="105" t="s">
        <v>464</v>
      </c>
      <c r="C54" s="105" t="s">
        <v>465</v>
      </c>
      <c r="D54" s="15">
        <f t="shared" si="0"/>
        <v>45804</v>
      </c>
      <c r="E54" s="60">
        <f t="shared" si="33"/>
        <v>4207</v>
      </c>
      <c r="F54" s="61">
        <f t="shared" si="38"/>
        <v>-41</v>
      </c>
      <c r="G54" s="62">
        <f>((E54-MAX(E$16:E54))/MAX(E$16:E54))</f>
        <v>-3.7299771167048058E-2</v>
      </c>
      <c r="H54" s="16">
        <f t="shared" si="8"/>
        <v>-9.6516007532956687E-3</v>
      </c>
      <c r="I54" s="153"/>
      <c r="K54" s="67">
        <f t="shared" si="17"/>
        <v>-7.1258907363420433E-4</v>
      </c>
      <c r="L54" s="16">
        <f>L53</f>
        <v>-5.6398549751577815E-3</v>
      </c>
      <c r="M54" s="16"/>
      <c r="N54" s="16" t="str">
        <f t="shared" ref="N54:N58" si="39">N53</f>
        <v>Low Volatility</v>
      </c>
      <c r="O54" s="14" t="str">
        <f t="shared" si="34"/>
        <v>Weak/Unconfirmed</v>
      </c>
      <c r="P54" s="16">
        <f t="shared" si="29"/>
        <v>-2.376425855513308E-4</v>
      </c>
      <c r="S54" s="58" t="s">
        <v>81</v>
      </c>
      <c r="T54" s="59"/>
      <c r="U54" s="60" t="s">
        <v>176</v>
      </c>
      <c r="V54" s="15">
        <f t="shared" si="3"/>
        <v>45804</v>
      </c>
      <c r="W54" s="60">
        <f t="shared" si="35"/>
        <v>42.43</v>
      </c>
      <c r="X54" s="61">
        <f t="shared" si="10"/>
        <v>-0.17000000000000171</v>
      </c>
      <c r="Y54" s="62">
        <f>((W54-MAX(W$16:W54))/MAX(W$16:W54))</f>
        <v>-8.181393174380585E-3</v>
      </c>
      <c r="Z54" s="16">
        <f t="shared" si="11"/>
        <v>-3.9906103286385377E-3</v>
      </c>
      <c r="AA54" s="153"/>
      <c r="AC54" s="16">
        <f t="shared" si="18"/>
        <v>1.1683357176919457E-2</v>
      </c>
      <c r="AD54" s="16">
        <f>AD53</f>
        <v>3.2833496936667582E-3</v>
      </c>
      <c r="AE54" s="16"/>
      <c r="AF54" s="16" t="str">
        <f t="shared" ref="AF54:AF59" si="40">AF53</f>
        <v>Low Volatility</v>
      </c>
      <c r="AG54" s="14" t="str">
        <f t="shared" si="12"/>
        <v>Stable</v>
      </c>
      <c r="AI54" s="58" t="s">
        <v>81</v>
      </c>
      <c r="AJ54" s="63"/>
      <c r="AK54" s="64">
        <v>389600</v>
      </c>
      <c r="AL54" s="15">
        <f t="shared" si="9"/>
        <v>45804</v>
      </c>
      <c r="AM54" s="60">
        <f t="shared" si="36"/>
        <v>38.96</v>
      </c>
      <c r="AN54" s="61">
        <f t="shared" si="13"/>
        <v>0.17000000000000171</v>
      </c>
      <c r="AO54" s="62">
        <f>((AM54-MAX(AM$16:AM54))/MAX(AM$16:AM54))</f>
        <v>-7.6942805847656154E-4</v>
      </c>
      <c r="AP54" s="16">
        <f t="shared" si="14"/>
        <v>4.3825728280485103E-3</v>
      </c>
      <c r="AQ54" s="153"/>
      <c r="AS54" s="67">
        <f t="shared" si="19"/>
        <v>3.606388459556944E-3</v>
      </c>
      <c r="AT54" s="16">
        <f>AT53</f>
        <v>3.6082474226802434E-3</v>
      </c>
      <c r="AU54" s="16"/>
      <c r="AV54" s="16" t="str">
        <f t="shared" ref="AV54:AV59" si="41">AV53</f>
        <v>Low Volatility</v>
      </c>
      <c r="AW54" s="14" t="str">
        <f t="shared" si="37"/>
        <v>Stable</v>
      </c>
    </row>
    <row r="55" spans="1:49" ht="26.25" hidden="1" thickBot="1">
      <c r="A55" s="104" t="s">
        <v>82</v>
      </c>
      <c r="B55" s="105" t="s">
        <v>465</v>
      </c>
      <c r="C55" s="105" t="s">
        <v>462</v>
      </c>
      <c r="D55" s="15">
        <f t="shared" si="0"/>
        <v>45805</v>
      </c>
      <c r="E55" s="60">
        <f t="shared" si="33"/>
        <v>4240</v>
      </c>
      <c r="F55" s="61">
        <f t="shared" si="38"/>
        <v>33</v>
      </c>
      <c r="G55" s="62">
        <f>((E55-MAX(E$16:E55))/MAX(E$16:E55))</f>
        <v>-2.9748283752860413E-2</v>
      </c>
      <c r="H55" s="16">
        <f t="shared" si="8"/>
        <v>7.8440694081293085E-3</v>
      </c>
      <c r="I55" s="153"/>
      <c r="K55" s="67">
        <f t="shared" ref="K55:K86" si="42">(E55-E48)/E48</f>
        <v>-7.0704690077775156E-4</v>
      </c>
      <c r="L55" s="16">
        <f>L53</f>
        <v>-5.6398549751577815E-3</v>
      </c>
      <c r="M55" s="16"/>
      <c r="N55" s="16" t="str">
        <f t="shared" si="39"/>
        <v>Low Volatility</v>
      </c>
      <c r="O55" s="14" t="str">
        <f t="shared" si="34"/>
        <v>Weak/Unconfirmed</v>
      </c>
      <c r="P55" s="16">
        <f t="shared" si="29"/>
        <v>3.5502958579881655E-3</v>
      </c>
      <c r="S55" s="58" t="s">
        <v>82</v>
      </c>
      <c r="T55" s="59"/>
      <c r="U55" s="60" t="s">
        <v>177</v>
      </c>
      <c r="V55" s="15">
        <f t="shared" si="3"/>
        <v>45805</v>
      </c>
      <c r="W55" s="60">
        <f t="shared" si="35"/>
        <v>42.1</v>
      </c>
      <c r="X55" s="61">
        <f t="shared" si="10"/>
        <v>-0.32999999999999829</v>
      </c>
      <c r="Y55" s="62">
        <f>((W55-MAX(W$16:W55))/MAX(W$16:W55))</f>
        <v>-1.589527816736792E-2</v>
      </c>
      <c r="Z55" s="16">
        <f t="shared" si="11"/>
        <v>-7.7775159085552272E-3</v>
      </c>
      <c r="AA55" s="153"/>
      <c r="AC55" s="16">
        <f t="shared" ref="AC55:AC86" si="43">(W55-W48)/W48</f>
        <v>-7.5436115040075497E-3</v>
      </c>
      <c r="AD55" s="16">
        <f>AD53</f>
        <v>3.2833496936667582E-3</v>
      </c>
      <c r="AE55" s="16"/>
      <c r="AF55" s="16" t="str">
        <f t="shared" si="40"/>
        <v>Low Volatility</v>
      </c>
      <c r="AG55" s="14" t="str">
        <f t="shared" si="12"/>
        <v>Stable</v>
      </c>
      <c r="AI55" s="58" t="s">
        <v>82</v>
      </c>
      <c r="AJ55" s="63"/>
      <c r="AK55" s="64">
        <v>389700</v>
      </c>
      <c r="AL55" s="15">
        <f t="shared" si="9"/>
        <v>45805</v>
      </c>
      <c r="AM55" s="60">
        <f t="shared" si="36"/>
        <v>38.97</v>
      </c>
      <c r="AN55" s="61">
        <f t="shared" si="13"/>
        <v>9.9999999999980105E-3</v>
      </c>
      <c r="AO55" s="62">
        <f>((AM55-MAX(AM$16:AM55))/MAX(AM$16:AM55))</f>
        <v>-5.1295203898443515E-4</v>
      </c>
      <c r="AP55" s="16">
        <f t="shared" si="14"/>
        <v>2.5667351129358344E-4</v>
      </c>
      <c r="AQ55" s="153"/>
      <c r="AS55" s="67">
        <f t="shared" si="19"/>
        <v>5.1586278050037588E-3</v>
      </c>
      <c r="AT55" s="16">
        <f>AT53</f>
        <v>3.6082474226802434E-3</v>
      </c>
      <c r="AU55" s="16"/>
      <c r="AV55" s="16" t="str">
        <f t="shared" si="41"/>
        <v>Low Volatility</v>
      </c>
      <c r="AW55" s="14" t="str">
        <f t="shared" si="37"/>
        <v>Stable</v>
      </c>
    </row>
    <row r="56" spans="1:49" ht="26.25" hidden="1" thickBot="1">
      <c r="A56" s="104" t="s">
        <v>83</v>
      </c>
      <c r="B56" s="105" t="s">
        <v>462</v>
      </c>
      <c r="C56" s="105" t="s">
        <v>466</v>
      </c>
      <c r="D56" s="15">
        <f t="shared" si="0"/>
        <v>45806</v>
      </c>
      <c r="E56" s="60">
        <f t="shared" si="33"/>
        <v>4235</v>
      </c>
      <c r="F56" s="61">
        <f t="shared" si="38"/>
        <v>-5</v>
      </c>
      <c r="G56" s="62">
        <f>((E56-MAX(E$16:E56))/MAX(E$16:E56))</f>
        <v>-3.0892448512585814E-2</v>
      </c>
      <c r="H56" s="16">
        <f t="shared" si="8"/>
        <v>-1.1792452830188679E-3</v>
      </c>
      <c r="I56" s="153"/>
      <c r="K56" s="67">
        <f t="shared" si="42"/>
        <v>-1.1792452830188679E-3</v>
      </c>
      <c r="L56" s="16">
        <f>L53</f>
        <v>-5.6398549751577815E-3</v>
      </c>
      <c r="M56" s="16"/>
      <c r="N56" s="16" t="str">
        <f t="shared" si="39"/>
        <v>Low Volatility</v>
      </c>
      <c r="O56" s="14" t="str">
        <f t="shared" si="34"/>
        <v>Weak/Unconfirmed</v>
      </c>
      <c r="P56" s="16">
        <f t="shared" si="29"/>
        <v>6.4163498098859318E-3</v>
      </c>
      <c r="S56" s="58" t="s">
        <v>83</v>
      </c>
      <c r="T56" s="59"/>
      <c r="U56" s="60" t="s">
        <v>178</v>
      </c>
      <c r="V56" s="15">
        <f t="shared" si="3"/>
        <v>45806</v>
      </c>
      <c r="W56" s="60">
        <f t="shared" si="35"/>
        <v>42.62</v>
      </c>
      <c r="X56" s="61">
        <f t="shared" si="10"/>
        <v>0.51999999999999602</v>
      </c>
      <c r="Y56" s="62">
        <f>((W56-MAX(W$16:W56))/MAX(W$16:W56))</f>
        <v>-3.7400654511454811E-3</v>
      </c>
      <c r="Z56" s="16">
        <f t="shared" si="11"/>
        <v>1.2351543942992779E-2</v>
      </c>
      <c r="AA56" s="153"/>
      <c r="AC56" s="16">
        <f t="shared" si="43"/>
        <v>1.355529131985732E-2</v>
      </c>
      <c r="AD56" s="16">
        <f>AD53</f>
        <v>3.2833496936667582E-3</v>
      </c>
      <c r="AE56" s="16"/>
      <c r="AF56" s="16" t="str">
        <f t="shared" si="40"/>
        <v>Low Volatility</v>
      </c>
      <c r="AG56" s="14" t="str">
        <f t="shared" si="12"/>
        <v>Stable</v>
      </c>
      <c r="AI56" s="58" t="s">
        <v>83</v>
      </c>
      <c r="AJ56" s="63"/>
      <c r="AK56" s="64">
        <v>388700</v>
      </c>
      <c r="AL56" s="15">
        <f t="shared" si="9"/>
        <v>45806</v>
      </c>
      <c r="AM56" s="60">
        <f t="shared" si="36"/>
        <v>38.869999999999997</v>
      </c>
      <c r="AN56" s="61">
        <f t="shared" si="13"/>
        <v>-0.10000000000000142</v>
      </c>
      <c r="AO56" s="62">
        <f>((AM56-MAX(AM$16:AM56))/MAX(AM$16:AM56))</f>
        <v>-3.0777122339062462E-3</v>
      </c>
      <c r="AP56" s="16">
        <f t="shared" si="14"/>
        <v>-2.5660764690788149E-3</v>
      </c>
      <c r="AQ56" s="153"/>
      <c r="AS56" s="67">
        <f t="shared" si="19"/>
        <v>1.0301313417460506E-3</v>
      </c>
      <c r="AT56" s="16">
        <f>AT53</f>
        <v>3.6082474226802434E-3</v>
      </c>
      <c r="AU56" s="16"/>
      <c r="AV56" s="16" t="str">
        <f t="shared" si="41"/>
        <v>Low Volatility</v>
      </c>
      <c r="AW56" s="14" t="str">
        <f t="shared" si="37"/>
        <v>Stable</v>
      </c>
    </row>
    <row r="57" spans="1:49" ht="26.25" hidden="1" thickBot="1">
      <c r="A57" s="104" t="s">
        <v>84</v>
      </c>
      <c r="B57" s="105" t="s">
        <v>466</v>
      </c>
      <c r="C57" s="105" t="s">
        <v>467</v>
      </c>
      <c r="D57" s="15">
        <f t="shared" si="0"/>
        <v>45807</v>
      </c>
      <c r="E57" s="60">
        <f t="shared" si="33"/>
        <v>4230</v>
      </c>
      <c r="F57" s="61">
        <f t="shared" si="38"/>
        <v>-5</v>
      </c>
      <c r="G57" s="62">
        <f>((E57-MAX(E$16:E57))/MAX(E$16:E57))</f>
        <v>-3.2036613272311214E-2</v>
      </c>
      <c r="H57" s="16">
        <f t="shared" si="8"/>
        <v>-1.1806375442739079E-3</v>
      </c>
      <c r="I57" s="153"/>
      <c r="K57" s="67">
        <f t="shared" si="42"/>
        <v>-1.5133876600698487E-2</v>
      </c>
      <c r="L57" s="16">
        <f>L53</f>
        <v>-5.6398549751577815E-3</v>
      </c>
      <c r="M57" s="16"/>
      <c r="N57" s="16" t="str">
        <f t="shared" si="39"/>
        <v>Low Volatility</v>
      </c>
      <c r="O57" s="14" t="str">
        <f t="shared" si="34"/>
        <v>Weak/Unconfirmed</v>
      </c>
      <c r="P57" s="16">
        <f t="shared" si="29"/>
        <v>2.7946537059538274E-2</v>
      </c>
      <c r="S57" s="58" t="s">
        <v>84</v>
      </c>
      <c r="T57" s="59"/>
      <c r="U57" s="60" t="s">
        <v>179</v>
      </c>
      <c r="V57" s="15">
        <f t="shared" si="3"/>
        <v>45807</v>
      </c>
      <c r="W57" s="60">
        <f t="shared" si="35"/>
        <v>42.19</v>
      </c>
      <c r="X57" s="61">
        <f t="shared" si="10"/>
        <v>-0.42999999999999972</v>
      </c>
      <c r="Y57" s="62">
        <f>((W57-MAX(W$16:W57))/MAX(W$16:W57))</f>
        <v>-1.3791491351098724E-2</v>
      </c>
      <c r="Z57" s="16">
        <f t="shared" si="11"/>
        <v>-1.0089160018770525E-2</v>
      </c>
      <c r="AA57" s="153"/>
      <c r="AC57" s="16">
        <f t="shared" si="43"/>
        <v>-5.4219707685055152E-3</v>
      </c>
      <c r="AD57" s="16">
        <f>AD53</f>
        <v>3.2833496936667582E-3</v>
      </c>
      <c r="AE57" s="16"/>
      <c r="AF57" s="16" t="str">
        <f t="shared" si="40"/>
        <v>Low Volatility</v>
      </c>
      <c r="AG57" s="14" t="str">
        <f t="shared" si="12"/>
        <v>Stable</v>
      </c>
      <c r="AI57" s="58" t="s">
        <v>84</v>
      </c>
      <c r="AJ57" s="63"/>
      <c r="AK57" s="64">
        <v>390300</v>
      </c>
      <c r="AL57" s="15">
        <f t="shared" si="9"/>
        <v>45807</v>
      </c>
      <c r="AM57" s="60">
        <f t="shared" si="36"/>
        <v>39.03</v>
      </c>
      <c r="AN57" s="61">
        <f t="shared" si="13"/>
        <v>0.16000000000000369</v>
      </c>
      <c r="AO57" s="62">
        <f>((AM57-MAX(AM$16:AM57))/MAX(AM$16:AM57))</f>
        <v>0</v>
      </c>
      <c r="AP57" s="16">
        <f t="shared" si="14"/>
        <v>4.1162850527399972E-3</v>
      </c>
      <c r="AQ57" s="153"/>
      <c r="AS57" s="67">
        <f t="shared" si="19"/>
        <v>4.633204633204626E-3</v>
      </c>
      <c r="AT57" s="16">
        <f>AT53</f>
        <v>3.6082474226802434E-3</v>
      </c>
      <c r="AU57" s="16"/>
      <c r="AV57" s="16" t="str">
        <f t="shared" si="41"/>
        <v>Low Volatility</v>
      </c>
      <c r="AW57" s="14" t="str">
        <f t="shared" si="37"/>
        <v>Stable</v>
      </c>
    </row>
    <row r="58" spans="1:49" ht="26.25" hidden="1" thickBot="1">
      <c r="A58" s="104" t="s">
        <v>85</v>
      </c>
      <c r="B58" s="105" t="s">
        <v>466</v>
      </c>
      <c r="C58" s="105" t="s">
        <v>467</v>
      </c>
      <c r="D58" s="15">
        <f t="shared" si="0"/>
        <v>45808</v>
      </c>
      <c r="E58" s="60">
        <f t="shared" si="33"/>
        <v>4230</v>
      </c>
      <c r="F58" s="61">
        <f t="shared" si="38"/>
        <v>0</v>
      </c>
      <c r="G58" s="62">
        <f>((E58-MAX(E$16:E58))/MAX(E$16:E58))</f>
        <v>-3.2036613272311214E-2</v>
      </c>
      <c r="H58" s="16">
        <f t="shared" si="8"/>
        <v>0</v>
      </c>
      <c r="I58" s="153"/>
      <c r="K58" s="67">
        <f t="shared" si="42"/>
        <v>-1.5133876600698487E-2</v>
      </c>
      <c r="L58" s="16">
        <f>L53</f>
        <v>-5.6398549751577815E-3</v>
      </c>
      <c r="M58" s="16"/>
      <c r="N58" s="16" t="str">
        <f t="shared" si="39"/>
        <v>Low Volatility</v>
      </c>
      <c r="O58" s="14" t="str">
        <f t="shared" si="34"/>
        <v>Weak/Unconfirmed</v>
      </c>
      <c r="P58" s="16">
        <f t="shared" si="29"/>
        <v>1.6826923076923076E-2</v>
      </c>
      <c r="S58" s="58" t="s">
        <v>85</v>
      </c>
      <c r="T58" s="59"/>
      <c r="U58" s="60" t="s">
        <v>180</v>
      </c>
      <c r="V58" s="15">
        <f t="shared" si="3"/>
        <v>45808</v>
      </c>
      <c r="W58" s="60">
        <f t="shared" si="35"/>
        <v>42.23</v>
      </c>
      <c r="X58" s="61">
        <f t="shared" si="10"/>
        <v>3.9999999999999147E-2</v>
      </c>
      <c r="Y58" s="62">
        <f>((W58-MAX(W$16:W58))/MAX(W$16:W58))</f>
        <v>-1.2856474988312395E-2</v>
      </c>
      <c r="Z58" s="16">
        <f t="shared" si="11"/>
        <v>9.4809196492057712E-4</v>
      </c>
      <c r="AA58" s="153"/>
      <c r="AC58" s="16">
        <f t="shared" si="43"/>
        <v>-1.2625672200140431E-2</v>
      </c>
      <c r="AD58" s="16">
        <f>AD53</f>
        <v>3.2833496936667582E-3</v>
      </c>
      <c r="AE58" s="16"/>
      <c r="AF58" s="16" t="str">
        <f t="shared" si="40"/>
        <v>Low Volatility</v>
      </c>
      <c r="AG58" s="14" t="str">
        <f t="shared" si="12"/>
        <v>Stable</v>
      </c>
      <c r="AI58" s="58" t="s">
        <v>85</v>
      </c>
      <c r="AJ58" s="63"/>
      <c r="AK58" s="64">
        <v>389800</v>
      </c>
      <c r="AL58" s="15">
        <f t="shared" si="9"/>
        <v>45808</v>
      </c>
      <c r="AM58" s="60">
        <f t="shared" si="36"/>
        <v>38.979999999999997</v>
      </c>
      <c r="AN58" s="61">
        <f t="shared" si="13"/>
        <v>-5.0000000000004263E-2</v>
      </c>
      <c r="AO58" s="62">
        <f>((AM58-MAX(AM$16:AM58))/MAX(AM$16:AM58))</f>
        <v>-1.281065846784634E-3</v>
      </c>
      <c r="AP58" s="16">
        <f t="shared" si="14"/>
        <v>-1.281065846784634E-3</v>
      </c>
      <c r="AQ58" s="153"/>
      <c r="AS58" s="67">
        <f t="shared" si="19"/>
        <v>8.0165502973880316E-3</v>
      </c>
      <c r="AT58" s="16">
        <f>AT53</f>
        <v>3.6082474226802434E-3</v>
      </c>
      <c r="AU58" s="16"/>
      <c r="AV58" s="16" t="str">
        <f t="shared" si="41"/>
        <v>Low Volatility</v>
      </c>
      <c r="AW58" s="14" t="str">
        <f t="shared" si="37"/>
        <v>Stable</v>
      </c>
    </row>
    <row r="59" spans="1:49" ht="26.25" hidden="1" thickBot="1">
      <c r="A59" s="104" t="s">
        <v>86</v>
      </c>
      <c r="B59" s="105" t="s">
        <v>466</v>
      </c>
      <c r="C59" s="105" t="s">
        <v>467</v>
      </c>
      <c r="D59" s="15">
        <f t="shared" si="0"/>
        <v>45809</v>
      </c>
      <c r="E59" s="60">
        <f t="shared" si="33"/>
        <v>4230</v>
      </c>
      <c r="F59" s="61">
        <f t="shared" si="38"/>
        <v>0</v>
      </c>
      <c r="G59" s="62">
        <f>((E59-MAX(E$16:E59))/MAX(E$16:E59))</f>
        <v>-3.2036613272311214E-2</v>
      </c>
      <c r="H59" s="16">
        <f t="shared" si="8"/>
        <v>0</v>
      </c>
      <c r="I59" s="153"/>
      <c r="K59" s="67">
        <f t="shared" si="42"/>
        <v>-1.5133876600698487E-2</v>
      </c>
      <c r="L59" s="16">
        <f>L53</f>
        <v>-5.6398549751577815E-3</v>
      </c>
      <c r="M59" s="16"/>
      <c r="N59" s="16" t="str">
        <f>N58</f>
        <v>Low Volatility</v>
      </c>
      <c r="O59" s="14" t="str">
        <f>IF(AND(K59 &gt; 0.01, L59 &gt; 0.01), "Strong Uptrend",
 IF(AND(K59 &lt; -0.01, L59 &lt; -0.01), "Strong Downtrend",
 IF(ABS(L59) &lt; 0.005, "Stable", "Weak/Unconfirmed")))</f>
        <v>Weak/Unconfirmed</v>
      </c>
      <c r="P59" s="16">
        <f t="shared" si="29"/>
        <v>2.2974607013301087E-2</v>
      </c>
      <c r="S59" s="58" t="s">
        <v>86</v>
      </c>
      <c r="T59" s="59"/>
      <c r="U59" s="60" t="s">
        <v>180</v>
      </c>
      <c r="V59" s="15">
        <f t="shared" si="3"/>
        <v>45809</v>
      </c>
      <c r="W59" s="60">
        <f t="shared" si="35"/>
        <v>42.23</v>
      </c>
      <c r="X59" s="61">
        <f t="shared" si="10"/>
        <v>0</v>
      </c>
      <c r="Y59" s="62">
        <f>((W59-MAX(W$16:W59))/MAX(W$16:W59))</f>
        <v>-1.2856474988312395E-2</v>
      </c>
      <c r="Z59" s="16">
        <f t="shared" si="11"/>
        <v>0</v>
      </c>
      <c r="AA59" s="153"/>
      <c r="AC59" s="16">
        <f t="shared" si="43"/>
        <v>-1.2856474988312395E-2</v>
      </c>
      <c r="AD59" s="16">
        <f>AD53</f>
        <v>3.2833496936667582E-3</v>
      </c>
      <c r="AE59" s="16"/>
      <c r="AF59" s="16" t="str">
        <f t="shared" si="40"/>
        <v>Low Volatility</v>
      </c>
      <c r="AG59" s="14" t="str">
        <f t="shared" si="12"/>
        <v>Stable</v>
      </c>
      <c r="AI59" s="58" t="s">
        <v>86</v>
      </c>
      <c r="AJ59" s="63"/>
      <c r="AK59" s="64">
        <v>389800</v>
      </c>
      <c r="AL59" s="15">
        <f t="shared" si="9"/>
        <v>45809</v>
      </c>
      <c r="AM59" s="60">
        <f t="shared" si="36"/>
        <v>38.979999999999997</v>
      </c>
      <c r="AN59" s="61">
        <f t="shared" si="13"/>
        <v>0</v>
      </c>
      <c r="AO59" s="62">
        <f>((AM59-MAX(AM$16:AM59))/MAX(AM$16:AM59))</f>
        <v>-1.281065846784634E-3</v>
      </c>
      <c r="AP59" s="16">
        <f t="shared" si="14"/>
        <v>0</v>
      </c>
      <c r="AQ59" s="153"/>
      <c r="AS59" s="67">
        <f t="shared" si="19"/>
        <v>8.0165502973880316E-3</v>
      </c>
      <c r="AT59" s="16">
        <f>AT53</f>
        <v>3.6082474226802434E-3</v>
      </c>
      <c r="AU59" s="16"/>
      <c r="AV59" s="16" t="str">
        <f t="shared" si="41"/>
        <v>Low Volatility</v>
      </c>
      <c r="AW59" s="14" t="str">
        <f t="shared" si="37"/>
        <v>Stable</v>
      </c>
    </row>
    <row r="60" spans="1:49" ht="26.25" hidden="1" thickBot="1">
      <c r="A60" s="104" t="s">
        <v>87</v>
      </c>
      <c r="B60" s="105" t="s">
        <v>466</v>
      </c>
      <c r="C60" s="105" t="s">
        <v>468</v>
      </c>
      <c r="D60" s="15">
        <f t="shared" si="0"/>
        <v>45810</v>
      </c>
      <c r="E60" s="60">
        <f t="shared" si="33"/>
        <v>4270</v>
      </c>
      <c r="F60" s="61">
        <f t="shared" si="38"/>
        <v>40</v>
      </c>
      <c r="G60" s="62">
        <f>((E60-MAX(E$16:E60))/MAX(E$16:E60))</f>
        <v>-2.2883295194508008E-2</v>
      </c>
      <c r="H60" s="16">
        <f t="shared" si="8"/>
        <v>9.4562647754137114E-3</v>
      </c>
      <c r="I60" s="153">
        <f>AVERAGE(E60:E66)</f>
        <v>4332.7142857142853</v>
      </c>
      <c r="K60" s="67">
        <f t="shared" si="42"/>
        <v>5.1789077212806029E-3</v>
      </c>
      <c r="L60" s="69">
        <f>(I60-I53)/I53</f>
        <v>2.3936529372045792E-2</v>
      </c>
      <c r="M60" s="16">
        <f>_xlfn.STDEV.S(F60:F66)/I60</f>
        <v>5.7032856347672056E-3</v>
      </c>
      <c r="N60" s="16" t="str">
        <f>IF(M60 &lt; 0.02, "Low Volatility",
 IF(M60 &gt; 0.1, "High Volatility", "Medium Volatility"))</f>
        <v>Low Volatility</v>
      </c>
      <c r="O60" s="14" t="str">
        <f t="shared" si="34"/>
        <v>Weak/Unconfirmed</v>
      </c>
      <c r="P60" s="16">
        <f t="shared" si="29"/>
        <v>3.2648125755743655E-2</v>
      </c>
      <c r="S60" s="58" t="s">
        <v>87</v>
      </c>
      <c r="T60" s="59"/>
      <c r="U60" s="60" t="s">
        <v>181</v>
      </c>
      <c r="V60" s="15">
        <f t="shared" si="3"/>
        <v>45810</v>
      </c>
      <c r="W60" s="60">
        <f t="shared" si="35"/>
        <v>44.47</v>
      </c>
      <c r="X60" s="61">
        <f t="shared" si="10"/>
        <v>2.240000000000002</v>
      </c>
      <c r="Y60" s="62">
        <f>((W60-MAX(W$16:W60))/MAX(W$16:W60))</f>
        <v>0</v>
      </c>
      <c r="Z60" s="16">
        <f t="shared" si="11"/>
        <v>5.3042860525692688E-2</v>
      </c>
      <c r="AA60" s="153">
        <f>AVERAGEIFS(W60:W66, W60:W66, "&gt;=0")</f>
        <v>45.201428571428572</v>
      </c>
      <c r="AC60" s="16">
        <f t="shared" si="43"/>
        <v>4.3896713615023411E-2</v>
      </c>
      <c r="AD60" s="66">
        <f>(AA60-AA53)/AA53</f>
        <v>6.7510121457489927E-2</v>
      </c>
      <c r="AE60" s="16">
        <f>_xlfn.STDEV.S(X60:X66)/AA60</f>
        <v>2.0188349468278591E-2</v>
      </c>
      <c r="AF60" s="16" t="str">
        <f>IF(AE60 &lt; 0.02, "Low Volatility",
 IF(AE60 &gt; 0.1, "High Volatility", "Medium Volatility"))</f>
        <v>Medium Volatility</v>
      </c>
      <c r="AG60" s="14" t="str">
        <f t="shared" si="12"/>
        <v>Strong Uptrend</v>
      </c>
      <c r="AI60" s="58" t="s">
        <v>87</v>
      </c>
      <c r="AJ60" s="63"/>
      <c r="AK60" s="64">
        <v>388300</v>
      </c>
      <c r="AL60" s="15">
        <f t="shared" si="9"/>
        <v>45810</v>
      </c>
      <c r="AM60" s="60">
        <f t="shared" si="36"/>
        <v>38.83</v>
      </c>
      <c r="AN60" s="61">
        <f t="shared" si="13"/>
        <v>-0.14999999999999858</v>
      </c>
      <c r="AO60" s="62">
        <f>((AM60-MAX(AM$16:AM60))/MAX(AM$16:AM60))</f>
        <v>-5.1242633871381718E-3</v>
      </c>
      <c r="AP60" s="16">
        <f t="shared" si="14"/>
        <v>-3.8481272447408567E-3</v>
      </c>
      <c r="AQ60" s="153">
        <f>AVERAGE(AM60:AM66)</f>
        <v>39.09142857142858</v>
      </c>
      <c r="AS60" s="67">
        <f t="shared" si="19"/>
        <v>1.031193606599617E-3</v>
      </c>
      <c r="AT60" s="69">
        <f>(AQ60-AQ53)/AQ53</f>
        <v>3.8887666006312766E-3</v>
      </c>
      <c r="AU60" s="16">
        <f>_xlfn.STDEV.S(AN60:AN66)/AQ60</f>
        <v>2.9601687467853996E-3</v>
      </c>
      <c r="AV60" s="16" t="str">
        <f>IF(AU60 &lt; 0.02, "Low Volatility",
 IF(AU60 &gt; 0.1, "High Volatility", "Medium Volatility"))</f>
        <v>Low Volatility</v>
      </c>
      <c r="AW60" s="14" t="str">
        <f t="shared" si="37"/>
        <v>Stable</v>
      </c>
    </row>
    <row r="61" spans="1:49" ht="26.25" hidden="1" thickBot="1">
      <c r="A61" s="104" t="s">
        <v>88</v>
      </c>
      <c r="B61" s="105" t="s">
        <v>468</v>
      </c>
      <c r="C61" s="105" t="s">
        <v>468</v>
      </c>
      <c r="D61" s="15">
        <f t="shared" si="0"/>
        <v>45811</v>
      </c>
      <c r="E61" s="60">
        <f t="shared" si="33"/>
        <v>4270</v>
      </c>
      <c r="F61" s="61">
        <f t="shared" si="38"/>
        <v>0</v>
      </c>
      <c r="G61" s="62">
        <f>((E61-MAX(E$16:E61))/MAX(E$16:E61))</f>
        <v>-2.2883295194508008E-2</v>
      </c>
      <c r="H61" s="16">
        <f t="shared" si="8"/>
        <v>0</v>
      </c>
      <c r="I61" s="153"/>
      <c r="K61" s="67">
        <f t="shared" si="42"/>
        <v>1.4975041597337771E-2</v>
      </c>
      <c r="L61" s="16">
        <f>L60</f>
        <v>2.3936529372045792E-2</v>
      </c>
      <c r="M61" s="16"/>
      <c r="N61" s="16" t="str">
        <f t="shared" ref="N61:N66" si="44">N60</f>
        <v>Low Volatility</v>
      </c>
      <c r="O61" s="14" t="str">
        <f t="shared" si="34"/>
        <v>Strong Uptrend</v>
      </c>
      <c r="P61" s="16">
        <f t="shared" si="29"/>
        <v>9.9337748344370865E-3</v>
      </c>
      <c r="S61" s="58" t="s">
        <v>88</v>
      </c>
      <c r="T61" s="59"/>
      <c r="U61" s="60" t="s">
        <v>182</v>
      </c>
      <c r="V61" s="15">
        <f t="shared" si="3"/>
        <v>45811</v>
      </c>
      <c r="W61" s="60">
        <f t="shared" si="35"/>
        <v>44.12</v>
      </c>
      <c r="X61" s="61">
        <f t="shared" si="10"/>
        <v>-0.35000000000000142</v>
      </c>
      <c r="Y61" s="62">
        <f>((W61-MAX(W$16:W61))/MAX(W$16:W61))</f>
        <v>-7.8704744771756555E-3</v>
      </c>
      <c r="Z61" s="16">
        <f t="shared" si="11"/>
        <v>-7.8704744771756555E-3</v>
      </c>
      <c r="AA61" s="153"/>
      <c r="AC61" s="16">
        <f t="shared" si="43"/>
        <v>3.9830308743813284E-2</v>
      </c>
      <c r="AD61" s="16">
        <f>AD60</f>
        <v>6.7510121457489927E-2</v>
      </c>
      <c r="AE61" s="16"/>
      <c r="AF61" s="16" t="str">
        <f t="shared" ref="AF61:AF66" si="45">AF60</f>
        <v>Medium Volatility</v>
      </c>
      <c r="AG61" s="14" t="str">
        <f t="shared" si="12"/>
        <v>Strong Uptrend</v>
      </c>
      <c r="AI61" s="58" t="s">
        <v>88</v>
      </c>
      <c r="AJ61" s="63"/>
      <c r="AK61" s="64">
        <v>390600</v>
      </c>
      <c r="AL61" s="15">
        <f t="shared" si="9"/>
        <v>45811</v>
      </c>
      <c r="AM61" s="60">
        <f t="shared" si="36"/>
        <v>39.06</v>
      </c>
      <c r="AN61" s="61">
        <f t="shared" si="13"/>
        <v>0.23000000000000398</v>
      </c>
      <c r="AO61" s="62">
        <f>((AM61-MAX(AM$16:AM61))/MAX(AM$16:AM61))</f>
        <v>0</v>
      </c>
      <c r="AP61" s="16">
        <f t="shared" si="14"/>
        <v>5.9232552150400202E-3</v>
      </c>
      <c r="AQ61" s="153"/>
      <c r="AS61" s="67">
        <f t="shared" si="19"/>
        <v>2.5667351129363813E-3</v>
      </c>
      <c r="AT61" s="16">
        <f>AT60</f>
        <v>3.8887666006312766E-3</v>
      </c>
      <c r="AU61" s="16"/>
      <c r="AV61" s="16" t="str">
        <f t="shared" ref="AV61:AV66" si="46">AV60</f>
        <v>Low Volatility</v>
      </c>
      <c r="AW61" s="14" t="str">
        <f t="shared" si="37"/>
        <v>Stable</v>
      </c>
    </row>
    <row r="62" spans="1:49" ht="26.25" hidden="1" thickBot="1">
      <c r="A62" s="104" t="s">
        <v>89</v>
      </c>
      <c r="B62" s="105" t="s">
        <v>468</v>
      </c>
      <c r="C62" s="105" t="s">
        <v>469</v>
      </c>
      <c r="D62" s="15">
        <f t="shared" si="0"/>
        <v>45812</v>
      </c>
      <c r="E62" s="60">
        <f t="shared" si="33"/>
        <v>4325</v>
      </c>
      <c r="F62" s="61">
        <f t="shared" si="38"/>
        <v>55</v>
      </c>
      <c r="G62" s="62">
        <f>((E62-MAX(E$16:E62))/MAX(E$16:E62))</f>
        <v>-1.0297482837528604E-2</v>
      </c>
      <c r="H62" s="16">
        <f t="shared" si="8"/>
        <v>1.288056206088993E-2</v>
      </c>
      <c r="I62" s="153"/>
      <c r="K62" s="67">
        <f t="shared" si="42"/>
        <v>2.0047169811320754E-2</v>
      </c>
      <c r="L62" s="16">
        <f>L60</f>
        <v>2.3936529372045792E-2</v>
      </c>
      <c r="M62" s="16"/>
      <c r="N62" s="16" t="str">
        <f t="shared" si="44"/>
        <v>Low Volatility</v>
      </c>
      <c r="O62" s="14" t="str">
        <f t="shared" si="34"/>
        <v>Strong Uptrend</v>
      </c>
      <c r="P62" s="16">
        <f t="shared" si="29"/>
        <v>3.0148423005565863E-3</v>
      </c>
      <c r="S62" s="58" t="s">
        <v>89</v>
      </c>
      <c r="T62" s="59"/>
      <c r="U62" s="60" t="s">
        <v>183</v>
      </c>
      <c r="V62" s="15">
        <f t="shared" si="3"/>
        <v>45812</v>
      </c>
      <c r="W62" s="60">
        <f t="shared" si="35"/>
        <v>44.2</v>
      </c>
      <c r="X62" s="61">
        <f t="shared" si="10"/>
        <v>8.00000000000054E-2</v>
      </c>
      <c r="Y62" s="62">
        <f>((W62-MAX(W$16:W62))/MAX(W$16:W62))</f>
        <v>-6.0715088823925347E-3</v>
      </c>
      <c r="Z62" s="16">
        <f t="shared" si="11"/>
        <v>1.8132366273799956E-3</v>
      </c>
      <c r="AA62" s="153"/>
      <c r="AC62" s="16">
        <f t="shared" si="43"/>
        <v>4.9881235154394334E-2</v>
      </c>
      <c r="AD62" s="16">
        <f>AD60</f>
        <v>6.7510121457489927E-2</v>
      </c>
      <c r="AE62" s="16"/>
      <c r="AF62" s="16" t="str">
        <f t="shared" si="45"/>
        <v>Medium Volatility</v>
      </c>
      <c r="AG62" s="14" t="str">
        <f t="shared" si="12"/>
        <v>Strong Uptrend</v>
      </c>
      <c r="AI62" s="58" t="s">
        <v>89</v>
      </c>
      <c r="AJ62" s="63"/>
      <c r="AK62" s="64">
        <v>390700</v>
      </c>
      <c r="AL62" s="15">
        <f t="shared" si="9"/>
        <v>45812</v>
      </c>
      <c r="AM62" s="60">
        <f t="shared" si="36"/>
        <v>39.07</v>
      </c>
      <c r="AN62" s="61">
        <f t="shared" si="13"/>
        <v>9.9999999999980105E-3</v>
      </c>
      <c r="AO62" s="62">
        <f>((AM62-MAX(AM$16:AM62))/MAX(AM$16:AM62))</f>
        <v>0</v>
      </c>
      <c r="AP62" s="16">
        <f t="shared" si="14"/>
        <v>2.5601638504859216E-4</v>
      </c>
      <c r="AQ62" s="153"/>
      <c r="AS62" s="67">
        <f t="shared" si="19"/>
        <v>2.5660764690788149E-3</v>
      </c>
      <c r="AT62" s="16">
        <f>AT60</f>
        <v>3.8887666006312766E-3</v>
      </c>
      <c r="AU62" s="16"/>
      <c r="AV62" s="16" t="str">
        <f t="shared" si="46"/>
        <v>Low Volatility</v>
      </c>
      <c r="AW62" s="14" t="str">
        <f t="shared" si="37"/>
        <v>Stable</v>
      </c>
    </row>
    <row r="63" spans="1:49" ht="26.25" hidden="1" thickBot="1">
      <c r="A63" s="104" t="s">
        <v>90</v>
      </c>
      <c r="B63" s="105" t="s">
        <v>469</v>
      </c>
      <c r="C63" s="105" t="s">
        <v>470</v>
      </c>
      <c r="D63" s="15">
        <f t="shared" si="0"/>
        <v>45813</v>
      </c>
      <c r="E63" s="60">
        <f t="shared" si="33"/>
        <v>4366</v>
      </c>
      <c r="F63" s="61">
        <f t="shared" si="38"/>
        <v>41</v>
      </c>
      <c r="G63" s="62">
        <f>((E63-MAX(E$16:E63))/MAX(E$16:E63))</f>
        <v>-9.1533180778032041E-4</v>
      </c>
      <c r="H63" s="16">
        <f t="shared" si="8"/>
        <v>9.4797687861271681E-3</v>
      </c>
      <c r="I63" s="153"/>
      <c r="K63" s="67">
        <f t="shared" si="42"/>
        <v>3.0932703659976388E-2</v>
      </c>
      <c r="L63" s="16">
        <f>L60</f>
        <v>2.3936529372045792E-2</v>
      </c>
      <c r="M63" s="16"/>
      <c r="N63" s="16" t="str">
        <f t="shared" si="44"/>
        <v>Low Volatility</v>
      </c>
      <c r="O63" s="14" t="str">
        <f t="shared" si="34"/>
        <v>Strong Uptrend</v>
      </c>
      <c r="P63" s="16">
        <f t="shared" si="29"/>
        <v>1.2523191094619666E-2</v>
      </c>
      <c r="S63" s="58" t="s">
        <v>90</v>
      </c>
      <c r="T63" s="59"/>
      <c r="U63" s="60" t="s">
        <v>184</v>
      </c>
      <c r="V63" s="15">
        <f t="shared" si="3"/>
        <v>45813</v>
      </c>
      <c r="W63" s="60">
        <f t="shared" si="35"/>
        <v>45.54</v>
      </c>
      <c r="X63" s="61">
        <f t="shared" si="10"/>
        <v>1.3399999999999963</v>
      </c>
      <c r="Y63" s="62">
        <f>((W63-MAX(W$16:W63))/MAX(W$16:W63))</f>
        <v>0</v>
      </c>
      <c r="Z63" s="16">
        <f t="shared" si="11"/>
        <v>3.0316742081447877E-2</v>
      </c>
      <c r="AA63" s="153"/>
      <c r="AC63" s="16">
        <f t="shared" si="43"/>
        <v>6.8512435476302244E-2</v>
      </c>
      <c r="AD63" s="16">
        <f>AD60</f>
        <v>6.7510121457489927E-2</v>
      </c>
      <c r="AE63" s="16"/>
      <c r="AF63" s="16" t="str">
        <f t="shared" si="45"/>
        <v>Medium Volatility</v>
      </c>
      <c r="AG63" s="14" t="str">
        <f t="shared" si="12"/>
        <v>Strong Uptrend</v>
      </c>
      <c r="AI63" s="58" t="s">
        <v>90</v>
      </c>
      <c r="AJ63" s="63"/>
      <c r="AK63" s="64">
        <v>391700</v>
      </c>
      <c r="AL63" s="15">
        <f t="shared" si="9"/>
        <v>45813</v>
      </c>
      <c r="AM63" s="60">
        <f t="shared" si="36"/>
        <v>39.17</v>
      </c>
      <c r="AN63" s="61">
        <f t="shared" si="13"/>
        <v>0.10000000000000142</v>
      </c>
      <c r="AO63" s="62">
        <f>((AM63-MAX(AM$16:AM63))/MAX(AM$16:AM63))</f>
        <v>0</v>
      </c>
      <c r="AP63" s="16">
        <f t="shared" si="14"/>
        <v>2.5595085743537606E-3</v>
      </c>
      <c r="AQ63" s="153"/>
      <c r="AS63" s="67">
        <f t="shared" si="19"/>
        <v>7.718034473887427E-3</v>
      </c>
      <c r="AT63" s="16">
        <f>AT60</f>
        <v>3.8887666006312766E-3</v>
      </c>
      <c r="AU63" s="16"/>
      <c r="AV63" s="16" t="str">
        <f t="shared" si="46"/>
        <v>Low Volatility</v>
      </c>
      <c r="AW63" s="14" t="str">
        <f t="shared" si="37"/>
        <v>Stable</v>
      </c>
    </row>
    <row r="64" spans="1:49" ht="26.25" hidden="1" thickBot="1">
      <c r="A64" s="104" t="s">
        <v>91</v>
      </c>
      <c r="B64" s="105" t="s">
        <v>469</v>
      </c>
      <c r="C64" s="105" t="s">
        <v>470</v>
      </c>
      <c r="D64" s="15">
        <f t="shared" si="0"/>
        <v>45814</v>
      </c>
      <c r="E64" s="60">
        <f t="shared" si="33"/>
        <v>4366</v>
      </c>
      <c r="F64" s="61">
        <f t="shared" si="38"/>
        <v>0</v>
      </c>
      <c r="G64" s="62">
        <f>((E64-MAX(E$16:E64))/MAX(E$16:E64))</f>
        <v>-9.1533180778032041E-4</v>
      </c>
      <c r="H64" s="16">
        <f t="shared" si="8"/>
        <v>0</v>
      </c>
      <c r="I64" s="153"/>
      <c r="K64" s="67">
        <f t="shared" si="42"/>
        <v>3.2151300236406617E-2</v>
      </c>
      <c r="L64" s="16">
        <f>L60</f>
        <v>2.3936529372045792E-2</v>
      </c>
      <c r="M64" s="16"/>
      <c r="N64" s="16" t="str">
        <f t="shared" si="44"/>
        <v>Low Volatility</v>
      </c>
      <c r="O64" s="14" t="str">
        <f t="shared" si="34"/>
        <v>Strong Uptrend</v>
      </c>
      <c r="P64" s="16">
        <f t="shared" si="29"/>
        <v>2.0093457943925235E-2</v>
      </c>
      <c r="S64" s="58" t="s">
        <v>91</v>
      </c>
      <c r="T64" s="59"/>
      <c r="U64" s="60" t="s">
        <v>185</v>
      </c>
      <c r="V64" s="15">
        <f t="shared" si="3"/>
        <v>45814</v>
      </c>
      <c r="W64" s="60">
        <f t="shared" si="35"/>
        <v>45.93</v>
      </c>
      <c r="X64" s="61">
        <f t="shared" si="10"/>
        <v>0.39000000000000057</v>
      </c>
      <c r="Y64" s="62">
        <f>((W64-MAX(W$16:W64))/MAX(W$16:W64))</f>
        <v>0</v>
      </c>
      <c r="Z64" s="16">
        <f t="shared" si="11"/>
        <v>8.5638998682477062E-3</v>
      </c>
      <c r="AA64" s="153"/>
      <c r="AC64" s="16">
        <f t="shared" si="43"/>
        <v>8.8646598720075895E-2</v>
      </c>
      <c r="AD64" s="16">
        <f>AD60</f>
        <v>6.7510121457489927E-2</v>
      </c>
      <c r="AE64" s="16"/>
      <c r="AF64" s="16" t="str">
        <f t="shared" si="45"/>
        <v>Medium Volatility</v>
      </c>
      <c r="AG64" s="14" t="str">
        <f t="shared" si="12"/>
        <v>Strong Uptrend</v>
      </c>
      <c r="AI64" s="58" t="s">
        <v>91</v>
      </c>
      <c r="AJ64" s="63"/>
      <c r="AK64" s="64">
        <v>391700</v>
      </c>
      <c r="AL64" s="15">
        <f t="shared" si="9"/>
        <v>45814</v>
      </c>
      <c r="AM64" s="60">
        <f t="shared" si="36"/>
        <v>39.17</v>
      </c>
      <c r="AN64" s="61">
        <f t="shared" si="13"/>
        <v>0</v>
      </c>
      <c r="AO64" s="62">
        <f>((AM64-MAX(AM$16:AM64))/MAX(AM$16:AM64))</f>
        <v>0</v>
      </c>
      <c r="AP64" s="16">
        <f t="shared" si="14"/>
        <v>0</v>
      </c>
      <c r="AQ64" s="153"/>
      <c r="AS64" s="67">
        <f t="shared" si="19"/>
        <v>3.5869843709966836E-3</v>
      </c>
      <c r="AT64" s="16">
        <f>AT60</f>
        <v>3.8887666006312766E-3</v>
      </c>
      <c r="AU64" s="16"/>
      <c r="AV64" s="16" t="str">
        <f t="shared" si="46"/>
        <v>Low Volatility</v>
      </c>
      <c r="AW64" s="14" t="str">
        <f t="shared" si="37"/>
        <v>Stable</v>
      </c>
    </row>
    <row r="65" spans="1:49" ht="26.25" hidden="1" thickBot="1">
      <c r="A65" s="104" t="s">
        <v>92</v>
      </c>
      <c r="B65" s="105" t="s">
        <v>469</v>
      </c>
      <c r="C65" s="105" t="s">
        <v>470</v>
      </c>
      <c r="D65" s="15">
        <f t="shared" si="0"/>
        <v>45815</v>
      </c>
      <c r="E65" s="60">
        <f t="shared" si="33"/>
        <v>4366</v>
      </c>
      <c r="F65" s="61">
        <f t="shared" si="38"/>
        <v>0</v>
      </c>
      <c r="G65" s="62">
        <f>((E65-MAX(E$16:E65))/MAX(E$16:E65))</f>
        <v>-9.1533180778032041E-4</v>
      </c>
      <c r="H65" s="16">
        <f t="shared" si="8"/>
        <v>0</v>
      </c>
      <c r="I65" s="153"/>
      <c r="K65" s="67">
        <f t="shared" si="42"/>
        <v>3.2151300236406617E-2</v>
      </c>
      <c r="L65" s="16">
        <f>L60</f>
        <v>2.3936529372045792E-2</v>
      </c>
      <c r="M65" s="16"/>
      <c r="N65" s="16" t="str">
        <f t="shared" si="44"/>
        <v>Low Volatility</v>
      </c>
      <c r="O65" s="14" t="str">
        <f t="shared" si="34"/>
        <v>Strong Uptrend</v>
      </c>
      <c r="P65" s="16">
        <f t="shared" si="29"/>
        <v>2.128654970760234E-2</v>
      </c>
      <c r="S65" s="58" t="s">
        <v>92</v>
      </c>
      <c r="T65" s="59"/>
      <c r="U65" s="60" t="s">
        <v>186</v>
      </c>
      <c r="V65" s="15">
        <f t="shared" si="3"/>
        <v>45815</v>
      </c>
      <c r="W65" s="60">
        <f t="shared" si="35"/>
        <v>46.07</v>
      </c>
      <c r="X65" s="61">
        <f t="shared" si="10"/>
        <v>0.14000000000000057</v>
      </c>
      <c r="Y65" s="62">
        <f>((W65-MAX(W$16:W65))/MAX(W$16:W65))</f>
        <v>0</v>
      </c>
      <c r="Z65" s="16">
        <f t="shared" si="11"/>
        <v>3.0481166993250723E-3</v>
      </c>
      <c r="AA65" s="153"/>
      <c r="AC65" s="16">
        <f t="shared" si="43"/>
        <v>9.0930618044044606E-2</v>
      </c>
      <c r="AD65" s="16">
        <f>AD60</f>
        <v>6.7510121457489927E-2</v>
      </c>
      <c r="AE65" s="16"/>
      <c r="AF65" s="16" t="str">
        <f t="shared" si="45"/>
        <v>Medium Volatility</v>
      </c>
      <c r="AG65" s="14" t="str">
        <f t="shared" si="12"/>
        <v>Strong Uptrend</v>
      </c>
      <c r="AI65" s="58" t="s">
        <v>92</v>
      </c>
      <c r="AJ65" s="63"/>
      <c r="AK65" s="64">
        <v>391700</v>
      </c>
      <c r="AL65" s="15">
        <f t="shared" si="9"/>
        <v>45815</v>
      </c>
      <c r="AM65" s="60">
        <f t="shared" si="36"/>
        <v>39.17</v>
      </c>
      <c r="AN65" s="61">
        <f t="shared" si="13"/>
        <v>0</v>
      </c>
      <c r="AO65" s="62">
        <f>((AM65-MAX(AM$16:AM65))/MAX(AM$16:AM65))</f>
        <v>0</v>
      </c>
      <c r="AP65" s="16">
        <f t="shared" si="14"/>
        <v>0</v>
      </c>
      <c r="AQ65" s="153"/>
      <c r="AS65" s="67">
        <f t="shared" si="19"/>
        <v>4.8742945100052554E-3</v>
      </c>
      <c r="AT65" s="16">
        <f>AT60</f>
        <v>3.8887666006312766E-3</v>
      </c>
      <c r="AU65" s="16"/>
      <c r="AV65" s="16" t="str">
        <f t="shared" si="46"/>
        <v>Low Volatility</v>
      </c>
      <c r="AW65" s="14" t="str">
        <f t="shared" si="37"/>
        <v>Stable</v>
      </c>
    </row>
    <row r="66" spans="1:49" ht="26.25" hidden="1" thickBot="1">
      <c r="A66" s="104" t="s">
        <v>93</v>
      </c>
      <c r="B66" s="105" t="s">
        <v>469</v>
      </c>
      <c r="C66" s="105" t="s">
        <v>470</v>
      </c>
      <c r="D66" s="15">
        <f t="shared" si="0"/>
        <v>45816</v>
      </c>
      <c r="E66" s="60">
        <f t="shared" si="33"/>
        <v>4366</v>
      </c>
      <c r="F66" s="61">
        <f t="shared" si="38"/>
        <v>0</v>
      </c>
      <c r="G66" s="62">
        <f>((E66-MAX(E$16:E66))/MAX(E$16:E66))</f>
        <v>-9.1533180778032041E-4</v>
      </c>
      <c r="H66" s="16">
        <f t="shared" si="8"/>
        <v>0</v>
      </c>
      <c r="I66" s="153"/>
      <c r="K66" s="67">
        <f t="shared" si="42"/>
        <v>3.2151300236406617E-2</v>
      </c>
      <c r="L66" s="16">
        <f>L60</f>
        <v>2.3936529372045792E-2</v>
      </c>
      <c r="M66" s="16"/>
      <c r="N66" s="16" t="str">
        <f t="shared" si="44"/>
        <v>Low Volatility</v>
      </c>
      <c r="O66" s="14" t="str">
        <f t="shared" si="34"/>
        <v>Strong Uptrend</v>
      </c>
      <c r="P66" s="16">
        <f t="shared" si="29"/>
        <v>2.5364020666979802E-2</v>
      </c>
      <c r="S66" s="58" t="s">
        <v>93</v>
      </c>
      <c r="T66" s="59"/>
      <c r="U66" s="60" t="s">
        <v>187</v>
      </c>
      <c r="V66" s="15">
        <f t="shared" si="3"/>
        <v>45816</v>
      </c>
      <c r="W66" s="60">
        <f t="shared" si="35"/>
        <v>46.08</v>
      </c>
      <c r="X66" s="61">
        <f t="shared" si="10"/>
        <v>9.9999999999980105E-3</v>
      </c>
      <c r="Y66" s="62">
        <f>((W66-MAX(W$16:W66))/MAX(W$16:W66))</f>
        <v>0</v>
      </c>
      <c r="Z66" s="16">
        <f t="shared" si="11"/>
        <v>2.1706099413930998E-4</v>
      </c>
      <c r="AA66" s="153"/>
      <c r="AC66" s="16">
        <f t="shared" si="43"/>
        <v>9.1167416528534259E-2</v>
      </c>
      <c r="AD66" s="16">
        <f>AD60</f>
        <v>6.7510121457489927E-2</v>
      </c>
      <c r="AE66" s="16"/>
      <c r="AF66" s="16" t="str">
        <f t="shared" si="45"/>
        <v>Medium Volatility</v>
      </c>
      <c r="AG66" s="14" t="str">
        <f t="shared" si="12"/>
        <v>Strong Uptrend</v>
      </c>
      <c r="AI66" s="58" t="s">
        <v>93</v>
      </c>
      <c r="AJ66" s="63"/>
      <c r="AK66" s="64">
        <v>391700</v>
      </c>
      <c r="AL66" s="15">
        <f t="shared" si="9"/>
        <v>45816</v>
      </c>
      <c r="AM66" s="60">
        <f t="shared" si="36"/>
        <v>39.17</v>
      </c>
      <c r="AN66" s="61">
        <f t="shared" si="13"/>
        <v>0</v>
      </c>
      <c r="AO66" s="62">
        <f>((AM66-MAX(AM$16:AM66))/MAX(AM$16:AM66))</f>
        <v>0</v>
      </c>
      <c r="AP66" s="16">
        <f t="shared" si="14"/>
        <v>0</v>
      </c>
      <c r="AQ66" s="153"/>
      <c r="AS66" s="67">
        <f t="shared" si="19"/>
        <v>4.8742945100052554E-3</v>
      </c>
      <c r="AT66" s="16">
        <f>AT60</f>
        <v>3.8887666006312766E-3</v>
      </c>
      <c r="AU66" s="16"/>
      <c r="AV66" s="16" t="str">
        <f t="shared" si="46"/>
        <v>Low Volatility</v>
      </c>
      <c r="AW66" s="14" t="str">
        <f t="shared" si="37"/>
        <v>Stable</v>
      </c>
    </row>
    <row r="67" spans="1:49" ht="26.25" hidden="1" thickBot="1">
      <c r="A67" s="104" t="s">
        <v>94</v>
      </c>
      <c r="B67" s="105" t="s">
        <v>469</v>
      </c>
      <c r="C67" s="105" t="s">
        <v>470</v>
      </c>
      <c r="D67" s="15">
        <f t="shared" si="0"/>
        <v>45817</v>
      </c>
      <c r="E67" s="60">
        <f t="shared" si="33"/>
        <v>4366</v>
      </c>
      <c r="F67" s="61">
        <f t="shared" si="38"/>
        <v>0</v>
      </c>
      <c r="G67" s="62">
        <f>((E67-MAX(E$16:E67))/MAX(E$16:E67))</f>
        <v>-9.1533180778032041E-4</v>
      </c>
      <c r="H67" s="16">
        <f t="shared" si="8"/>
        <v>0</v>
      </c>
      <c r="I67" s="153">
        <f>AVERAGE(E67:E73)</f>
        <v>4375.4285714285716</v>
      </c>
      <c r="K67" s="67">
        <f t="shared" si="42"/>
        <v>2.2482435597189696E-2</v>
      </c>
      <c r="L67" s="69">
        <f>(I67-I60)/I60</f>
        <v>9.8585512216032064E-3</v>
      </c>
      <c r="M67" s="16">
        <f>_xlfn.STDEV.S(F67:F73)/I67</f>
        <v>1.3128290216841872E-2</v>
      </c>
      <c r="N67" s="16" t="str">
        <f>IF(M67 &lt; 0.02, "Low Volatility",
 IF(M67 &gt; 0.1, "High Volatility", "Medium Volatility"))</f>
        <v>Low Volatility</v>
      </c>
      <c r="O67" s="14" t="str">
        <f t="shared" si="34"/>
        <v>Weak/Unconfirmed</v>
      </c>
      <c r="P67" s="16">
        <f t="shared" si="29"/>
        <v>2.5364020666979802E-2</v>
      </c>
      <c r="S67" s="58" t="s">
        <v>94</v>
      </c>
      <c r="T67" s="59"/>
      <c r="U67" s="60" t="s">
        <v>188</v>
      </c>
      <c r="V67" s="15">
        <f t="shared" si="3"/>
        <v>45817</v>
      </c>
      <c r="W67" s="60">
        <f t="shared" si="35"/>
        <v>46.99</v>
      </c>
      <c r="X67" s="61">
        <f t="shared" si="10"/>
        <v>0.91000000000000369</v>
      </c>
      <c r="Y67" s="62">
        <f>((W67-MAX(W$16:W67))/MAX(W$16:W67))</f>
        <v>0</v>
      </c>
      <c r="Z67" s="16">
        <f t="shared" si="11"/>
        <v>1.9748263888888971E-2</v>
      </c>
      <c r="AA67" s="153">
        <f>AVERAGEIFS(W67:W73, W67:W73, "&gt;=0")</f>
        <v>46.702857142857148</v>
      </c>
      <c r="AC67" s="16">
        <f t="shared" si="43"/>
        <v>5.6667416235664562E-2</v>
      </c>
      <c r="AD67" s="66">
        <f>(AA67-AA60)/AA60</f>
        <v>3.3216396447647144E-2</v>
      </c>
      <c r="AE67" s="16">
        <f>_xlfn.STDEV.S(X67:X73)/AA67</f>
        <v>8.7953041934415912E-3</v>
      </c>
      <c r="AF67" s="16" t="str">
        <f>IF(AE67 &lt; 0.02, "Low Volatility",
 IF(AE67 &gt; 0.1, "High Volatility", "Medium Volatility"))</f>
        <v>Low Volatility</v>
      </c>
      <c r="AG67" s="14" t="str">
        <f t="shared" si="12"/>
        <v>Strong Uptrend</v>
      </c>
      <c r="AI67" s="58" t="s">
        <v>94</v>
      </c>
      <c r="AJ67" s="63"/>
      <c r="AK67" s="64">
        <v>391700</v>
      </c>
      <c r="AL67" s="15">
        <f t="shared" si="9"/>
        <v>45817</v>
      </c>
      <c r="AM67" s="60">
        <f t="shared" si="36"/>
        <v>39.17</v>
      </c>
      <c r="AN67" s="61">
        <f t="shared" si="13"/>
        <v>0</v>
      </c>
      <c r="AO67" s="62">
        <f>((AM67-MAX(AM$16:AM67))/MAX(AM$16:AM67))</f>
        <v>0</v>
      </c>
      <c r="AP67" s="16">
        <f t="shared" si="14"/>
        <v>0</v>
      </c>
      <c r="AQ67" s="153">
        <f>AVERAGE(AM67:AM73)</f>
        <v>39.388571428571431</v>
      </c>
      <c r="AS67" s="67">
        <f t="shared" si="19"/>
        <v>8.7561164048417049E-3</v>
      </c>
      <c r="AT67" s="69">
        <f>(AQ67-AQ60)/AQ60</f>
        <v>7.6012278906591223E-3</v>
      </c>
      <c r="AU67" s="16">
        <f>_xlfn.STDEV.S(AN67:AN73)/AQ67</f>
        <v>1.4865734463890066E-3</v>
      </c>
      <c r="AV67" s="16" t="str">
        <f>IF(AU67 &lt; 0.02, "Low Volatility",
 IF(AU67 &gt; 0.1, "High Volatility", "Medium Volatility"))</f>
        <v>Low Volatility</v>
      </c>
      <c r="AW67" s="14" t="str">
        <f t="shared" si="37"/>
        <v>Weak/Unconfirmed</v>
      </c>
    </row>
    <row r="68" spans="1:49" ht="26.25" hidden="1" thickBot="1">
      <c r="A68" s="104" t="s">
        <v>95</v>
      </c>
      <c r="B68" s="105" t="s">
        <v>454</v>
      </c>
      <c r="C68" s="105" t="s">
        <v>454</v>
      </c>
      <c r="D68" s="15">
        <f t="shared" si="0"/>
        <v>45818</v>
      </c>
      <c r="E68" s="60">
        <f t="shared" si="33"/>
        <v>4280</v>
      </c>
      <c r="F68" s="61">
        <f t="shared" si="38"/>
        <v>-86</v>
      </c>
      <c r="G68" s="62">
        <f>((E68-MAX(E$16:E68))/MAX(E$16:E68))</f>
        <v>-2.0594965675057208E-2</v>
      </c>
      <c r="H68" s="16">
        <f t="shared" si="8"/>
        <v>-1.9697663765460376E-2</v>
      </c>
      <c r="I68" s="153"/>
      <c r="K68" s="67">
        <f t="shared" si="42"/>
        <v>2.34192037470726E-3</v>
      </c>
      <c r="L68" s="16">
        <f>L67</f>
        <v>9.8585512216032064E-3</v>
      </c>
      <c r="M68" s="16"/>
      <c r="N68" s="16" t="str">
        <f t="shared" ref="N68:N73" si="47">N67</f>
        <v>Low Volatility</v>
      </c>
      <c r="O68" s="14" t="str">
        <f t="shared" si="34"/>
        <v>Weak/Unconfirmed</v>
      </c>
      <c r="P68" s="16">
        <f t="shared" si="29"/>
        <v>3.1325301204819279E-2</v>
      </c>
      <c r="S68" s="58" t="s">
        <v>95</v>
      </c>
      <c r="T68" s="59"/>
      <c r="U68" s="60" t="s">
        <v>189</v>
      </c>
      <c r="V68" s="15">
        <f t="shared" si="3"/>
        <v>45818</v>
      </c>
      <c r="W68" s="60">
        <f t="shared" si="35"/>
        <v>46.77</v>
      </c>
      <c r="X68" s="61">
        <f t="shared" si="10"/>
        <v>-0.21999999999999886</v>
      </c>
      <c r="Y68" s="62">
        <f>((W68-MAX(W$16:W68))/MAX(W$16:W68))</f>
        <v>-4.6818472015322165E-3</v>
      </c>
      <c r="Z68" s="16">
        <f t="shared" si="11"/>
        <v>-4.6818472015322165E-3</v>
      </c>
      <c r="AA68" s="153"/>
      <c r="AC68" s="16">
        <f t="shared" si="43"/>
        <v>6.0063463281958426E-2</v>
      </c>
      <c r="AD68" s="16">
        <f>AD67</f>
        <v>3.3216396447647144E-2</v>
      </c>
      <c r="AE68" s="16"/>
      <c r="AF68" s="16" t="str">
        <f t="shared" ref="AF68:AF73" si="48">AF67</f>
        <v>Low Volatility</v>
      </c>
      <c r="AG68" s="14" t="str">
        <f t="shared" si="12"/>
        <v>Strong Uptrend</v>
      </c>
      <c r="AI68" s="58" t="s">
        <v>95</v>
      </c>
      <c r="AJ68" s="63"/>
      <c r="AK68" s="64">
        <v>392800</v>
      </c>
      <c r="AL68" s="15">
        <f t="shared" si="9"/>
        <v>45818</v>
      </c>
      <c r="AM68" s="60">
        <f t="shared" si="36"/>
        <v>39.28</v>
      </c>
      <c r="AN68" s="61">
        <f t="shared" si="13"/>
        <v>0.10999999999999943</v>
      </c>
      <c r="AO68" s="62">
        <f>((AM68-MAX(AM$16:AM68))/MAX(AM$16:AM68))</f>
        <v>0</v>
      </c>
      <c r="AP68" s="16">
        <f t="shared" si="14"/>
        <v>2.8082716364564572E-3</v>
      </c>
      <c r="AQ68" s="153"/>
      <c r="AS68" s="67">
        <f t="shared" si="19"/>
        <v>5.632360471070119E-3</v>
      </c>
      <c r="AT68" s="16">
        <f>AT67</f>
        <v>7.6012278906591223E-3</v>
      </c>
      <c r="AU68" s="16"/>
      <c r="AV68" s="16" t="str">
        <f t="shared" ref="AV68:AV73" si="49">AV67</f>
        <v>Low Volatility</v>
      </c>
      <c r="AW68" s="14" t="str">
        <f t="shared" si="37"/>
        <v>Weak/Unconfirmed</v>
      </c>
    </row>
    <row r="69" spans="1:49" ht="26.25" hidden="1" thickBot="1">
      <c r="A69" s="104" t="s">
        <v>96</v>
      </c>
      <c r="B69" s="105" t="s">
        <v>454</v>
      </c>
      <c r="C69" s="105" t="s">
        <v>471</v>
      </c>
      <c r="D69" s="15">
        <f t="shared" si="0"/>
        <v>45819</v>
      </c>
      <c r="E69" s="60">
        <f t="shared" si="33"/>
        <v>4282</v>
      </c>
      <c r="F69" s="61">
        <f t="shared" si="38"/>
        <v>2</v>
      </c>
      <c r="G69" s="62">
        <f>((E69-MAX(E$16:E69))/MAX(E$16:E69))</f>
        <v>-2.0137299771167048E-2</v>
      </c>
      <c r="H69" s="16">
        <f t="shared" si="8"/>
        <v>4.6728971962616824E-4</v>
      </c>
      <c r="I69" s="153"/>
      <c r="K69" s="67">
        <f t="shared" si="42"/>
        <v>-9.9421965317919078E-3</v>
      </c>
      <c r="L69" s="16">
        <f>L67</f>
        <v>9.8585512216032064E-3</v>
      </c>
      <c r="M69" s="16"/>
      <c r="N69" s="16" t="str">
        <f t="shared" si="47"/>
        <v>Low Volatility</v>
      </c>
      <c r="O69" s="14" t="str">
        <f t="shared" si="34"/>
        <v>Weak/Unconfirmed</v>
      </c>
      <c r="P69" s="16">
        <f t="shared" si="29"/>
        <v>2.4401913875598084E-2</v>
      </c>
      <c r="S69" s="58" t="s">
        <v>96</v>
      </c>
      <c r="T69" s="59"/>
      <c r="U69" s="60" t="s">
        <v>190</v>
      </c>
      <c r="V69" s="15">
        <f t="shared" si="3"/>
        <v>45819</v>
      </c>
      <c r="W69" s="60">
        <f t="shared" si="35"/>
        <v>46.48</v>
      </c>
      <c r="X69" s="61">
        <f t="shared" si="10"/>
        <v>-0.29000000000000625</v>
      </c>
      <c r="Y69" s="62">
        <f>((W69-MAX(W$16:W69))/MAX(W$16:W69))</f>
        <v>-1.0853373058097577E-2</v>
      </c>
      <c r="Z69" s="16">
        <f t="shared" si="11"/>
        <v>-6.2005559119094767E-3</v>
      </c>
      <c r="AA69" s="153"/>
      <c r="AC69" s="16">
        <f t="shared" si="43"/>
        <v>5.1583710407239677E-2</v>
      </c>
      <c r="AD69" s="16">
        <f>AD67</f>
        <v>3.3216396447647144E-2</v>
      </c>
      <c r="AE69" s="16"/>
      <c r="AF69" s="16" t="str">
        <f t="shared" si="48"/>
        <v>Low Volatility</v>
      </c>
      <c r="AG69" s="14" t="str">
        <f t="shared" si="12"/>
        <v>Strong Uptrend</v>
      </c>
      <c r="AI69" s="58" t="s">
        <v>96</v>
      </c>
      <c r="AJ69" s="63"/>
      <c r="AK69" s="64">
        <v>392700</v>
      </c>
      <c r="AL69" s="15">
        <f t="shared" si="9"/>
        <v>45819</v>
      </c>
      <c r="AM69" s="60">
        <f t="shared" si="36"/>
        <v>39.270000000000003</v>
      </c>
      <c r="AN69" s="61">
        <f t="shared" si="13"/>
        <v>-9.9999999999980105E-3</v>
      </c>
      <c r="AO69" s="62">
        <f>((AM69-MAX(AM$16:AM69))/MAX(AM$16:AM69))</f>
        <v>-2.5458248472500026E-4</v>
      </c>
      <c r="AP69" s="16">
        <f t="shared" si="14"/>
        <v>-2.5458248472500026E-4</v>
      </c>
      <c r="AQ69" s="153"/>
      <c r="AS69" s="67">
        <f t="shared" si="19"/>
        <v>5.1190171487075211E-3</v>
      </c>
      <c r="AT69" s="16">
        <f>AT67</f>
        <v>7.6012278906591223E-3</v>
      </c>
      <c r="AU69" s="16"/>
      <c r="AV69" s="16" t="str">
        <f t="shared" si="49"/>
        <v>Low Volatility</v>
      </c>
      <c r="AW69" s="14" t="str">
        <f t="shared" si="37"/>
        <v>Weak/Unconfirmed</v>
      </c>
    </row>
    <row r="70" spans="1:49" ht="26.25" hidden="1" thickBot="1">
      <c r="A70" s="104" t="s">
        <v>97</v>
      </c>
      <c r="B70" s="105" t="s">
        <v>471</v>
      </c>
      <c r="C70" s="105" t="s">
        <v>472</v>
      </c>
      <c r="D70" s="15">
        <f t="shared" si="0"/>
        <v>45820</v>
      </c>
      <c r="E70" s="60">
        <f t="shared" si="33"/>
        <v>4365</v>
      </c>
      <c r="F70" s="61">
        <f t="shared" si="38"/>
        <v>83</v>
      </c>
      <c r="G70" s="62">
        <f>((E70-MAX(E$16:E70))/MAX(E$16:E70))</f>
        <v>-1.1441647597254005E-3</v>
      </c>
      <c r="H70" s="16">
        <f t="shared" si="8"/>
        <v>1.9383465670247547E-2</v>
      </c>
      <c r="I70" s="153"/>
      <c r="K70" s="67">
        <f t="shared" si="42"/>
        <v>-2.2904260192395785E-4</v>
      </c>
      <c r="L70" s="16">
        <f>L67</f>
        <v>9.8585512216032064E-3</v>
      </c>
      <c r="M70" s="16"/>
      <c r="N70" s="16" t="str">
        <f t="shared" si="47"/>
        <v>Low Volatility</v>
      </c>
      <c r="O70" s="14" t="str">
        <f t="shared" si="34"/>
        <v>Weak/Unconfirmed</v>
      </c>
      <c r="P70" s="16">
        <f t="shared" si="29"/>
        <v>6.3337393422655291E-2</v>
      </c>
      <c r="S70" s="58" t="s">
        <v>97</v>
      </c>
      <c r="T70" s="59"/>
      <c r="U70" s="60" t="s">
        <v>191</v>
      </c>
      <c r="V70" s="15">
        <f t="shared" si="3"/>
        <v>45820</v>
      </c>
      <c r="W70" s="60">
        <f t="shared" si="35"/>
        <v>46.68</v>
      </c>
      <c r="X70" s="61">
        <f t="shared" si="10"/>
        <v>0.20000000000000284</v>
      </c>
      <c r="Y70" s="62">
        <f>((W70-MAX(W$16:W70))/MAX(W$16:W70))</f>
        <v>-6.5971483294318418E-3</v>
      </c>
      <c r="Z70" s="16">
        <f t="shared" si="11"/>
        <v>4.3029259896730388E-3</v>
      </c>
      <c r="AA70" s="153"/>
      <c r="AC70" s="16">
        <f t="shared" si="43"/>
        <v>2.503293807641635E-2</v>
      </c>
      <c r="AD70" s="16">
        <f>AD67</f>
        <v>3.3216396447647144E-2</v>
      </c>
      <c r="AE70" s="16"/>
      <c r="AF70" s="16" t="str">
        <f t="shared" si="48"/>
        <v>Low Volatility</v>
      </c>
      <c r="AG70" s="14" t="str">
        <f t="shared" si="12"/>
        <v>Strong Uptrend</v>
      </c>
      <c r="AI70" s="58" t="s">
        <v>97</v>
      </c>
      <c r="AJ70" s="63"/>
      <c r="AK70" s="64">
        <v>393800</v>
      </c>
      <c r="AL70" s="15">
        <f t="shared" si="9"/>
        <v>45820</v>
      </c>
      <c r="AM70" s="60">
        <f t="shared" si="36"/>
        <v>39.380000000000003</v>
      </c>
      <c r="AN70" s="61">
        <f t="shared" si="13"/>
        <v>0.10999999999999943</v>
      </c>
      <c r="AO70" s="62">
        <f>((AM70-MAX(AM$16:AM70))/MAX(AM$16:AM70))</f>
        <v>0</v>
      </c>
      <c r="AP70" s="16">
        <f t="shared" si="14"/>
        <v>2.801120448179257E-3</v>
      </c>
      <c r="AQ70" s="153"/>
      <c r="AS70" s="67">
        <f t="shared" si="19"/>
        <v>5.3612458514169219E-3</v>
      </c>
      <c r="AT70" s="16">
        <f>AT67</f>
        <v>7.6012278906591223E-3</v>
      </c>
      <c r="AU70" s="16"/>
      <c r="AV70" s="16" t="str">
        <f t="shared" si="49"/>
        <v>Low Volatility</v>
      </c>
      <c r="AW70" s="14" t="str">
        <f t="shared" si="37"/>
        <v>Weak/Unconfirmed</v>
      </c>
    </row>
    <row r="71" spans="1:49" ht="26.25" hidden="1" thickBot="1">
      <c r="A71" s="104" t="s">
        <v>98</v>
      </c>
      <c r="B71" s="105" t="s">
        <v>472</v>
      </c>
      <c r="C71" s="105" t="s">
        <v>473</v>
      </c>
      <c r="D71" s="15">
        <f t="shared" si="0"/>
        <v>45821</v>
      </c>
      <c r="E71" s="60">
        <f t="shared" si="33"/>
        <v>4445</v>
      </c>
      <c r="F71" s="61">
        <f t="shared" si="38"/>
        <v>80</v>
      </c>
      <c r="G71" s="62">
        <f>((E71-MAX(E$16:E71))/MAX(E$16:E71))</f>
        <v>0</v>
      </c>
      <c r="H71" s="16">
        <f t="shared" si="8"/>
        <v>1.8327605956471937E-2</v>
      </c>
      <c r="I71" s="153"/>
      <c r="K71" s="67">
        <f t="shared" si="42"/>
        <v>1.8094365551992671E-2</v>
      </c>
      <c r="L71" s="16">
        <f>L67</f>
        <v>9.8585512216032064E-3</v>
      </c>
      <c r="M71" s="16"/>
      <c r="N71" s="16" t="str">
        <f t="shared" si="47"/>
        <v>Low Volatility</v>
      </c>
      <c r="O71" s="14" t="str">
        <f t="shared" si="34"/>
        <v>Weak/Unconfirmed</v>
      </c>
      <c r="P71" s="16">
        <f t="shared" si="29"/>
        <v>7.6271186440677971E-2</v>
      </c>
      <c r="S71" s="58" t="s">
        <v>98</v>
      </c>
      <c r="T71" s="59"/>
      <c r="U71" s="60" t="s">
        <v>192</v>
      </c>
      <c r="V71" s="15">
        <f t="shared" si="3"/>
        <v>45821</v>
      </c>
      <c r="W71" s="60">
        <f t="shared" si="35"/>
        <v>46.52</v>
      </c>
      <c r="X71" s="61">
        <f t="shared" si="10"/>
        <v>-0.15999999999999659</v>
      </c>
      <c r="Y71" s="62">
        <f>((W71-MAX(W$16:W71))/MAX(W$16:W71))</f>
        <v>-1.0002128112364308E-2</v>
      </c>
      <c r="Z71" s="16">
        <f t="shared" si="11"/>
        <v>-3.4275921165380589E-3</v>
      </c>
      <c r="AA71" s="153"/>
      <c r="AC71" s="16">
        <f t="shared" si="43"/>
        <v>1.2845634661441398E-2</v>
      </c>
      <c r="AD71" s="16">
        <f>AD67</f>
        <v>3.3216396447647144E-2</v>
      </c>
      <c r="AE71" s="16"/>
      <c r="AF71" s="16" t="str">
        <f t="shared" si="48"/>
        <v>Low Volatility</v>
      </c>
      <c r="AG71" s="14" t="str">
        <f t="shared" si="12"/>
        <v>Strong Uptrend</v>
      </c>
      <c r="AI71" s="58" t="s">
        <v>98</v>
      </c>
      <c r="AJ71" s="63"/>
      <c r="AK71" s="64">
        <v>395000</v>
      </c>
      <c r="AL71" s="15">
        <f t="shared" si="9"/>
        <v>45821</v>
      </c>
      <c r="AM71" s="60">
        <f t="shared" si="36"/>
        <v>39.5</v>
      </c>
      <c r="AN71" s="61">
        <f t="shared" si="13"/>
        <v>0.11999999999999744</v>
      </c>
      <c r="AO71" s="62">
        <f>((AM71-MAX(AM$16:AM71))/MAX(AM$16:AM71))</f>
        <v>0</v>
      </c>
      <c r="AP71" s="16">
        <f t="shared" si="14"/>
        <v>3.0472320975113618E-3</v>
      </c>
      <c r="AQ71" s="153"/>
      <c r="AS71" s="67">
        <f t="shared" si="19"/>
        <v>8.4248149093693707E-3</v>
      </c>
      <c r="AT71" s="16">
        <f>AT67</f>
        <v>7.6012278906591223E-3</v>
      </c>
      <c r="AU71" s="16"/>
      <c r="AV71" s="16" t="str">
        <f t="shared" si="49"/>
        <v>Low Volatility</v>
      </c>
      <c r="AW71" s="14" t="str">
        <f t="shared" si="37"/>
        <v>Weak/Unconfirmed</v>
      </c>
    </row>
    <row r="72" spans="1:49" ht="26.25" hidden="1" thickBot="1">
      <c r="A72" s="104" t="s">
        <v>99</v>
      </c>
      <c r="B72" s="105" t="s">
        <v>472</v>
      </c>
      <c r="C72" s="105" t="s">
        <v>473</v>
      </c>
      <c r="D72" s="15">
        <f t="shared" si="0"/>
        <v>45822</v>
      </c>
      <c r="E72" s="60">
        <f t="shared" si="33"/>
        <v>4445</v>
      </c>
      <c r="F72" s="61">
        <f t="shared" si="38"/>
        <v>0</v>
      </c>
      <c r="G72" s="62">
        <f>((E72-MAX(E$16:E72))/MAX(E$16:E72))</f>
        <v>0</v>
      </c>
      <c r="H72" s="16">
        <f t="shared" si="8"/>
        <v>0</v>
      </c>
      <c r="I72" s="153"/>
      <c r="K72" s="67">
        <f t="shared" si="42"/>
        <v>1.8094365551992671E-2</v>
      </c>
      <c r="L72" s="16">
        <f>L67</f>
        <v>9.8585512216032064E-3</v>
      </c>
      <c r="M72" s="16"/>
      <c r="N72" s="16" t="str">
        <f t="shared" si="47"/>
        <v>Low Volatility</v>
      </c>
      <c r="O72" s="14" t="str">
        <f t="shared" si="34"/>
        <v>Weak/Unconfirmed</v>
      </c>
      <c r="P72" s="16">
        <f t="shared" si="29"/>
        <v>7.4969770253929868E-2</v>
      </c>
      <c r="S72" s="58" t="s">
        <v>99</v>
      </c>
      <c r="T72" s="59"/>
      <c r="U72" s="60" t="s">
        <v>193</v>
      </c>
      <c r="V72" s="15">
        <f t="shared" si="3"/>
        <v>45822</v>
      </c>
      <c r="W72" s="60">
        <f t="shared" si="35"/>
        <v>46.74</v>
      </c>
      <c r="X72" s="61">
        <f t="shared" si="10"/>
        <v>0.21999999999999886</v>
      </c>
      <c r="Y72" s="62">
        <f>((W72-MAX(W$16:W72))/MAX(W$16:W72))</f>
        <v>-5.3202809108320913E-3</v>
      </c>
      <c r="Z72" s="16">
        <f t="shared" si="11"/>
        <v>4.729148753224395E-3</v>
      </c>
      <c r="AA72" s="153"/>
      <c r="AC72" s="16">
        <f t="shared" si="43"/>
        <v>1.4543086607336699E-2</v>
      </c>
      <c r="AD72" s="16">
        <f>AD67</f>
        <v>3.3216396447647144E-2</v>
      </c>
      <c r="AE72" s="16"/>
      <c r="AF72" s="16" t="str">
        <f t="shared" si="48"/>
        <v>Low Volatility</v>
      </c>
      <c r="AG72" s="14" t="str">
        <f t="shared" si="12"/>
        <v>Strong Uptrend</v>
      </c>
      <c r="AI72" s="58" t="s">
        <v>99</v>
      </c>
      <c r="AJ72" s="63"/>
      <c r="AK72" s="64">
        <v>395600</v>
      </c>
      <c r="AL72" s="15">
        <f t="shared" si="9"/>
        <v>45822</v>
      </c>
      <c r="AM72" s="60">
        <f t="shared" si="36"/>
        <v>39.56</v>
      </c>
      <c r="AN72" s="61">
        <f t="shared" si="13"/>
        <v>6.0000000000002274E-2</v>
      </c>
      <c r="AO72" s="62">
        <f>((AM72-MAX(AM$16:AM72))/MAX(AM$16:AM72))</f>
        <v>0</v>
      </c>
      <c r="AP72" s="16">
        <f t="shared" si="14"/>
        <v>1.5189873417722096E-3</v>
      </c>
      <c r="AQ72" s="153"/>
      <c r="AS72" s="67">
        <f t="shared" si="19"/>
        <v>9.9565994383456861E-3</v>
      </c>
      <c r="AT72" s="16">
        <f>AT67</f>
        <v>7.6012278906591223E-3</v>
      </c>
      <c r="AU72" s="16"/>
      <c r="AV72" s="16" t="str">
        <f t="shared" si="49"/>
        <v>Low Volatility</v>
      </c>
      <c r="AW72" s="14" t="str">
        <f t="shared" si="37"/>
        <v>Weak/Unconfirmed</v>
      </c>
    </row>
    <row r="73" spans="1:49" ht="26.25" hidden="1" thickBot="1">
      <c r="A73" s="104" t="s">
        <v>100</v>
      </c>
      <c r="B73" s="105" t="s">
        <v>472</v>
      </c>
      <c r="C73" s="105" t="s">
        <v>473</v>
      </c>
      <c r="D73" s="15">
        <f t="shared" si="0"/>
        <v>45823</v>
      </c>
      <c r="E73" s="60">
        <f t="shared" si="33"/>
        <v>4445</v>
      </c>
      <c r="F73" s="61">
        <f t="shared" si="38"/>
        <v>0</v>
      </c>
      <c r="G73" s="62">
        <f>((E73-MAX(E$16:E73))/MAX(E$16:E73))</f>
        <v>0</v>
      </c>
      <c r="H73" s="16">
        <f t="shared" si="8"/>
        <v>0</v>
      </c>
      <c r="I73" s="153"/>
      <c r="K73" s="67">
        <f t="shared" si="42"/>
        <v>1.8094365551992671E-2</v>
      </c>
      <c r="L73" s="16">
        <f>L67</f>
        <v>9.8585512216032064E-3</v>
      </c>
      <c r="M73" s="16"/>
      <c r="N73" s="16" t="str">
        <f t="shared" si="47"/>
        <v>Low Volatility</v>
      </c>
      <c r="O73" s="14" t="str">
        <f t="shared" si="34"/>
        <v>Weak/Unconfirmed</v>
      </c>
      <c r="P73" s="16">
        <f t="shared" si="29"/>
        <v>6.6202926361237702E-2</v>
      </c>
      <c r="S73" s="58" t="s">
        <v>100</v>
      </c>
      <c r="T73" s="59"/>
      <c r="U73" s="60" t="s">
        <v>193</v>
      </c>
      <c r="V73" s="15">
        <f t="shared" si="3"/>
        <v>45823</v>
      </c>
      <c r="W73" s="60">
        <f t="shared" si="35"/>
        <v>46.74</v>
      </c>
      <c r="X73" s="61">
        <f t="shared" si="10"/>
        <v>0</v>
      </c>
      <c r="Y73" s="62">
        <f>((W73-MAX(W$16:W73))/MAX(W$16:W73))</f>
        <v>-5.3202809108320913E-3</v>
      </c>
      <c r="Z73" s="16">
        <f t="shared" si="11"/>
        <v>0</v>
      </c>
      <c r="AA73" s="153"/>
      <c r="AC73" s="16">
        <f t="shared" si="43"/>
        <v>1.4322916666666748E-2</v>
      </c>
      <c r="AD73" s="16">
        <f>AD67</f>
        <v>3.3216396447647144E-2</v>
      </c>
      <c r="AE73" s="16"/>
      <c r="AF73" s="16" t="str">
        <f t="shared" si="48"/>
        <v>Low Volatility</v>
      </c>
      <c r="AG73" s="14" t="str">
        <f t="shared" si="12"/>
        <v>Strong Uptrend</v>
      </c>
      <c r="AI73" s="58" t="s">
        <v>100</v>
      </c>
      <c r="AJ73" s="63"/>
      <c r="AK73" s="64">
        <v>395600</v>
      </c>
      <c r="AL73" s="15">
        <f t="shared" si="9"/>
        <v>45823</v>
      </c>
      <c r="AM73" s="60">
        <f t="shared" si="36"/>
        <v>39.56</v>
      </c>
      <c r="AN73" s="61">
        <f t="shared" si="13"/>
        <v>0</v>
      </c>
      <c r="AO73" s="62">
        <f>((AM73-MAX(AM$16:AM73))/MAX(AM$16:AM73))</f>
        <v>0</v>
      </c>
      <c r="AP73" s="16">
        <f t="shared" si="14"/>
        <v>0</v>
      </c>
      <c r="AQ73" s="153"/>
      <c r="AS73" s="67">
        <f t="shared" si="19"/>
        <v>9.9565994383456861E-3</v>
      </c>
      <c r="AT73" s="16">
        <f>AT67</f>
        <v>7.6012278906591223E-3</v>
      </c>
      <c r="AU73" s="16"/>
      <c r="AV73" s="16" t="str">
        <f t="shared" si="49"/>
        <v>Low Volatility</v>
      </c>
      <c r="AW73" s="14" t="str">
        <f t="shared" si="37"/>
        <v>Weak/Unconfirmed</v>
      </c>
    </row>
    <row r="74" spans="1:49" ht="26.25" hidden="1" thickBot="1">
      <c r="A74" s="104" t="s">
        <v>101</v>
      </c>
      <c r="B74" s="105" t="s">
        <v>472</v>
      </c>
      <c r="C74" s="105" t="s">
        <v>474</v>
      </c>
      <c r="D74" s="15">
        <f t="shared" si="0"/>
        <v>45824</v>
      </c>
      <c r="E74" s="60">
        <f t="shared" si="33"/>
        <v>4403</v>
      </c>
      <c r="F74" s="61">
        <f t="shared" si="38"/>
        <v>-42</v>
      </c>
      <c r="G74" s="62">
        <f>((E74-MAX(E$16:E74))/MAX(E$16:E74))</f>
        <v>-9.4488188976377951E-3</v>
      </c>
      <c r="H74" s="16">
        <f t="shared" si="8"/>
        <v>-9.4488188976377951E-3</v>
      </c>
      <c r="I74" s="153">
        <f>AVERAGE(E74:E80)</f>
        <v>4399.5714285714284</v>
      </c>
      <c r="K74" s="67">
        <f t="shared" si="42"/>
        <v>8.4745762711864406E-3</v>
      </c>
      <c r="L74" s="69">
        <f>(I74-I67)/I67</f>
        <v>5.5178268251272746E-3</v>
      </c>
      <c r="M74" s="16">
        <f>_xlfn.STDEV.S(F74:F80)/I74</f>
        <v>4.057191384249266E-3</v>
      </c>
      <c r="N74" s="16" t="str">
        <f>IF(M74 &lt; 0.02, "Low Volatility",
 IF(M74 &gt; 0.1, "High Volatility", "Medium Volatility"))</f>
        <v>Low Volatility</v>
      </c>
      <c r="O74" s="14" t="str">
        <f t="shared" si="34"/>
        <v>Weak/Unconfirmed</v>
      </c>
      <c r="P74" s="16">
        <f t="shared" si="29"/>
        <v>5.6128568001918927E-2</v>
      </c>
      <c r="S74" s="58" t="s">
        <v>101</v>
      </c>
      <c r="T74" s="59"/>
      <c r="U74" s="60" t="s">
        <v>194</v>
      </c>
      <c r="V74" s="15">
        <f t="shared" si="3"/>
        <v>45824</v>
      </c>
      <c r="W74" s="60">
        <f t="shared" si="35"/>
        <v>46.69</v>
      </c>
      <c r="X74" s="61">
        <f t="shared" si="10"/>
        <v>-5.0000000000004263E-2</v>
      </c>
      <c r="Y74" s="62">
        <f>((W74-MAX(W$16:W74))/MAX(W$16:W74))</f>
        <v>-6.3843370929986005E-3</v>
      </c>
      <c r="Z74" s="16">
        <f t="shared" si="11"/>
        <v>-1.0697475395807501E-3</v>
      </c>
      <c r="AA74" s="153">
        <f>AVERAGEIFS(W74:W80, W74:W80, "&gt;=0")</f>
        <v>46.911428571428573</v>
      </c>
      <c r="AC74" s="16">
        <f t="shared" si="43"/>
        <v>-6.3843370929986005E-3</v>
      </c>
      <c r="AD74" s="66">
        <f>(AA74-AA67)/AA67</f>
        <v>4.465924385170599E-3</v>
      </c>
      <c r="AE74" s="16">
        <f>_xlfn.STDEV.S(X74:X80)/AA74</f>
        <v>1.3599839696995854E-2</v>
      </c>
      <c r="AF74" s="16" t="str">
        <f>IF(AE74 &lt; 0.02, "Low Volatility",
 IF(AE74 &gt; 0.1, "High Volatility", "Medium Volatility"))</f>
        <v>Low Volatility</v>
      </c>
      <c r="AG74" s="14" t="str">
        <f t="shared" si="12"/>
        <v>Stable</v>
      </c>
      <c r="AI74" s="58" t="s">
        <v>101</v>
      </c>
      <c r="AJ74" s="63"/>
      <c r="AK74" s="64">
        <v>394000</v>
      </c>
      <c r="AL74" s="15">
        <f t="shared" si="9"/>
        <v>45824</v>
      </c>
      <c r="AM74" s="60">
        <f t="shared" si="36"/>
        <v>39.4</v>
      </c>
      <c r="AN74" s="61">
        <f t="shared" si="13"/>
        <v>-0.16000000000000369</v>
      </c>
      <c r="AO74" s="62">
        <f>((AM74-MAX(AM$16:AM74))/MAX(AM$16:AM74))</f>
        <v>-4.044489383215462E-3</v>
      </c>
      <c r="AP74" s="16">
        <f t="shared" si="14"/>
        <v>-4.044489383215462E-3</v>
      </c>
      <c r="AQ74" s="153">
        <f>AVERAGE(AM74:AM80)</f>
        <v>39.571428571428569</v>
      </c>
      <c r="AS74" s="67">
        <f t="shared" si="19"/>
        <v>5.8718406944089068E-3</v>
      </c>
      <c r="AT74" s="69">
        <f>(AQ74-AQ67)/AQ67</f>
        <v>4.6423908312779828E-3</v>
      </c>
      <c r="AU74" s="16">
        <f>_xlfn.STDEV.S(AN74:AN80)/AQ74</f>
        <v>2.2209257963541366E-3</v>
      </c>
      <c r="AV74" s="16" t="str">
        <f>IF(AU74 &lt; 0.02, "Low Volatility",
 IF(AU74 &gt; 0.1, "High Volatility", "Medium Volatility"))</f>
        <v>Low Volatility</v>
      </c>
      <c r="AW74" s="14" t="str">
        <f t="shared" si="37"/>
        <v>Stable</v>
      </c>
    </row>
    <row r="75" spans="1:49" ht="26.25" hidden="1" thickBot="1">
      <c r="A75" s="104" t="s">
        <v>102</v>
      </c>
      <c r="B75" s="105" t="s">
        <v>474</v>
      </c>
      <c r="C75" s="105" t="s">
        <v>475</v>
      </c>
      <c r="D75" s="15">
        <f t="shared" si="0"/>
        <v>45825</v>
      </c>
      <c r="E75" s="60">
        <f t="shared" si="33"/>
        <v>4410</v>
      </c>
      <c r="F75" s="61">
        <f t="shared" si="38"/>
        <v>7</v>
      </c>
      <c r="G75" s="62">
        <f>((E75-MAX(E$16:E75))/MAX(E$16:E75))</f>
        <v>-7.874015748031496E-3</v>
      </c>
      <c r="H75" s="16">
        <f t="shared" si="8"/>
        <v>1.589825119236884E-3</v>
      </c>
      <c r="I75" s="153"/>
      <c r="K75" s="67">
        <f t="shared" si="42"/>
        <v>3.0373831775700934E-2</v>
      </c>
      <c r="L75" s="16">
        <f>L74</f>
        <v>5.5178268251272746E-3</v>
      </c>
      <c r="M75" s="16"/>
      <c r="N75" s="16" t="str">
        <f t="shared" ref="N75:N80" si="50">N74</f>
        <v>Low Volatility</v>
      </c>
      <c r="O75" s="14" t="str">
        <f t="shared" si="34"/>
        <v>Weak/Unconfirmed</v>
      </c>
      <c r="P75" s="16">
        <f t="shared" si="29"/>
        <v>4.7505938242280284E-2</v>
      </c>
      <c r="S75" s="58" t="s">
        <v>102</v>
      </c>
      <c r="T75" s="59"/>
      <c r="U75" s="60" t="s">
        <v>195</v>
      </c>
      <c r="V75" s="15">
        <f t="shared" si="3"/>
        <v>45825</v>
      </c>
      <c r="W75" s="60">
        <f t="shared" si="35"/>
        <v>47.91</v>
      </c>
      <c r="X75" s="61">
        <f t="shared" si="10"/>
        <v>1.2199999999999989</v>
      </c>
      <c r="Y75" s="62">
        <f>((W75-MAX(W$16:W75))/MAX(W$16:W75))</f>
        <v>0</v>
      </c>
      <c r="Z75" s="16">
        <f t="shared" si="11"/>
        <v>2.6129792246733754E-2</v>
      </c>
      <c r="AA75" s="153"/>
      <c r="AC75" s="16">
        <f t="shared" si="43"/>
        <v>2.4374599101988314E-2</v>
      </c>
      <c r="AD75" s="16">
        <f>AD74</f>
        <v>4.465924385170599E-3</v>
      </c>
      <c r="AE75" s="16"/>
      <c r="AF75" s="16" t="str">
        <f t="shared" ref="AF75:AF80" si="51">AF74</f>
        <v>Low Volatility</v>
      </c>
      <c r="AG75" s="14" t="str">
        <f t="shared" si="12"/>
        <v>Stable</v>
      </c>
      <c r="AI75" s="58" t="s">
        <v>102</v>
      </c>
      <c r="AJ75" s="63"/>
      <c r="AK75" s="64">
        <v>394900</v>
      </c>
      <c r="AL75" s="15">
        <f t="shared" si="9"/>
        <v>45825</v>
      </c>
      <c r="AM75" s="60">
        <f t="shared" si="36"/>
        <v>39.49</v>
      </c>
      <c r="AN75" s="61">
        <f t="shared" si="13"/>
        <v>9.0000000000003411E-2</v>
      </c>
      <c r="AO75" s="62">
        <f>((AM75-MAX(AM$16:AM75))/MAX(AM$16:AM75))</f>
        <v>-1.7694641051567311E-3</v>
      </c>
      <c r="AP75" s="16">
        <f t="shared" si="14"/>
        <v>2.2842639593909494E-3</v>
      </c>
      <c r="AQ75" s="153"/>
      <c r="AS75" s="67">
        <f t="shared" si="19"/>
        <v>5.3462321792260908E-3</v>
      </c>
      <c r="AT75" s="16">
        <f>AT74</f>
        <v>4.6423908312779828E-3</v>
      </c>
      <c r="AU75" s="16"/>
      <c r="AV75" s="16" t="str">
        <f t="shared" ref="AV75:AV80" si="52">AV74</f>
        <v>Low Volatility</v>
      </c>
      <c r="AW75" s="14" t="str">
        <f t="shared" si="37"/>
        <v>Stable</v>
      </c>
    </row>
    <row r="76" spans="1:49" ht="26.25" hidden="1" thickBot="1">
      <c r="A76" s="104" t="s">
        <v>103</v>
      </c>
      <c r="B76" s="105" t="s">
        <v>475</v>
      </c>
      <c r="C76" s="105" t="s">
        <v>476</v>
      </c>
      <c r="D76" s="15">
        <f t="shared" si="0"/>
        <v>45826</v>
      </c>
      <c r="E76" s="60">
        <f t="shared" si="33"/>
        <v>4392</v>
      </c>
      <c r="F76" s="61">
        <f t="shared" si="38"/>
        <v>-18</v>
      </c>
      <c r="G76" s="62">
        <f>((E76-MAX(E$16:E76))/MAX(E$16:E76))</f>
        <v>-1.1923509561304836E-2</v>
      </c>
      <c r="H76" s="16">
        <f t="shared" si="8"/>
        <v>-4.0816326530612249E-3</v>
      </c>
      <c r="I76" s="153"/>
      <c r="K76" s="67">
        <f t="shared" si="42"/>
        <v>2.5688930406352173E-2</v>
      </c>
      <c r="L76" s="16">
        <f>L74</f>
        <v>5.5178268251272746E-3</v>
      </c>
      <c r="M76" s="16"/>
      <c r="N76" s="16" t="str">
        <f t="shared" si="50"/>
        <v>Low Volatility</v>
      </c>
      <c r="O76" s="14" t="str">
        <f t="shared" si="34"/>
        <v>Weak/Unconfirmed</v>
      </c>
      <c r="P76" s="16">
        <f t="shared" si="29"/>
        <v>4.3230403800475062E-2</v>
      </c>
      <c r="S76" s="58" t="s">
        <v>103</v>
      </c>
      <c r="T76" s="59"/>
      <c r="U76" s="60" t="s">
        <v>196</v>
      </c>
      <c r="V76" s="15">
        <f t="shared" si="3"/>
        <v>45826</v>
      </c>
      <c r="W76" s="60">
        <f t="shared" si="35"/>
        <v>47.37</v>
      </c>
      <c r="X76" s="61">
        <f t="shared" si="10"/>
        <v>-0.53999999999999915</v>
      </c>
      <c r="Y76" s="62">
        <f>((W76-MAX(W$16:W76))/MAX(W$16:W76))</f>
        <v>-1.1271133375078254E-2</v>
      </c>
      <c r="Z76" s="16">
        <f t="shared" si="11"/>
        <v>-1.1271133375078254E-2</v>
      </c>
      <c r="AA76" s="153"/>
      <c r="AC76" s="16">
        <f t="shared" si="43"/>
        <v>1.9148020654044764E-2</v>
      </c>
      <c r="AD76" s="16">
        <f>AD74</f>
        <v>4.465924385170599E-3</v>
      </c>
      <c r="AE76" s="16"/>
      <c r="AF76" s="16" t="str">
        <f t="shared" si="51"/>
        <v>Low Volatility</v>
      </c>
      <c r="AG76" s="14" t="str">
        <f t="shared" si="12"/>
        <v>Stable</v>
      </c>
      <c r="AI76" s="58" t="s">
        <v>103</v>
      </c>
      <c r="AJ76" s="63"/>
      <c r="AK76" s="64">
        <v>395600</v>
      </c>
      <c r="AL76" s="15">
        <f t="shared" si="9"/>
        <v>45826</v>
      </c>
      <c r="AM76" s="60">
        <f t="shared" si="36"/>
        <v>39.56</v>
      </c>
      <c r="AN76" s="61">
        <f t="shared" si="13"/>
        <v>7.0000000000000284E-2</v>
      </c>
      <c r="AO76" s="62">
        <f>((AM76-MAX(AM$16:AM76))/MAX(AM$16:AM76))</f>
        <v>0</v>
      </c>
      <c r="AP76" s="16">
        <f t="shared" si="14"/>
        <v>1.7726006583945373E-3</v>
      </c>
      <c r="AQ76" s="153"/>
      <c r="AS76" s="67">
        <f t="shared" si="19"/>
        <v>7.384772090654421E-3</v>
      </c>
      <c r="AT76" s="16">
        <f>AT74</f>
        <v>4.6423908312779828E-3</v>
      </c>
      <c r="AU76" s="16"/>
      <c r="AV76" s="16" t="str">
        <f t="shared" si="52"/>
        <v>Low Volatility</v>
      </c>
      <c r="AW76" s="14" t="str">
        <f t="shared" si="37"/>
        <v>Stable</v>
      </c>
    </row>
    <row r="77" spans="1:49" ht="26.25" hidden="1" thickBot="1">
      <c r="A77" s="104" t="s">
        <v>18</v>
      </c>
      <c r="B77" s="105" t="s">
        <v>476</v>
      </c>
      <c r="C77" s="105" t="s">
        <v>476</v>
      </c>
      <c r="D77" s="15">
        <f t="shared" si="0"/>
        <v>45827</v>
      </c>
      <c r="E77" s="60">
        <f t="shared" si="33"/>
        <v>4392</v>
      </c>
      <c r="F77" s="61">
        <f t="shared" si="38"/>
        <v>0</v>
      </c>
      <c r="G77" s="62">
        <f>((E77-MAX(E$16:E77))/MAX(E$16:E77))</f>
        <v>-1.1923509561304836E-2</v>
      </c>
      <c r="H77" s="16">
        <f t="shared" si="8"/>
        <v>0</v>
      </c>
      <c r="I77" s="153"/>
      <c r="K77" s="67">
        <f t="shared" si="42"/>
        <v>6.1855670103092781E-3</v>
      </c>
      <c r="L77" s="16">
        <f>L74</f>
        <v>5.5178268251272746E-3</v>
      </c>
      <c r="M77" s="16"/>
      <c r="N77" s="16" t="str">
        <f t="shared" si="50"/>
        <v>Low Volatility</v>
      </c>
      <c r="O77" s="14" t="str">
        <f t="shared" si="34"/>
        <v>Weak/Unconfirmed</v>
      </c>
      <c r="P77" s="16">
        <f t="shared" ref="P77:P107" si="53">(E77-E48)/E48</f>
        <v>3.5116662738628332E-2</v>
      </c>
      <c r="S77" s="58" t="s">
        <v>18</v>
      </c>
      <c r="T77" s="59"/>
      <c r="U77" s="60" t="s">
        <v>197</v>
      </c>
      <c r="V77" s="15">
        <f t="shared" si="3"/>
        <v>45827</v>
      </c>
      <c r="W77" s="60">
        <f t="shared" si="35"/>
        <v>46.56</v>
      </c>
      <c r="X77" s="61">
        <f t="shared" si="10"/>
        <v>-0.80999999999999517</v>
      </c>
      <c r="Y77" s="62">
        <f>((W77-MAX(W$16:W77))/MAX(W$16:W77))</f>
        <v>-2.8177833437695563E-2</v>
      </c>
      <c r="Z77" s="16">
        <f t="shared" si="11"/>
        <v>-1.7099430018999266E-2</v>
      </c>
      <c r="AA77" s="153"/>
      <c r="AC77" s="16">
        <f t="shared" si="43"/>
        <v>-2.5706940874035441E-3</v>
      </c>
      <c r="AD77" s="16">
        <f>AD74</f>
        <v>4.465924385170599E-3</v>
      </c>
      <c r="AE77" s="16"/>
      <c r="AF77" s="16" t="str">
        <f t="shared" si="51"/>
        <v>Low Volatility</v>
      </c>
      <c r="AG77" s="14" t="str">
        <f t="shared" si="12"/>
        <v>Stable</v>
      </c>
      <c r="AI77" s="58" t="s">
        <v>18</v>
      </c>
      <c r="AJ77" s="63"/>
      <c r="AK77" s="64">
        <v>395500</v>
      </c>
      <c r="AL77" s="15">
        <f t="shared" si="9"/>
        <v>45827</v>
      </c>
      <c r="AM77" s="60">
        <f t="shared" si="36"/>
        <v>39.549999999999997</v>
      </c>
      <c r="AN77" s="61">
        <f t="shared" si="13"/>
        <v>-1.0000000000005116E-2</v>
      </c>
      <c r="AO77" s="62">
        <f>((AM77-MAX(AM$16:AM77))/MAX(AM$16:AM77))</f>
        <v>-2.5278058645108987E-4</v>
      </c>
      <c r="AP77" s="16">
        <f t="shared" si="14"/>
        <v>-2.5278058645108987E-4</v>
      </c>
      <c r="AQ77" s="153"/>
      <c r="AS77" s="67">
        <f t="shared" si="19"/>
        <v>4.3169121381410507E-3</v>
      </c>
      <c r="AT77" s="16">
        <f>AT74</f>
        <v>4.6423908312779828E-3</v>
      </c>
      <c r="AU77" s="16"/>
      <c r="AV77" s="16" t="str">
        <f t="shared" si="52"/>
        <v>Low Volatility</v>
      </c>
      <c r="AW77" s="14" t="str">
        <f t="shared" si="37"/>
        <v>Stable</v>
      </c>
    </row>
    <row r="78" spans="1:49" ht="26.25" hidden="1" thickBot="1">
      <c r="A78" s="104" t="s">
        <v>19</v>
      </c>
      <c r="B78" s="105" t="s">
        <v>476</v>
      </c>
      <c r="C78" s="105" t="s">
        <v>477</v>
      </c>
      <c r="D78" s="15">
        <f t="shared" si="0"/>
        <v>45828</v>
      </c>
      <c r="E78" s="60">
        <f t="shared" si="33"/>
        <v>4400</v>
      </c>
      <c r="F78" s="61">
        <f t="shared" si="38"/>
        <v>8</v>
      </c>
      <c r="G78" s="62">
        <f>((E78-MAX(E$16:E78))/MAX(E$16:E78))</f>
        <v>-1.0123734533183352E-2</v>
      </c>
      <c r="H78" s="16">
        <f t="shared" si="8"/>
        <v>1.8214936247723133E-3</v>
      </c>
      <c r="I78" s="153"/>
      <c r="K78" s="67">
        <f t="shared" si="42"/>
        <v>-1.0123734533183352E-2</v>
      </c>
      <c r="L78" s="16">
        <f>L74</f>
        <v>5.5178268251272746E-3</v>
      </c>
      <c r="M78" s="16"/>
      <c r="N78" s="16" t="str">
        <f t="shared" si="50"/>
        <v>Low Volatility</v>
      </c>
      <c r="O78" s="14" t="str">
        <f t="shared" si="34"/>
        <v>Weak/Unconfirmed</v>
      </c>
      <c r="P78" s="16">
        <f t="shared" si="53"/>
        <v>3.7735849056603772E-2</v>
      </c>
      <c r="S78" s="58" t="s">
        <v>19</v>
      </c>
      <c r="T78" s="59"/>
      <c r="U78" s="60" t="s">
        <v>198</v>
      </c>
      <c r="V78" s="15">
        <f t="shared" si="3"/>
        <v>45828</v>
      </c>
      <c r="W78" s="60">
        <f t="shared" si="35"/>
        <v>46.57</v>
      </c>
      <c r="X78" s="61">
        <f t="shared" si="10"/>
        <v>9.9999999999980105E-3</v>
      </c>
      <c r="Y78" s="62">
        <f>((W78-MAX(W$16:W78))/MAX(W$16:W78))</f>
        <v>-2.7969108745564526E-2</v>
      </c>
      <c r="Z78" s="16">
        <f t="shared" si="11"/>
        <v>2.1477663230236275E-4</v>
      </c>
      <c r="AA78" s="153"/>
      <c r="AC78" s="16">
        <f t="shared" si="43"/>
        <v>1.0748065348236706E-3</v>
      </c>
      <c r="AD78" s="16">
        <f>AD74</f>
        <v>4.465924385170599E-3</v>
      </c>
      <c r="AE78" s="16"/>
      <c r="AF78" s="16" t="str">
        <f t="shared" si="51"/>
        <v>Low Volatility</v>
      </c>
      <c r="AG78" s="14" t="str">
        <f t="shared" si="12"/>
        <v>Stable</v>
      </c>
      <c r="AI78" s="58" t="s">
        <v>19</v>
      </c>
      <c r="AJ78" s="63"/>
      <c r="AK78" s="64">
        <v>396400</v>
      </c>
      <c r="AL78" s="15">
        <f t="shared" si="9"/>
        <v>45828</v>
      </c>
      <c r="AM78" s="60">
        <f t="shared" si="36"/>
        <v>39.64</v>
      </c>
      <c r="AN78" s="61">
        <f t="shared" si="13"/>
        <v>9.0000000000003411E-2</v>
      </c>
      <c r="AO78" s="62">
        <f>((AM78-MAX(AM$16:AM78))/MAX(AM$16:AM78))</f>
        <v>0</v>
      </c>
      <c r="AP78" s="16">
        <f t="shared" si="14"/>
        <v>2.2756005056890878E-3</v>
      </c>
      <c r="AQ78" s="153"/>
      <c r="AS78" s="67">
        <f t="shared" si="19"/>
        <v>3.5443037974683686E-3</v>
      </c>
      <c r="AT78" s="16">
        <f>AT74</f>
        <v>4.6423908312779828E-3</v>
      </c>
      <c r="AU78" s="16"/>
      <c r="AV78" s="16" t="str">
        <f t="shared" si="52"/>
        <v>Low Volatility</v>
      </c>
      <c r="AW78" s="14" t="str">
        <f t="shared" si="37"/>
        <v>Stable</v>
      </c>
    </row>
    <row r="79" spans="1:49" ht="26.25" hidden="1" thickBot="1">
      <c r="A79" s="104" t="s">
        <v>104</v>
      </c>
      <c r="B79" s="106" t="s">
        <v>476</v>
      </c>
      <c r="C79" s="106" t="s">
        <v>477</v>
      </c>
      <c r="D79" s="15">
        <f t="shared" si="0"/>
        <v>45829</v>
      </c>
      <c r="E79" s="60">
        <f t="shared" si="33"/>
        <v>4400</v>
      </c>
      <c r="F79" s="61">
        <f t="shared" si="38"/>
        <v>0</v>
      </c>
      <c r="G79" s="62">
        <f>((E79-MAX(E$16:E79))/MAX(E$16:E79))</f>
        <v>-1.0123734533183352E-2</v>
      </c>
      <c r="H79" s="16">
        <f t="shared" si="8"/>
        <v>0</v>
      </c>
      <c r="I79" s="153"/>
      <c r="K79" s="67">
        <f t="shared" si="42"/>
        <v>-1.0123734533183352E-2</v>
      </c>
      <c r="L79" s="16">
        <f>L74</f>
        <v>5.5178268251272746E-3</v>
      </c>
      <c r="M79" s="16"/>
      <c r="N79" s="16" t="str">
        <f t="shared" si="50"/>
        <v>Low Volatility</v>
      </c>
      <c r="O79" s="14" t="str">
        <f t="shared" si="34"/>
        <v>Weak/Unconfirmed</v>
      </c>
      <c r="P79" s="16">
        <f t="shared" si="53"/>
        <v>2.4447031431897557E-2</v>
      </c>
      <c r="S79" s="58" t="s">
        <v>104</v>
      </c>
      <c r="T79" s="59"/>
      <c r="U79" s="60" t="s">
        <v>199</v>
      </c>
      <c r="V79" s="15">
        <f t="shared" si="3"/>
        <v>45829</v>
      </c>
      <c r="W79" s="60">
        <f t="shared" si="35"/>
        <v>46.64</v>
      </c>
      <c r="X79" s="61">
        <f t="shared" si="10"/>
        <v>7.0000000000000284E-2</v>
      </c>
      <c r="Y79" s="62">
        <f>((W79-MAX(W$16:W79))/MAX(W$16:W79))</f>
        <v>-2.6508035900646966E-2</v>
      </c>
      <c r="Z79" s="16">
        <f t="shared" si="11"/>
        <v>1.5031135924414921E-3</v>
      </c>
      <c r="AA79" s="153"/>
      <c r="AC79" s="16">
        <f t="shared" si="43"/>
        <v>-2.1394950791613484E-3</v>
      </c>
      <c r="AD79" s="16">
        <f>AD74</f>
        <v>4.465924385170599E-3</v>
      </c>
      <c r="AE79" s="16"/>
      <c r="AF79" s="16" t="str">
        <f t="shared" si="51"/>
        <v>Low Volatility</v>
      </c>
      <c r="AG79" s="14" t="str">
        <f t="shared" si="12"/>
        <v>Stable</v>
      </c>
      <c r="AI79" s="58" t="s">
        <v>104</v>
      </c>
      <c r="AJ79" s="63"/>
      <c r="AK79" s="64">
        <v>396800</v>
      </c>
      <c r="AL79" s="15">
        <f t="shared" si="9"/>
        <v>45829</v>
      </c>
      <c r="AM79" s="60">
        <f t="shared" si="36"/>
        <v>39.68</v>
      </c>
      <c r="AN79" s="61">
        <f t="shared" si="13"/>
        <v>3.9999999999999147E-2</v>
      </c>
      <c r="AO79" s="62">
        <f>((AM79-MAX(AM$16:AM79))/MAX(AM$16:AM79))</f>
        <v>0</v>
      </c>
      <c r="AP79" s="16">
        <f t="shared" si="14"/>
        <v>1.0090817356205638E-3</v>
      </c>
      <c r="AQ79" s="153"/>
      <c r="AS79" s="67">
        <f t="shared" si="19"/>
        <v>3.0333670374114619E-3</v>
      </c>
      <c r="AT79" s="16">
        <f>AT74</f>
        <v>4.6423908312779828E-3</v>
      </c>
      <c r="AU79" s="16"/>
      <c r="AV79" s="16" t="str">
        <f t="shared" si="52"/>
        <v>Low Volatility</v>
      </c>
      <c r="AW79" s="14" t="str">
        <f t="shared" si="37"/>
        <v>Stable</v>
      </c>
    </row>
    <row r="80" spans="1:49" ht="26.25" hidden="1" thickBot="1">
      <c r="A80" s="104" t="s">
        <v>105</v>
      </c>
      <c r="B80" s="106" t="s">
        <v>476</v>
      </c>
      <c r="C80" s="106" t="s">
        <v>477</v>
      </c>
      <c r="D80" s="15">
        <f t="shared" ref="D80:D143" si="54">DATEVALUE(
  SUBSTITUTE(SUBSTITUTE(SUBSTITUTE(SUBSTITUTE(SUBSTITUTE(SUBSTITUTE(SUBSTITUTE(SUBSTITUTE(SUBSTITUTE(SUBSTITUTE(SUBSTITUTE(SUBSTITUTE(A80, "Ocak", "January"), "Şubat", "February"), "Mart", "March"), "Nisan", "April"), "Mayıs", "May"), "Haziran", "June"), "Temmuz", "July"), "Ağustos", "August"), "Eylül", "September"), "Ekim", "October"), "Kasım", "November"), "Aralık", "December")
)</f>
        <v>45830</v>
      </c>
      <c r="E80" s="60">
        <f t="shared" ref="E80:E143" si="55">VALUE(SUBSTITUTE(SUBSTITUTE(C80, ".", ""), ",", "."))</f>
        <v>4400</v>
      </c>
      <c r="F80" s="61">
        <f t="shared" si="38"/>
        <v>0</v>
      </c>
      <c r="G80" s="62">
        <f>((E80-MAX(E$16:E80))/MAX(E$16:E80))</f>
        <v>-1.0123734533183352E-2</v>
      </c>
      <c r="H80" s="16">
        <f t="shared" si="8"/>
        <v>0</v>
      </c>
      <c r="I80" s="153"/>
      <c r="K80" s="67">
        <f t="shared" si="42"/>
        <v>-1.0123734533183352E-2</v>
      </c>
      <c r="L80" s="16">
        <f>L74</f>
        <v>5.5178268251272746E-3</v>
      </c>
      <c r="M80" s="16"/>
      <c r="N80" s="16" t="str">
        <f t="shared" si="50"/>
        <v>Low Volatility</v>
      </c>
      <c r="O80" s="14" t="str">
        <f t="shared" ref="O80:O101" si="56">IF(AND(K80 &gt; 0.01, L80 &gt; 0.01), "Strong Uptrend",
 IF(AND(K80 &lt; -0.01, L80 &lt; -0.01), "Strong Downtrend",
 IF(ABS(L80) &lt; 0.005, "Stable", "Weak/Unconfirmed")))</f>
        <v>Weak/Unconfirmed</v>
      </c>
      <c r="P80" s="16">
        <f t="shared" si="53"/>
        <v>2.4447031431897557E-2</v>
      </c>
      <c r="S80" s="58" t="s">
        <v>105</v>
      </c>
      <c r="T80" s="59"/>
      <c r="U80" s="60" t="s">
        <v>199</v>
      </c>
      <c r="V80" s="15">
        <f t="shared" ref="V80:V143" si="57">D80</f>
        <v>45830</v>
      </c>
      <c r="W80" s="60">
        <f t="shared" ref="W80:W107" si="58">VALUE(SUBSTITUTE(SUBSTITUTE(U80, ".", ""), ",", "."))</f>
        <v>46.64</v>
      </c>
      <c r="X80" s="61">
        <f t="shared" si="10"/>
        <v>0</v>
      </c>
      <c r="Y80" s="62">
        <f>((W80-MAX(W$16:W80))/MAX(W$16:W80))</f>
        <v>-2.6508035900646966E-2</v>
      </c>
      <c r="Z80" s="16">
        <f t="shared" si="11"/>
        <v>0</v>
      </c>
      <c r="AA80" s="153"/>
      <c r="AC80" s="16">
        <f t="shared" si="43"/>
        <v>-2.1394950791613484E-3</v>
      </c>
      <c r="AD80" s="16">
        <f>AD74</f>
        <v>4.465924385170599E-3</v>
      </c>
      <c r="AE80" s="16"/>
      <c r="AF80" s="16" t="str">
        <f t="shared" si="51"/>
        <v>Low Volatility</v>
      </c>
      <c r="AG80" s="14" t="str">
        <f t="shared" si="12"/>
        <v>Stable</v>
      </c>
      <c r="AI80" s="58" t="s">
        <v>105</v>
      </c>
      <c r="AJ80" s="63"/>
      <c r="AK80" s="64">
        <v>396800</v>
      </c>
      <c r="AL80" s="15">
        <f t="shared" si="9"/>
        <v>45830</v>
      </c>
      <c r="AM80" s="60">
        <f t="shared" ref="AM80:AM107" si="59">VALUE(SUBSTITUTE(SUBSTITUTE(AK80, ".", ""), ",", "."))/10000</f>
        <v>39.68</v>
      </c>
      <c r="AN80" s="61">
        <f t="shared" si="13"/>
        <v>0</v>
      </c>
      <c r="AO80" s="62">
        <f>((AM80-MAX(AM$16:AM80))/MAX(AM$16:AM80))</f>
        <v>0</v>
      </c>
      <c r="AP80" s="16">
        <f t="shared" si="14"/>
        <v>0</v>
      </c>
      <c r="AQ80" s="153"/>
      <c r="AS80" s="67">
        <f t="shared" si="19"/>
        <v>3.0333670374114619E-3</v>
      </c>
      <c r="AT80" s="16">
        <f>AT74</f>
        <v>4.6423908312779828E-3</v>
      </c>
      <c r="AU80" s="16"/>
      <c r="AV80" s="16" t="str">
        <f t="shared" si="52"/>
        <v>Low Volatility</v>
      </c>
      <c r="AW80" s="14" t="str">
        <f t="shared" ref="AW80:AW111" si="60">IF(AND(AS80 &gt; 0.01, AT80 &gt; 0.01), "Strong Uptrend",
 IF(AND(AS80 &lt; -0.01, AT80 &lt; -0.01), "Strong Downtrend",
 IF(ABS(AT80) &lt; 0.005, "Stable", "Weak/Unconfirmed")))</f>
        <v>Stable</v>
      </c>
    </row>
    <row r="81" spans="1:49" ht="26.25" hidden="1" thickBot="1">
      <c r="A81" s="104" t="s">
        <v>20</v>
      </c>
      <c r="B81" s="105" t="s">
        <v>476</v>
      </c>
      <c r="C81" s="105" t="s">
        <v>478</v>
      </c>
      <c r="D81" s="15">
        <f t="shared" si="54"/>
        <v>45831</v>
      </c>
      <c r="E81" s="60">
        <f t="shared" si="55"/>
        <v>4415</v>
      </c>
      <c r="F81" s="61">
        <f t="shared" ref="F81:F107" si="61">E81-E80</f>
        <v>15</v>
      </c>
      <c r="G81" s="62">
        <f>((E81-MAX(E$16:E81))/MAX(E$16:E81))</f>
        <v>-6.7491563554555678E-3</v>
      </c>
      <c r="H81" s="16">
        <f t="shared" ref="H81:H144" si="62">F81/E80</f>
        <v>3.4090909090909089E-3</v>
      </c>
      <c r="I81" s="153">
        <f>AVERAGE(E81:E87)</f>
        <v>4310.7142857142853</v>
      </c>
      <c r="K81" s="67">
        <f t="shared" si="42"/>
        <v>2.7254144901203725E-3</v>
      </c>
      <c r="L81" s="69">
        <f>(I81-I74)/I74</f>
        <v>-2.0196772412897419E-2</v>
      </c>
      <c r="M81" s="16">
        <f>_xlfn.STDEV.S(F81:F87)/I81</f>
        <v>1.142089148286579E-2</v>
      </c>
      <c r="N81" s="16" t="str">
        <f>IF(M81 &lt; 0.02, "Low Volatility",
 IF(M81 &gt; 0.1, "High Volatility", "Medium Volatility"))</f>
        <v>Low Volatility</v>
      </c>
      <c r="O81" s="14" t="str">
        <f t="shared" si="56"/>
        <v>Weak/Unconfirmed</v>
      </c>
      <c r="P81" s="16">
        <f t="shared" si="53"/>
        <v>2.7939464493597205E-2</v>
      </c>
      <c r="S81" s="58" t="s">
        <v>20</v>
      </c>
      <c r="T81" s="59"/>
      <c r="U81" s="60" t="s">
        <v>200</v>
      </c>
      <c r="V81" s="15">
        <f t="shared" si="57"/>
        <v>45831</v>
      </c>
      <c r="W81" s="60">
        <f t="shared" si="58"/>
        <v>46.89</v>
      </c>
      <c r="X81" s="61">
        <f t="shared" si="10"/>
        <v>0.25</v>
      </c>
      <c r="Y81" s="62">
        <f>((W81-MAX(W$16:W81))/MAX(W$16:W81))</f>
        <v>-2.1289918597369988E-2</v>
      </c>
      <c r="Z81" s="16">
        <f t="shared" si="11"/>
        <v>5.3602058319039449E-3</v>
      </c>
      <c r="AA81" s="153">
        <f>AVERAGEIFS(W81:W87, W81:W87, "&gt;=0")</f>
        <v>46.967142857142854</v>
      </c>
      <c r="AC81" s="16">
        <f t="shared" si="43"/>
        <v>4.2835724994646149E-3</v>
      </c>
      <c r="AD81" s="66">
        <f>(AA81-AA74)/AA74</f>
        <v>1.1876484560569007E-3</v>
      </c>
      <c r="AE81" s="16">
        <f>_xlfn.STDEV.S(X81:X87)/AA81</f>
        <v>1.2117898040234398E-2</v>
      </c>
      <c r="AF81" s="16" t="str">
        <f>IF(AE81 &lt; 0.02, "Low Volatility",
 IF(AE81 &gt; 0.1, "High Volatility", "Medium Volatility"))</f>
        <v>Low Volatility</v>
      </c>
      <c r="AG81" s="14" t="str">
        <f t="shared" ref="AG81:AG122" si="63">IF(AND(AC81 &gt; 0.01, AD81 &gt; 0.01), "Strong Uptrend",
 IF(AND(AC81 &lt; -0.01, AD81 &lt; -0.01), "Strong Downtrend",
 IF(ABS(AD81) &lt; 0.005, "Stable", "Weak/Unconfirmed")))</f>
        <v>Stable</v>
      </c>
      <c r="AI81" s="58" t="s">
        <v>20</v>
      </c>
      <c r="AJ81" s="63"/>
      <c r="AK81" s="64">
        <v>397300</v>
      </c>
      <c r="AL81" s="15">
        <f t="shared" ref="AL81:AL118" si="64">V81</f>
        <v>45831</v>
      </c>
      <c r="AM81" s="60">
        <f t="shared" si="59"/>
        <v>39.729999999999997</v>
      </c>
      <c r="AN81" s="61">
        <f t="shared" si="13"/>
        <v>4.9999999999997158E-2</v>
      </c>
      <c r="AO81" s="62">
        <f>((AM81-MAX(AM$16:AM81))/MAX(AM$16:AM81))</f>
        <v>0</v>
      </c>
      <c r="AP81" s="16">
        <f t="shared" si="14"/>
        <v>1.2600806451612187E-3</v>
      </c>
      <c r="AQ81" s="153">
        <f>AVERAGE(AM81:AM87)</f>
        <v>39.732857142857142</v>
      </c>
      <c r="AS81" s="67">
        <f t="shared" si="19"/>
        <v>8.3756345177664546E-3</v>
      </c>
      <c r="AT81" s="69">
        <f>(AQ81-AQ74)/AQ74</f>
        <v>4.0794223826715152E-3</v>
      </c>
      <c r="AU81" s="16">
        <f>_xlfn.STDEV.S(AN81:AN87)/AQ81</f>
        <v>1.3306370370865317E-3</v>
      </c>
      <c r="AV81" s="16" t="str">
        <f>IF(AU81 &lt; 0.02, "Low Volatility",
 IF(AU81 &gt; 0.1, "High Volatility", "Medium Volatility"))</f>
        <v>Low Volatility</v>
      </c>
      <c r="AW81" s="14" t="str">
        <f t="shared" si="60"/>
        <v>Stable</v>
      </c>
    </row>
    <row r="82" spans="1:49" ht="26.25" hidden="1" thickBot="1">
      <c r="A82" s="104" t="s">
        <v>21</v>
      </c>
      <c r="B82" s="105" t="s">
        <v>478</v>
      </c>
      <c r="C82" s="105" t="s">
        <v>463</v>
      </c>
      <c r="D82" s="15">
        <f t="shared" si="54"/>
        <v>45832</v>
      </c>
      <c r="E82" s="60">
        <f t="shared" si="55"/>
        <v>4295</v>
      </c>
      <c r="F82" s="61">
        <f t="shared" si="61"/>
        <v>-120</v>
      </c>
      <c r="G82" s="62">
        <f>((E82-MAX(E$16:E82))/MAX(E$16:E82))</f>
        <v>-3.3745781777277842E-2</v>
      </c>
      <c r="H82" s="16">
        <f t="shared" si="62"/>
        <v>-2.7180067950169876E-2</v>
      </c>
      <c r="I82" s="153"/>
      <c r="K82" s="67">
        <f t="shared" si="42"/>
        <v>-2.6077097505668934E-2</v>
      </c>
      <c r="L82" s="16">
        <f>L81</f>
        <v>-2.0196772412897419E-2</v>
      </c>
      <c r="M82" s="16"/>
      <c r="N82" s="16" t="str">
        <f t="shared" ref="N82:N87" si="65">N81</f>
        <v>Low Volatility</v>
      </c>
      <c r="O82" s="14" t="str">
        <f t="shared" si="56"/>
        <v>Strong Downtrend</v>
      </c>
      <c r="P82" s="16">
        <f t="shared" si="53"/>
        <v>1.1064030131826741E-2</v>
      </c>
      <c r="S82" s="58" t="s">
        <v>21</v>
      </c>
      <c r="T82" s="59"/>
      <c r="U82" s="60" t="s">
        <v>201</v>
      </c>
      <c r="V82" s="15">
        <f t="shared" si="57"/>
        <v>45832</v>
      </c>
      <c r="W82" s="60">
        <f t="shared" si="58"/>
        <v>46.42</v>
      </c>
      <c r="X82" s="61">
        <f t="shared" ref="X82:X107" si="66">W82-W81</f>
        <v>-0.46999999999999886</v>
      </c>
      <c r="Y82" s="62">
        <f>((W82-MAX(W$16:W82))/MAX(W$16:W82))</f>
        <v>-3.1099979127530684E-2</v>
      </c>
      <c r="Z82" s="16">
        <f t="shared" ref="Z82:Z107" si="67">(W82-W81)/W81</f>
        <v>-1.0023459159735527E-2</v>
      </c>
      <c r="AA82" s="153"/>
      <c r="AC82" s="16">
        <f t="shared" si="43"/>
        <v>-3.1099979127530684E-2</v>
      </c>
      <c r="AD82" s="16">
        <f>AD81</f>
        <v>1.1876484560569007E-3</v>
      </c>
      <c r="AE82" s="16"/>
      <c r="AF82" s="16" t="str">
        <f t="shared" ref="AF82:AF87" si="68">AF81</f>
        <v>Low Volatility</v>
      </c>
      <c r="AG82" s="14" t="str">
        <f t="shared" si="63"/>
        <v>Stable</v>
      </c>
      <c r="AI82" s="58" t="s">
        <v>21</v>
      </c>
      <c r="AJ82" s="63"/>
      <c r="AK82" s="64">
        <v>396400</v>
      </c>
      <c r="AL82" s="15">
        <f t="shared" si="64"/>
        <v>45832</v>
      </c>
      <c r="AM82" s="60">
        <f t="shared" si="59"/>
        <v>39.64</v>
      </c>
      <c r="AN82" s="61">
        <f t="shared" ref="AN82:AN107" si="69">AM82-AM81</f>
        <v>-8.9999999999996305E-2</v>
      </c>
      <c r="AO82" s="62">
        <f>((AM82-MAX(AM$16:AM82))/MAX(AM$16:AM82))</f>
        <v>-2.2652907123079866E-3</v>
      </c>
      <c r="AP82" s="16">
        <f t="shared" ref="AP82:AP116" si="70">(AM82-AM81)/AM81</f>
        <v>-2.2652907123079866E-3</v>
      </c>
      <c r="AQ82" s="153"/>
      <c r="AS82" s="67">
        <f t="shared" si="19"/>
        <v>3.7984299822739574E-3</v>
      </c>
      <c r="AT82" s="16">
        <f>AT81</f>
        <v>4.0794223826715152E-3</v>
      </c>
      <c r="AU82" s="16"/>
      <c r="AV82" s="16" t="str">
        <f t="shared" ref="AV82:AV87" si="71">AV81</f>
        <v>Low Volatility</v>
      </c>
      <c r="AW82" s="14" t="str">
        <f t="shared" si="60"/>
        <v>Stable</v>
      </c>
    </row>
    <row r="83" spans="1:49" ht="26.25" hidden="1" thickBot="1">
      <c r="A83" s="104" t="s">
        <v>22</v>
      </c>
      <c r="B83" s="105" t="s">
        <v>463</v>
      </c>
      <c r="C83" s="105" t="s">
        <v>479</v>
      </c>
      <c r="D83" s="15">
        <f t="shared" si="54"/>
        <v>45833</v>
      </c>
      <c r="E83" s="60">
        <f t="shared" si="55"/>
        <v>4320</v>
      </c>
      <c r="F83" s="61">
        <f t="shared" si="61"/>
        <v>25</v>
      </c>
      <c r="G83" s="62">
        <f>((E83-MAX(E$16:E83))/MAX(E$16:E83))</f>
        <v>-2.81214848143982E-2</v>
      </c>
      <c r="H83" s="16">
        <f t="shared" si="62"/>
        <v>5.8207217694994182E-3</v>
      </c>
      <c r="I83" s="153"/>
      <c r="K83" s="67">
        <f t="shared" si="42"/>
        <v>-1.6393442622950821E-2</v>
      </c>
      <c r="L83" s="16">
        <f>L81</f>
        <v>-2.0196772412897419E-2</v>
      </c>
      <c r="M83" s="16"/>
      <c r="N83" s="16" t="str">
        <f t="shared" si="65"/>
        <v>Low Volatility</v>
      </c>
      <c r="O83" s="14" t="str">
        <f t="shared" si="56"/>
        <v>Strong Downtrend</v>
      </c>
      <c r="P83" s="16">
        <f t="shared" si="53"/>
        <v>2.685999524601854E-2</v>
      </c>
      <c r="S83" s="58" t="s">
        <v>22</v>
      </c>
      <c r="T83" s="59"/>
      <c r="U83" s="60" t="s">
        <v>202</v>
      </c>
      <c r="V83" s="15">
        <f t="shared" si="57"/>
        <v>45833</v>
      </c>
      <c r="W83" s="60">
        <f t="shared" si="58"/>
        <v>47.1</v>
      </c>
      <c r="X83" s="61">
        <f t="shared" si="66"/>
        <v>0.67999999999999972</v>
      </c>
      <c r="Y83" s="62">
        <f>((W83-MAX(W$16:W83))/MAX(W$16:W83))</f>
        <v>-1.6906700062617307E-2</v>
      </c>
      <c r="Z83" s="16">
        <f t="shared" si="67"/>
        <v>1.4648858250753979E-2</v>
      </c>
      <c r="AA83" s="153"/>
      <c r="AC83" s="16">
        <f t="shared" si="43"/>
        <v>-5.6998100063330387E-3</v>
      </c>
      <c r="AD83" s="16">
        <f>AD81</f>
        <v>1.1876484560569007E-3</v>
      </c>
      <c r="AE83" s="16"/>
      <c r="AF83" s="16" t="str">
        <f t="shared" si="68"/>
        <v>Low Volatility</v>
      </c>
      <c r="AG83" s="14" t="str">
        <f t="shared" si="63"/>
        <v>Stable</v>
      </c>
      <c r="AI83" s="58" t="s">
        <v>22</v>
      </c>
      <c r="AJ83" s="63"/>
      <c r="AK83" s="64">
        <v>396900</v>
      </c>
      <c r="AL83" s="15">
        <f t="shared" si="64"/>
        <v>45833</v>
      </c>
      <c r="AM83" s="60">
        <f t="shared" si="59"/>
        <v>39.69</v>
      </c>
      <c r="AN83" s="61">
        <f t="shared" si="69"/>
        <v>4.9999999999997158E-2</v>
      </c>
      <c r="AO83" s="62">
        <f>((AM83-MAX(AM$16:AM83))/MAX(AM$16:AM83))</f>
        <v>-1.0067958721369028E-3</v>
      </c>
      <c r="AP83" s="16">
        <f t="shared" si="70"/>
        <v>1.2613521695256599E-3</v>
      </c>
      <c r="AQ83" s="153"/>
      <c r="AS83" s="67">
        <f t="shared" si="19"/>
        <v>3.286147623862372E-3</v>
      </c>
      <c r="AT83" s="16">
        <f>AT81</f>
        <v>4.0794223826715152E-3</v>
      </c>
      <c r="AU83" s="16"/>
      <c r="AV83" s="16" t="str">
        <f t="shared" si="71"/>
        <v>Low Volatility</v>
      </c>
      <c r="AW83" s="14" t="str">
        <f t="shared" si="60"/>
        <v>Stable</v>
      </c>
    </row>
    <row r="84" spans="1:49" ht="26.25" hidden="1" thickBot="1">
      <c r="A84" s="104" t="s">
        <v>23</v>
      </c>
      <c r="B84" s="105" t="s">
        <v>479</v>
      </c>
      <c r="C84" s="105" t="s">
        <v>480</v>
      </c>
      <c r="D84" s="15">
        <f t="shared" si="54"/>
        <v>45834</v>
      </c>
      <c r="E84" s="60">
        <f t="shared" si="55"/>
        <v>4310</v>
      </c>
      <c r="F84" s="61">
        <f t="shared" si="61"/>
        <v>-10</v>
      </c>
      <c r="G84" s="62">
        <f>((E84-MAX(E$16:E84))/MAX(E$16:E84))</f>
        <v>-3.0371203599550055E-2</v>
      </c>
      <c r="H84" s="16">
        <f t="shared" si="62"/>
        <v>-2.3148148148148147E-3</v>
      </c>
      <c r="I84" s="153"/>
      <c r="K84" s="67">
        <f t="shared" si="42"/>
        <v>-1.8670309653916212E-2</v>
      </c>
      <c r="L84" s="16">
        <f>L81</f>
        <v>-2.0196772412897419E-2</v>
      </c>
      <c r="M84" s="16"/>
      <c r="N84" s="16" t="str">
        <f t="shared" si="65"/>
        <v>Low Volatility</v>
      </c>
      <c r="O84" s="14" t="str">
        <f t="shared" si="56"/>
        <v>Strong Downtrend</v>
      </c>
      <c r="P84" s="16">
        <f t="shared" si="53"/>
        <v>1.6509433962264151E-2</v>
      </c>
      <c r="S84" s="58" t="s">
        <v>23</v>
      </c>
      <c r="T84" s="59"/>
      <c r="U84" s="60" t="s">
        <v>203</v>
      </c>
      <c r="V84" s="15">
        <f t="shared" si="57"/>
        <v>45834</v>
      </c>
      <c r="W84" s="60">
        <f t="shared" si="58"/>
        <v>47.63</v>
      </c>
      <c r="X84" s="61">
        <f t="shared" si="66"/>
        <v>0.53000000000000114</v>
      </c>
      <c r="Y84" s="62">
        <f>((W84-MAX(W$16:W84))/MAX(W$16:W84))</f>
        <v>-5.8442913796700911E-3</v>
      </c>
      <c r="Z84" s="16">
        <f t="shared" si="67"/>
        <v>1.1252653927813187E-2</v>
      </c>
      <c r="AA84" s="153"/>
      <c r="AC84" s="16">
        <f t="shared" si="43"/>
        <v>2.2981099656357393E-2</v>
      </c>
      <c r="AD84" s="16">
        <f>AD81</f>
        <v>1.1876484560569007E-3</v>
      </c>
      <c r="AE84" s="16"/>
      <c r="AF84" s="16" t="str">
        <f t="shared" si="68"/>
        <v>Low Volatility</v>
      </c>
      <c r="AG84" s="14" t="str">
        <f t="shared" si="63"/>
        <v>Stable</v>
      </c>
      <c r="AI84" s="58" t="s">
        <v>23</v>
      </c>
      <c r="AJ84" s="63"/>
      <c r="AK84" s="64">
        <v>397100</v>
      </c>
      <c r="AL84" s="15">
        <f t="shared" si="64"/>
        <v>45834</v>
      </c>
      <c r="AM84" s="60">
        <f t="shared" si="59"/>
        <v>39.71</v>
      </c>
      <c r="AN84" s="61">
        <f t="shared" si="69"/>
        <v>2.0000000000003126E-2</v>
      </c>
      <c r="AO84" s="62">
        <f>((AM84-MAX(AM$16:AM84))/MAX(AM$16:AM84))</f>
        <v>-5.0339793606836197E-4</v>
      </c>
      <c r="AP84" s="16">
        <f t="shared" si="70"/>
        <v>5.0390526581010648E-4</v>
      </c>
      <c r="AQ84" s="153"/>
      <c r="AS84" s="67">
        <f t="shared" si="19"/>
        <v>4.0455120101138735E-3</v>
      </c>
      <c r="AT84" s="16">
        <f>AT81</f>
        <v>4.0794223826715152E-3</v>
      </c>
      <c r="AU84" s="16"/>
      <c r="AV84" s="16" t="str">
        <f t="shared" si="71"/>
        <v>Low Volatility</v>
      </c>
      <c r="AW84" s="14" t="str">
        <f t="shared" si="60"/>
        <v>Stable</v>
      </c>
    </row>
    <row r="85" spans="1:49" ht="26.25" hidden="1" thickBot="1">
      <c r="A85" s="104" t="s">
        <v>24</v>
      </c>
      <c r="B85" s="105" t="s">
        <v>480</v>
      </c>
      <c r="C85" s="105" t="s">
        <v>455</v>
      </c>
      <c r="D85" s="15">
        <f t="shared" si="54"/>
        <v>45835</v>
      </c>
      <c r="E85" s="60">
        <f t="shared" si="55"/>
        <v>4275</v>
      </c>
      <c r="F85" s="61">
        <f t="shared" si="61"/>
        <v>-35</v>
      </c>
      <c r="G85" s="62">
        <f>((E85-MAX(E$16:E85))/MAX(E$16:E85))</f>
        <v>-3.8245219347581551E-2</v>
      </c>
      <c r="H85" s="16">
        <f t="shared" si="62"/>
        <v>-8.1206496519721574E-3</v>
      </c>
      <c r="I85" s="153"/>
      <c r="K85" s="67">
        <f t="shared" si="42"/>
        <v>-2.8409090909090908E-2</v>
      </c>
      <c r="L85" s="16">
        <f>L81</f>
        <v>-2.0196772412897419E-2</v>
      </c>
      <c r="M85" s="16"/>
      <c r="N85" s="16" t="str">
        <f t="shared" si="65"/>
        <v>Low Volatility</v>
      </c>
      <c r="O85" s="14" t="str">
        <f t="shared" si="56"/>
        <v>Strong Downtrend</v>
      </c>
      <c r="P85" s="16">
        <f t="shared" si="53"/>
        <v>9.4451003541912628E-3</v>
      </c>
      <c r="S85" s="58" t="s">
        <v>24</v>
      </c>
      <c r="T85" s="59"/>
      <c r="U85" s="60" t="s">
        <v>204</v>
      </c>
      <c r="V85" s="15">
        <f t="shared" si="57"/>
        <v>45835</v>
      </c>
      <c r="W85" s="60">
        <f t="shared" si="58"/>
        <v>46.71</v>
      </c>
      <c r="X85" s="61">
        <f t="shared" si="66"/>
        <v>-0.92000000000000171</v>
      </c>
      <c r="Y85" s="62">
        <f>((W85-MAX(W$16:W85))/MAX(W$16:W85))</f>
        <v>-2.5046963055729406E-2</v>
      </c>
      <c r="Z85" s="16">
        <f t="shared" si="67"/>
        <v>-1.9315557421793021E-2</v>
      </c>
      <c r="AA85" s="153"/>
      <c r="AC85" s="16">
        <f t="shared" si="43"/>
        <v>3.0062271848829841E-3</v>
      </c>
      <c r="AD85" s="16">
        <f>AD81</f>
        <v>1.1876484560569007E-3</v>
      </c>
      <c r="AE85" s="16"/>
      <c r="AF85" s="16" t="str">
        <f t="shared" si="68"/>
        <v>Low Volatility</v>
      </c>
      <c r="AG85" s="14" t="str">
        <f t="shared" si="63"/>
        <v>Stable</v>
      </c>
      <c r="AI85" s="58" t="s">
        <v>24</v>
      </c>
      <c r="AJ85" s="63"/>
      <c r="AK85" s="64">
        <v>397800</v>
      </c>
      <c r="AL85" s="15">
        <f t="shared" si="64"/>
        <v>45835</v>
      </c>
      <c r="AM85" s="60">
        <f t="shared" si="59"/>
        <v>39.78</v>
      </c>
      <c r="AN85" s="61">
        <f t="shared" si="69"/>
        <v>7.0000000000000284E-2</v>
      </c>
      <c r="AO85" s="62">
        <f>((AM85-MAX(AM$16:AM85))/MAX(AM$16:AM85))</f>
        <v>0</v>
      </c>
      <c r="AP85" s="16">
        <f t="shared" si="70"/>
        <v>1.7627801561319637E-3</v>
      </c>
      <c r="AQ85" s="153"/>
      <c r="AS85" s="67">
        <f t="shared" si="19"/>
        <v>3.5317860746720627E-3</v>
      </c>
      <c r="AT85" s="16">
        <f>AT81</f>
        <v>4.0794223826715152E-3</v>
      </c>
      <c r="AU85" s="16"/>
      <c r="AV85" s="16" t="str">
        <f t="shared" si="71"/>
        <v>Low Volatility</v>
      </c>
      <c r="AW85" s="14" t="str">
        <f t="shared" si="60"/>
        <v>Stable</v>
      </c>
    </row>
    <row r="86" spans="1:49" ht="26.25" hidden="1" thickBot="1">
      <c r="A86" s="104" t="s">
        <v>106</v>
      </c>
      <c r="B86" s="106" t="s">
        <v>480</v>
      </c>
      <c r="C86" s="106" t="s">
        <v>454</v>
      </c>
      <c r="D86" s="15">
        <f t="shared" si="54"/>
        <v>45836</v>
      </c>
      <c r="E86" s="60">
        <f t="shared" si="55"/>
        <v>4280</v>
      </c>
      <c r="F86" s="61">
        <f t="shared" si="61"/>
        <v>5</v>
      </c>
      <c r="G86" s="62">
        <f>((E86-MAX(E$16:E86))/MAX(E$16:E86))</f>
        <v>-3.7120359955005622E-2</v>
      </c>
      <c r="H86" s="16">
        <f t="shared" si="62"/>
        <v>1.1695906432748538E-3</v>
      </c>
      <c r="I86" s="153"/>
      <c r="K86" s="67">
        <f t="shared" si="42"/>
        <v>-2.7272727272727271E-2</v>
      </c>
      <c r="L86" s="16">
        <f>L81</f>
        <v>-2.0196772412897419E-2</v>
      </c>
      <c r="M86" s="16"/>
      <c r="N86" s="16" t="str">
        <f t="shared" si="65"/>
        <v>Low Volatility</v>
      </c>
      <c r="O86" s="14" t="str">
        <f t="shared" si="56"/>
        <v>Strong Downtrend</v>
      </c>
      <c r="P86" s="16">
        <f t="shared" si="53"/>
        <v>1.1820330969267139E-2</v>
      </c>
      <c r="S86" s="58" t="s">
        <v>106</v>
      </c>
      <c r="T86" s="59"/>
      <c r="U86" s="60" t="s">
        <v>205</v>
      </c>
      <c r="V86" s="15">
        <f t="shared" si="57"/>
        <v>45836</v>
      </c>
      <c r="W86" s="60">
        <f t="shared" si="58"/>
        <v>47.01</v>
      </c>
      <c r="X86" s="61">
        <f t="shared" si="66"/>
        <v>0.29999999999999716</v>
      </c>
      <c r="Y86" s="62">
        <f>((W86-MAX(W$16:W86))/MAX(W$16:W86))</f>
        <v>-1.8785222291797091E-2</v>
      </c>
      <c r="Z86" s="16">
        <f t="shared" si="67"/>
        <v>6.4226075786768819E-3</v>
      </c>
      <c r="AA86" s="153"/>
      <c r="AC86" s="16">
        <f t="shared" si="43"/>
        <v>7.9331046312177845E-3</v>
      </c>
      <c r="AD86" s="16">
        <f>AD81</f>
        <v>1.1876484560569007E-3</v>
      </c>
      <c r="AE86" s="16"/>
      <c r="AF86" s="16" t="str">
        <f t="shared" si="68"/>
        <v>Low Volatility</v>
      </c>
      <c r="AG86" s="14" t="str">
        <f t="shared" si="63"/>
        <v>Stable</v>
      </c>
      <c r="AI86" s="58" t="s">
        <v>106</v>
      </c>
      <c r="AJ86" s="63"/>
      <c r="AK86" s="64">
        <v>397900</v>
      </c>
      <c r="AL86" s="15">
        <f t="shared" si="64"/>
        <v>45836</v>
      </c>
      <c r="AM86" s="60">
        <f t="shared" si="59"/>
        <v>39.79</v>
      </c>
      <c r="AN86" s="61">
        <f t="shared" si="69"/>
        <v>9.9999999999980105E-3</v>
      </c>
      <c r="AO86" s="62">
        <f>((AM86-MAX(AM$16:AM86))/MAX(AM$16:AM86))</f>
        <v>0</v>
      </c>
      <c r="AP86" s="16">
        <f t="shared" si="70"/>
        <v>2.5138260432373079E-4</v>
      </c>
      <c r="AQ86" s="153"/>
      <c r="AS86" s="67">
        <f t="shared" si="19"/>
        <v>2.7721774193548245E-3</v>
      </c>
      <c r="AT86" s="16">
        <f>AT81</f>
        <v>4.0794223826715152E-3</v>
      </c>
      <c r="AU86" s="16"/>
      <c r="AV86" s="16" t="str">
        <f t="shared" si="71"/>
        <v>Low Volatility</v>
      </c>
      <c r="AW86" s="14" t="str">
        <f t="shared" si="60"/>
        <v>Stable</v>
      </c>
    </row>
    <row r="87" spans="1:49" ht="26.25" hidden="1" thickBot="1">
      <c r="A87" s="104" t="s">
        <v>107</v>
      </c>
      <c r="B87" s="106" t="s">
        <v>480</v>
      </c>
      <c r="C87" s="106" t="s">
        <v>454</v>
      </c>
      <c r="D87" s="15">
        <f t="shared" si="54"/>
        <v>45837</v>
      </c>
      <c r="E87" s="60">
        <f t="shared" si="55"/>
        <v>4280</v>
      </c>
      <c r="F87" s="61">
        <f t="shared" si="61"/>
        <v>0</v>
      </c>
      <c r="G87" s="62">
        <f>((E87-MAX(E$16:E87))/MAX(E$16:E87))</f>
        <v>-3.7120359955005622E-2</v>
      </c>
      <c r="H87" s="16">
        <f t="shared" si="62"/>
        <v>0</v>
      </c>
      <c r="I87" s="153"/>
      <c r="K87" s="67">
        <f t="shared" ref="K87:K118" si="72">(E87-E80)/E80</f>
        <v>-2.7272727272727271E-2</v>
      </c>
      <c r="L87" s="16">
        <f>L81</f>
        <v>-2.0196772412897419E-2</v>
      </c>
      <c r="M87" s="16"/>
      <c r="N87" s="16" t="str">
        <f t="shared" si="65"/>
        <v>Low Volatility</v>
      </c>
      <c r="O87" s="14" t="str">
        <f t="shared" si="56"/>
        <v>Strong Downtrend</v>
      </c>
      <c r="P87" s="16">
        <f t="shared" si="53"/>
        <v>1.1820330969267139E-2</v>
      </c>
      <c r="S87" s="58" t="s">
        <v>107</v>
      </c>
      <c r="T87" s="59"/>
      <c r="U87" s="60" t="s">
        <v>205</v>
      </c>
      <c r="V87" s="15">
        <f t="shared" si="57"/>
        <v>45837</v>
      </c>
      <c r="W87" s="60">
        <f t="shared" si="58"/>
        <v>47.01</v>
      </c>
      <c r="X87" s="61">
        <f t="shared" si="66"/>
        <v>0</v>
      </c>
      <c r="Y87" s="62">
        <f>((W87-MAX(W$16:W87))/MAX(W$16:W87))</f>
        <v>-1.8785222291797091E-2</v>
      </c>
      <c r="Z87" s="16">
        <f t="shared" si="67"/>
        <v>0</v>
      </c>
      <c r="AA87" s="153"/>
      <c r="AC87" s="16">
        <f t="shared" ref="AC87:AC100" si="73">(W87-W80)/W80</f>
        <v>7.9331046312177845E-3</v>
      </c>
      <c r="AD87" s="16">
        <f>AD81</f>
        <v>1.1876484560569007E-3</v>
      </c>
      <c r="AE87" s="16"/>
      <c r="AF87" s="16" t="str">
        <f t="shared" si="68"/>
        <v>Low Volatility</v>
      </c>
      <c r="AG87" s="14" t="str">
        <f t="shared" si="63"/>
        <v>Stable</v>
      </c>
      <c r="AI87" s="58" t="s">
        <v>107</v>
      </c>
      <c r="AJ87" s="63"/>
      <c r="AK87" s="64">
        <v>397900</v>
      </c>
      <c r="AL87" s="15">
        <f t="shared" si="64"/>
        <v>45837</v>
      </c>
      <c r="AM87" s="60">
        <f t="shared" si="59"/>
        <v>39.79</v>
      </c>
      <c r="AN87" s="61">
        <f t="shared" si="69"/>
        <v>0</v>
      </c>
      <c r="AO87" s="62">
        <f>((AM87-MAX(AM$16:AM87))/MAX(AM$16:AM87))</f>
        <v>0</v>
      </c>
      <c r="AP87" s="16">
        <f t="shared" si="70"/>
        <v>0</v>
      </c>
      <c r="AQ87" s="153"/>
      <c r="AS87" s="67">
        <f t="shared" si="19"/>
        <v>2.7721774193548245E-3</v>
      </c>
      <c r="AT87" s="16">
        <f>AT81</f>
        <v>4.0794223826715152E-3</v>
      </c>
      <c r="AU87" s="16"/>
      <c r="AV87" s="16" t="str">
        <f t="shared" si="71"/>
        <v>Low Volatility</v>
      </c>
      <c r="AW87" s="14" t="str">
        <f t="shared" si="60"/>
        <v>Stable</v>
      </c>
    </row>
    <row r="88" spans="1:49" ht="26.25" hidden="1" thickBot="1">
      <c r="A88" s="104" t="s">
        <v>25</v>
      </c>
      <c r="B88" s="105" t="s">
        <v>480</v>
      </c>
      <c r="C88" s="105" t="s">
        <v>444</v>
      </c>
      <c r="D88" s="15">
        <f t="shared" si="54"/>
        <v>45838</v>
      </c>
      <c r="E88" s="60">
        <f t="shared" si="55"/>
        <v>4260</v>
      </c>
      <c r="F88" s="61">
        <f t="shared" si="61"/>
        <v>-20</v>
      </c>
      <c r="G88" s="62">
        <f>((E88-MAX(E$16:E88))/MAX(E$16:E88))</f>
        <v>-4.1619797525309338E-2</v>
      </c>
      <c r="H88" s="16">
        <f t="shared" si="62"/>
        <v>-4.6728971962616819E-3</v>
      </c>
      <c r="I88" s="153">
        <f>AVERAGE(E88:E94)</f>
        <v>4315</v>
      </c>
      <c r="K88" s="67">
        <f t="shared" si="72"/>
        <v>-3.5107587768969425E-2</v>
      </c>
      <c r="L88" s="70">
        <f>(I88-I81)/I81</f>
        <v>9.9420049710033896E-4</v>
      </c>
      <c r="M88" s="16">
        <f>_xlfn.STDEV.S(F88:F94)/I88</f>
        <v>8.0954592237053521E-3</v>
      </c>
      <c r="N88" s="16" t="str">
        <f>IF(M88 &lt; 0.02, "Low Volatility",
 IF(M88 &gt; 0.1, "High Volatility", "Medium Volatility"))</f>
        <v>Low Volatility</v>
      </c>
      <c r="O88" s="14" t="str">
        <f t="shared" si="56"/>
        <v>Stable</v>
      </c>
      <c r="P88" s="16">
        <f t="shared" si="53"/>
        <v>7.0921985815602835E-3</v>
      </c>
      <c r="S88" s="58" t="s">
        <v>25</v>
      </c>
      <c r="T88" s="59"/>
      <c r="U88" s="60" t="s">
        <v>206</v>
      </c>
      <c r="V88" s="15">
        <f t="shared" si="57"/>
        <v>45838</v>
      </c>
      <c r="W88" s="60">
        <f t="shared" si="58"/>
        <v>46.87</v>
      </c>
      <c r="X88" s="61">
        <f t="shared" si="66"/>
        <v>-0.14000000000000057</v>
      </c>
      <c r="Y88" s="62">
        <f>((W88-MAX(W$16:W88))/MAX(W$16:W88))</f>
        <v>-2.1707367981632211E-2</v>
      </c>
      <c r="Z88" s="16">
        <f t="shared" si="67"/>
        <v>-2.9780897681344516E-3</v>
      </c>
      <c r="AA88" s="153">
        <f>AVERAGEIFS(W88:W94, W88:W94, "&gt;=0")</f>
        <v>47.448571428571427</v>
      </c>
      <c r="AC88" s="16">
        <f t="shared" si="73"/>
        <v>-4.2653017701009012E-4</v>
      </c>
      <c r="AD88" s="66">
        <f>(AA88-AA81)/AA81</f>
        <v>1.025032697630566E-2</v>
      </c>
      <c r="AE88" s="16">
        <f>_xlfn.STDEV.S(X88:X94)/AA88</f>
        <v>9.2078482923410501E-3</v>
      </c>
      <c r="AF88" s="16" t="str">
        <f>IF(AE88 &lt; 0.02, "Low Volatility",
 IF(AE88 &gt; 0.1, "High Volatility", "Medium Volatility"))</f>
        <v>Low Volatility</v>
      </c>
      <c r="AG88" s="14" t="str">
        <f t="shared" si="63"/>
        <v>Weak/Unconfirmed</v>
      </c>
      <c r="AI88" s="58" t="s">
        <v>25</v>
      </c>
      <c r="AJ88" s="63"/>
      <c r="AK88" s="64">
        <v>393000</v>
      </c>
      <c r="AL88" s="15">
        <f t="shared" si="64"/>
        <v>45838</v>
      </c>
      <c r="AM88" s="60">
        <f t="shared" si="59"/>
        <v>39.299999999999997</v>
      </c>
      <c r="AN88" s="61">
        <f t="shared" si="69"/>
        <v>-0.49000000000000199</v>
      </c>
      <c r="AO88" s="62">
        <f>((AM88-MAX(AM$16:AM88))/MAX(AM$16:AM88))</f>
        <v>-1.2314651922593668E-2</v>
      </c>
      <c r="AP88" s="16">
        <f t="shared" si="70"/>
        <v>-1.2314651922593668E-2</v>
      </c>
      <c r="AQ88" s="153">
        <f>AVERAGE(AM88:AM94)</f>
        <v>39.67285714285714</v>
      </c>
      <c r="AS88" s="67">
        <f t="shared" ref="AS88:AS100" si="74">(AM88-AM81)/AM81</f>
        <v>-1.0823055625471929E-2</v>
      </c>
      <c r="AT88" s="70">
        <f>(AQ88-AQ81)/AQ81</f>
        <v>-1.5100852119513031E-3</v>
      </c>
      <c r="AU88" s="16">
        <f>_xlfn.STDEV.S(AN88:AN94)/AQ88</f>
        <v>7.5011870620603866E-3</v>
      </c>
      <c r="AV88" s="16" t="str">
        <f>IF(AU88 &lt; 0.02, "Low Volatility",
 IF(AU88 &gt; 0.1, "High Volatility", "Medium Volatility"))</f>
        <v>Low Volatility</v>
      </c>
      <c r="AW88" s="14" t="str">
        <f t="shared" si="60"/>
        <v>Stable</v>
      </c>
    </row>
    <row r="89" spans="1:49" ht="26.25" hidden="1" thickBot="1">
      <c r="A89" s="104" t="s">
        <v>26</v>
      </c>
      <c r="B89" s="105" t="s">
        <v>444</v>
      </c>
      <c r="C89" s="105" t="s">
        <v>481</v>
      </c>
      <c r="D89" s="15">
        <f t="shared" si="54"/>
        <v>45839</v>
      </c>
      <c r="E89" s="60">
        <f t="shared" si="55"/>
        <v>4340</v>
      </c>
      <c r="F89" s="61">
        <f t="shared" si="61"/>
        <v>80</v>
      </c>
      <c r="G89" s="62">
        <f>((E89-MAX(E$16:E89))/MAX(E$16:E89))</f>
        <v>-2.3622047244094488E-2</v>
      </c>
      <c r="H89" s="16">
        <f t="shared" si="62"/>
        <v>1.8779342723004695E-2</v>
      </c>
      <c r="I89" s="153"/>
      <c r="K89" s="67">
        <f t="shared" si="72"/>
        <v>1.0477299185098952E-2</v>
      </c>
      <c r="L89" s="71">
        <f>L88</f>
        <v>9.9420049710033896E-4</v>
      </c>
      <c r="M89" s="72"/>
      <c r="N89" s="16" t="str">
        <f t="shared" ref="N89:N94" si="75">N88</f>
        <v>Low Volatility</v>
      </c>
      <c r="O89" s="14" t="str">
        <f t="shared" si="56"/>
        <v>Stable</v>
      </c>
      <c r="P89" s="16">
        <f t="shared" si="53"/>
        <v>1.6393442622950821E-2</v>
      </c>
      <c r="S89" s="58" t="s">
        <v>26</v>
      </c>
      <c r="T89" s="59"/>
      <c r="U89" s="60" t="s">
        <v>194</v>
      </c>
      <c r="V89" s="15">
        <f t="shared" si="57"/>
        <v>45839</v>
      </c>
      <c r="W89" s="60">
        <f t="shared" si="58"/>
        <v>46.69</v>
      </c>
      <c r="X89" s="61">
        <f t="shared" si="66"/>
        <v>-0.17999999999999972</v>
      </c>
      <c r="Y89" s="62">
        <f>((W89-MAX(W$16:W89))/MAX(W$16:W89))</f>
        <v>-2.5464412439991629E-2</v>
      </c>
      <c r="Z89" s="16">
        <f t="shared" si="67"/>
        <v>-3.8404096436953218E-3</v>
      </c>
      <c r="AA89" s="153"/>
      <c r="AC89" s="16">
        <f t="shared" si="73"/>
        <v>5.8164584230934084E-3</v>
      </c>
      <c r="AD89" s="16">
        <f>AD88</f>
        <v>1.025032697630566E-2</v>
      </c>
      <c r="AE89" s="16"/>
      <c r="AF89" s="16" t="str">
        <f t="shared" ref="AF89:AF94" si="76">AF88</f>
        <v>Low Volatility</v>
      </c>
      <c r="AG89" s="14" t="str">
        <f t="shared" si="63"/>
        <v>Weak/Unconfirmed</v>
      </c>
      <c r="AI89" s="58" t="s">
        <v>26</v>
      </c>
      <c r="AJ89" s="63"/>
      <c r="AK89" s="64">
        <v>398300</v>
      </c>
      <c r="AL89" s="15">
        <f t="shared" si="64"/>
        <v>45839</v>
      </c>
      <c r="AM89" s="60">
        <f t="shared" si="59"/>
        <v>39.83</v>
      </c>
      <c r="AN89" s="61">
        <f t="shared" si="69"/>
        <v>0.53000000000000114</v>
      </c>
      <c r="AO89" s="62">
        <f>((AM89-MAX(AM$16:AM89))/MAX(AM$16:AM89))</f>
        <v>0</v>
      </c>
      <c r="AP89" s="16">
        <f t="shared" si="70"/>
        <v>1.3486005089058554E-2</v>
      </c>
      <c r="AQ89" s="153"/>
      <c r="AS89" s="67">
        <f t="shared" si="74"/>
        <v>4.7931382441977225E-3</v>
      </c>
      <c r="AT89" s="71">
        <f>AT88</f>
        <v>-1.5100852119513031E-3</v>
      </c>
      <c r="AU89" s="16"/>
      <c r="AV89" s="16" t="str">
        <f t="shared" ref="AV89:AV94" si="77">AV88</f>
        <v>Low Volatility</v>
      </c>
      <c r="AW89" s="14" t="str">
        <f t="shared" si="60"/>
        <v>Stable</v>
      </c>
    </row>
    <row r="90" spans="1:49" ht="26.25" hidden="1" thickBot="1">
      <c r="A90" s="104" t="s">
        <v>27</v>
      </c>
      <c r="B90" s="105" t="s">
        <v>481</v>
      </c>
      <c r="C90" s="105" t="s">
        <v>481</v>
      </c>
      <c r="D90" s="15">
        <f t="shared" si="54"/>
        <v>45840</v>
      </c>
      <c r="E90" s="60">
        <f t="shared" si="55"/>
        <v>4340</v>
      </c>
      <c r="F90" s="61">
        <f t="shared" si="61"/>
        <v>0</v>
      </c>
      <c r="G90" s="62">
        <f>((E90-MAX(E$16:E90))/MAX(E$16:E90))</f>
        <v>-2.3622047244094488E-2</v>
      </c>
      <c r="H90" s="16">
        <f t="shared" si="62"/>
        <v>0</v>
      </c>
      <c r="I90" s="153"/>
      <c r="K90" s="67">
        <f t="shared" si="72"/>
        <v>4.6296296296296294E-3</v>
      </c>
      <c r="L90" s="71">
        <f>L88</f>
        <v>9.9420049710033896E-4</v>
      </c>
      <c r="M90" s="72"/>
      <c r="N90" s="16" t="str">
        <f t="shared" si="75"/>
        <v>Low Volatility</v>
      </c>
      <c r="O90" s="14" t="str">
        <f t="shared" si="56"/>
        <v>Stable</v>
      </c>
      <c r="P90" s="16">
        <f t="shared" si="53"/>
        <v>1.6393442622950821E-2</v>
      </c>
      <c r="S90" s="58" t="s">
        <v>27</v>
      </c>
      <c r="T90" s="59"/>
      <c r="U90" s="60" t="s">
        <v>207</v>
      </c>
      <c r="V90" s="15">
        <f t="shared" si="57"/>
        <v>45840</v>
      </c>
      <c r="W90" s="60">
        <f t="shared" si="58"/>
        <v>46.75</v>
      </c>
      <c r="X90" s="61">
        <f t="shared" si="66"/>
        <v>6.0000000000002274E-2</v>
      </c>
      <c r="Y90" s="62">
        <f>((W90-MAX(W$16:W90))/MAX(W$16:W90))</f>
        <v>-2.4212064287205105E-2</v>
      </c>
      <c r="Z90" s="16">
        <f t="shared" si="67"/>
        <v>1.2850717498394148E-3</v>
      </c>
      <c r="AA90" s="153"/>
      <c r="AC90" s="16">
        <f t="shared" si="73"/>
        <v>-7.430997876857779E-3</v>
      </c>
      <c r="AD90" s="16">
        <f>AD88</f>
        <v>1.025032697630566E-2</v>
      </c>
      <c r="AE90" s="16"/>
      <c r="AF90" s="16" t="str">
        <f t="shared" si="76"/>
        <v>Low Volatility</v>
      </c>
      <c r="AG90" s="14" t="str">
        <f t="shared" si="63"/>
        <v>Weak/Unconfirmed</v>
      </c>
      <c r="AI90" s="58" t="s">
        <v>27</v>
      </c>
      <c r="AJ90" s="63"/>
      <c r="AK90" s="64">
        <v>398000</v>
      </c>
      <c r="AL90" s="15">
        <f t="shared" si="64"/>
        <v>45840</v>
      </c>
      <c r="AM90" s="60">
        <f t="shared" si="59"/>
        <v>39.799999999999997</v>
      </c>
      <c r="AN90" s="61">
        <f t="shared" si="69"/>
        <v>-3.0000000000001137E-2</v>
      </c>
      <c r="AO90" s="62">
        <f>((AM90-MAX(AM$16:AM90))/MAX(AM$16:AM90))</f>
        <v>-7.5320110469498218E-4</v>
      </c>
      <c r="AP90" s="16">
        <f t="shared" si="70"/>
        <v>-7.5320110469498218E-4</v>
      </c>
      <c r="AQ90" s="153"/>
      <c r="AS90" s="67">
        <f t="shared" si="74"/>
        <v>2.7714789619551383E-3</v>
      </c>
      <c r="AT90" s="71">
        <f>AT88</f>
        <v>-1.5100852119513031E-3</v>
      </c>
      <c r="AU90" s="16"/>
      <c r="AV90" s="16" t="str">
        <f t="shared" si="77"/>
        <v>Low Volatility</v>
      </c>
      <c r="AW90" s="14" t="str">
        <f t="shared" si="60"/>
        <v>Stable</v>
      </c>
    </row>
    <row r="91" spans="1:49" ht="26.25" hidden="1" thickBot="1">
      <c r="A91" s="104" t="s">
        <v>28</v>
      </c>
      <c r="B91" s="105" t="s">
        <v>481</v>
      </c>
      <c r="C91" s="105" t="s">
        <v>482</v>
      </c>
      <c r="D91" s="15">
        <f t="shared" si="54"/>
        <v>45841</v>
      </c>
      <c r="E91" s="60">
        <f t="shared" si="55"/>
        <v>4335</v>
      </c>
      <c r="F91" s="61">
        <f t="shared" si="61"/>
        <v>-5</v>
      </c>
      <c r="G91" s="62">
        <f>((E91-MAX(E$16:E91))/MAX(E$16:E91))</f>
        <v>-2.4746906636670417E-2</v>
      </c>
      <c r="H91" s="16">
        <f t="shared" si="62"/>
        <v>-1.152073732718894E-3</v>
      </c>
      <c r="I91" s="153"/>
      <c r="K91" s="67">
        <f t="shared" si="72"/>
        <v>5.8004640371229696E-3</v>
      </c>
      <c r="L91" s="71">
        <f>L88</f>
        <v>9.9420049710033896E-4</v>
      </c>
      <c r="M91" s="72"/>
      <c r="N91" s="16" t="str">
        <f t="shared" si="75"/>
        <v>Low Volatility</v>
      </c>
      <c r="O91" s="14" t="str">
        <f t="shared" si="56"/>
        <v>Stable</v>
      </c>
      <c r="P91" s="16">
        <f t="shared" si="53"/>
        <v>2.3121387283236996E-3</v>
      </c>
      <c r="S91" s="58" t="s">
        <v>28</v>
      </c>
      <c r="T91" s="59"/>
      <c r="U91" s="60" t="s">
        <v>208</v>
      </c>
      <c r="V91" s="15">
        <f t="shared" si="57"/>
        <v>45841</v>
      </c>
      <c r="W91" s="60">
        <f t="shared" si="58"/>
        <v>47.85</v>
      </c>
      <c r="X91" s="61">
        <f t="shared" si="66"/>
        <v>1.1000000000000014</v>
      </c>
      <c r="Y91" s="62">
        <f>((W91-MAX(W$16:W91))/MAX(W$16:W91))</f>
        <v>-1.252348152786374E-3</v>
      </c>
      <c r="Z91" s="16">
        <f t="shared" si="67"/>
        <v>2.3529411764705913E-2</v>
      </c>
      <c r="AA91" s="153"/>
      <c r="AC91" s="16">
        <f t="shared" si="73"/>
        <v>4.618937644341777E-3</v>
      </c>
      <c r="AD91" s="16">
        <f>AD88</f>
        <v>1.025032697630566E-2</v>
      </c>
      <c r="AE91" s="16"/>
      <c r="AF91" s="16" t="str">
        <f t="shared" si="76"/>
        <v>Low Volatility</v>
      </c>
      <c r="AG91" s="14" t="str">
        <f t="shared" si="63"/>
        <v>Weak/Unconfirmed</v>
      </c>
      <c r="AI91" s="58" t="s">
        <v>28</v>
      </c>
      <c r="AJ91" s="63"/>
      <c r="AK91" s="64">
        <v>397400</v>
      </c>
      <c r="AL91" s="15">
        <f t="shared" si="64"/>
        <v>45841</v>
      </c>
      <c r="AM91" s="60">
        <f t="shared" si="59"/>
        <v>39.74</v>
      </c>
      <c r="AN91" s="61">
        <f t="shared" si="69"/>
        <v>-5.9999999999995168E-2</v>
      </c>
      <c r="AO91" s="62">
        <f>((AM91-MAX(AM$16:AM91))/MAX(AM$16:AM91))</f>
        <v>-2.259603314084768E-3</v>
      </c>
      <c r="AP91" s="16">
        <f t="shared" si="70"/>
        <v>-1.5075376884420898E-3</v>
      </c>
      <c r="AQ91" s="153"/>
      <c r="AS91" s="67">
        <f t="shared" si="74"/>
        <v>7.5547720977086718E-4</v>
      </c>
      <c r="AT91" s="71">
        <f>AT88</f>
        <v>-1.5100852119513031E-3</v>
      </c>
      <c r="AU91" s="16"/>
      <c r="AV91" s="16" t="str">
        <f t="shared" si="77"/>
        <v>Low Volatility</v>
      </c>
      <c r="AW91" s="14" t="str">
        <f t="shared" si="60"/>
        <v>Stable</v>
      </c>
    </row>
    <row r="92" spans="1:49" ht="26.25" hidden="1" thickBot="1">
      <c r="A92" s="104" t="s">
        <v>29</v>
      </c>
      <c r="B92" s="105" t="s">
        <v>482</v>
      </c>
      <c r="C92" s="105" t="s">
        <v>480</v>
      </c>
      <c r="D92" s="15">
        <f t="shared" si="54"/>
        <v>45842</v>
      </c>
      <c r="E92" s="60">
        <f t="shared" si="55"/>
        <v>4310</v>
      </c>
      <c r="F92" s="61">
        <f t="shared" si="61"/>
        <v>-25</v>
      </c>
      <c r="G92" s="62">
        <f>((E92-MAX(E$16:E92))/MAX(E$16:E92))</f>
        <v>-3.0371203599550055E-2</v>
      </c>
      <c r="H92" s="16">
        <f t="shared" si="62"/>
        <v>-5.7670126874279125E-3</v>
      </c>
      <c r="I92" s="153"/>
      <c r="K92" s="67">
        <f t="shared" si="72"/>
        <v>8.1871345029239772E-3</v>
      </c>
      <c r="L92" s="71">
        <f>L88</f>
        <v>9.9420049710033896E-4</v>
      </c>
      <c r="M92" s="72"/>
      <c r="N92" s="16" t="str">
        <f t="shared" si="75"/>
        <v>Low Volatility</v>
      </c>
      <c r="O92" s="14" t="str">
        <f t="shared" si="56"/>
        <v>Stable</v>
      </c>
      <c r="P92" s="16">
        <f t="shared" si="53"/>
        <v>-1.2826385707741641E-2</v>
      </c>
      <c r="S92" s="58" t="s">
        <v>29</v>
      </c>
      <c r="T92" s="59"/>
      <c r="U92" s="60" t="s">
        <v>209</v>
      </c>
      <c r="V92" s="15">
        <f t="shared" si="57"/>
        <v>45842</v>
      </c>
      <c r="W92" s="60">
        <f t="shared" si="58"/>
        <v>47.99</v>
      </c>
      <c r="X92" s="61">
        <f t="shared" si="66"/>
        <v>0.14000000000000057</v>
      </c>
      <c r="Y92" s="62">
        <f>((W92-MAX(W$16:W92))/MAX(W$16:W92))</f>
        <v>0</v>
      </c>
      <c r="Z92" s="16">
        <f t="shared" si="67"/>
        <v>2.9258098223615583E-3</v>
      </c>
      <c r="AA92" s="153"/>
      <c r="AC92" s="16">
        <f t="shared" si="73"/>
        <v>2.7403125669021648E-2</v>
      </c>
      <c r="AD92" s="16">
        <f>AD88</f>
        <v>1.025032697630566E-2</v>
      </c>
      <c r="AE92" s="16"/>
      <c r="AF92" s="16" t="str">
        <f t="shared" si="76"/>
        <v>Low Volatility</v>
      </c>
      <c r="AG92" s="14" t="str">
        <f t="shared" si="63"/>
        <v>Strong Uptrend</v>
      </c>
      <c r="AI92" s="58" t="s">
        <v>29</v>
      </c>
      <c r="AJ92" s="63"/>
      <c r="AK92" s="64">
        <v>396600</v>
      </c>
      <c r="AL92" s="15">
        <f t="shared" si="64"/>
        <v>45842</v>
      </c>
      <c r="AM92" s="60">
        <f t="shared" si="59"/>
        <v>39.659999999999997</v>
      </c>
      <c r="AN92" s="61">
        <f t="shared" si="69"/>
        <v>-8.00000000000054E-2</v>
      </c>
      <c r="AO92" s="62">
        <f>((AM92-MAX(AM$16:AM92))/MAX(AM$16:AM92))</f>
        <v>-4.2681395932714465E-3</v>
      </c>
      <c r="AP92" s="16">
        <f t="shared" si="70"/>
        <v>-2.0130850528436183E-3</v>
      </c>
      <c r="AQ92" s="153"/>
      <c r="AS92" s="67">
        <f t="shared" si="74"/>
        <v>-3.0165912518854837E-3</v>
      </c>
      <c r="AT92" s="71">
        <f>AT88</f>
        <v>-1.5100852119513031E-3</v>
      </c>
      <c r="AU92" s="16"/>
      <c r="AV92" s="16" t="str">
        <f t="shared" si="77"/>
        <v>Low Volatility</v>
      </c>
      <c r="AW92" s="14" t="str">
        <f t="shared" si="60"/>
        <v>Stable</v>
      </c>
    </row>
    <row r="93" spans="1:49" ht="26.25" hidden="1" thickBot="1">
      <c r="A93" s="104" t="s">
        <v>108</v>
      </c>
      <c r="B93" s="106" t="s">
        <v>482</v>
      </c>
      <c r="C93" s="106" t="s">
        <v>480</v>
      </c>
      <c r="D93" s="15">
        <f t="shared" si="54"/>
        <v>45843</v>
      </c>
      <c r="E93" s="60">
        <f t="shared" si="55"/>
        <v>4310</v>
      </c>
      <c r="F93" s="61">
        <f t="shared" si="61"/>
        <v>0</v>
      </c>
      <c r="G93" s="62">
        <f>((E93-MAX(E$16:E93))/MAX(E$16:E93))</f>
        <v>-3.0371203599550055E-2</v>
      </c>
      <c r="H93" s="16">
        <f t="shared" si="62"/>
        <v>0</v>
      </c>
      <c r="I93" s="153"/>
      <c r="K93" s="67">
        <f t="shared" si="72"/>
        <v>7.0093457943925233E-3</v>
      </c>
      <c r="L93" s="71">
        <f>L88</f>
        <v>9.9420049710033896E-4</v>
      </c>
      <c r="M93" s="72"/>
      <c r="N93" s="16" t="str">
        <f t="shared" si="75"/>
        <v>Low Volatility</v>
      </c>
      <c r="O93" s="14" t="str">
        <f t="shared" si="56"/>
        <v>Stable</v>
      </c>
      <c r="P93" s="16">
        <f t="shared" si="53"/>
        <v>-1.2826385707741641E-2</v>
      </c>
      <c r="S93" s="58" t="s">
        <v>108</v>
      </c>
      <c r="T93" s="59"/>
      <c r="U93" s="60" t="s">
        <v>209</v>
      </c>
      <c r="V93" s="15">
        <f t="shared" si="57"/>
        <v>45843</v>
      </c>
      <c r="W93" s="60">
        <f t="shared" si="58"/>
        <v>47.99</v>
      </c>
      <c r="X93" s="61">
        <f t="shared" si="66"/>
        <v>0</v>
      </c>
      <c r="Y93" s="62">
        <f>((W93-MAX(W$16:W93))/MAX(W$16:W93))</f>
        <v>0</v>
      </c>
      <c r="Z93" s="16">
        <f t="shared" si="67"/>
        <v>0</v>
      </c>
      <c r="AA93" s="153"/>
      <c r="AC93" s="16">
        <f t="shared" si="73"/>
        <v>2.0846628376941161E-2</v>
      </c>
      <c r="AD93" s="16">
        <f>AD88</f>
        <v>1.025032697630566E-2</v>
      </c>
      <c r="AE93" s="16"/>
      <c r="AF93" s="16" t="str">
        <f t="shared" si="76"/>
        <v>Low Volatility</v>
      </c>
      <c r="AG93" s="14" t="str">
        <f t="shared" si="63"/>
        <v>Strong Uptrend</v>
      </c>
      <c r="AI93" s="58" t="s">
        <v>108</v>
      </c>
      <c r="AJ93" s="63"/>
      <c r="AK93" s="64">
        <v>396900</v>
      </c>
      <c r="AL93" s="15">
        <f t="shared" si="64"/>
        <v>45843</v>
      </c>
      <c r="AM93" s="60">
        <f t="shared" si="59"/>
        <v>39.69</v>
      </c>
      <c r="AN93" s="61">
        <f t="shared" si="69"/>
        <v>3.0000000000001137E-2</v>
      </c>
      <c r="AO93" s="62">
        <f>((AM93-MAX(AM$16:AM93))/MAX(AM$16:AM93))</f>
        <v>-3.5149384885764644E-3</v>
      </c>
      <c r="AP93" s="16">
        <f t="shared" si="70"/>
        <v>7.5642965204238881E-4</v>
      </c>
      <c r="AQ93" s="153"/>
      <c r="AS93" s="67">
        <f t="shared" si="74"/>
        <v>-2.5131942699171002E-3</v>
      </c>
      <c r="AT93" s="71">
        <f>AT88</f>
        <v>-1.5100852119513031E-3</v>
      </c>
      <c r="AU93" s="16"/>
      <c r="AV93" s="16" t="str">
        <f t="shared" si="77"/>
        <v>Low Volatility</v>
      </c>
      <c r="AW93" s="14" t="str">
        <f t="shared" si="60"/>
        <v>Stable</v>
      </c>
    </row>
    <row r="94" spans="1:49" ht="26.25" hidden="1" thickBot="1">
      <c r="A94" s="104" t="s">
        <v>109</v>
      </c>
      <c r="B94" s="106" t="s">
        <v>482</v>
      </c>
      <c r="C94" s="106" t="s">
        <v>480</v>
      </c>
      <c r="D94" s="15">
        <f t="shared" si="54"/>
        <v>45844</v>
      </c>
      <c r="E94" s="60">
        <f t="shared" si="55"/>
        <v>4310</v>
      </c>
      <c r="F94" s="61">
        <f t="shared" si="61"/>
        <v>0</v>
      </c>
      <c r="G94" s="62">
        <f>((E94-MAX(E$16:E94))/MAX(E$16:E94))</f>
        <v>-3.0371203599550055E-2</v>
      </c>
      <c r="H94" s="16">
        <f t="shared" si="62"/>
        <v>0</v>
      </c>
      <c r="I94" s="153"/>
      <c r="K94" s="67">
        <f t="shared" si="72"/>
        <v>7.0093457943925233E-3</v>
      </c>
      <c r="L94" s="73">
        <f>L88</f>
        <v>9.9420049710033896E-4</v>
      </c>
      <c r="M94" s="72"/>
      <c r="N94" s="16" t="str">
        <f t="shared" si="75"/>
        <v>Low Volatility</v>
      </c>
      <c r="O94" s="14" t="str">
        <f t="shared" si="56"/>
        <v>Stable</v>
      </c>
      <c r="P94" s="16">
        <f t="shared" si="53"/>
        <v>-1.2826385707741641E-2</v>
      </c>
      <c r="S94" s="58" t="s">
        <v>109</v>
      </c>
      <c r="T94" s="59"/>
      <c r="U94" s="60" t="s">
        <v>210</v>
      </c>
      <c r="V94" s="15">
        <f t="shared" si="57"/>
        <v>45844</v>
      </c>
      <c r="W94" s="60">
        <f t="shared" si="58"/>
        <v>48</v>
      </c>
      <c r="X94" s="61">
        <f t="shared" si="66"/>
        <v>9.9999999999980105E-3</v>
      </c>
      <c r="Y94" s="62">
        <f>((W94-MAX(W$16:W94))/MAX(W$16:W94))</f>
        <v>0</v>
      </c>
      <c r="Z94" s="16">
        <f t="shared" si="67"/>
        <v>2.0837674515519921E-4</v>
      </c>
      <c r="AA94" s="153"/>
      <c r="AC94" s="16">
        <f t="shared" si="73"/>
        <v>2.1059349074665008E-2</v>
      </c>
      <c r="AD94" s="16">
        <f>AD88</f>
        <v>1.025032697630566E-2</v>
      </c>
      <c r="AE94" s="16"/>
      <c r="AF94" s="16" t="str">
        <f t="shared" si="76"/>
        <v>Low Volatility</v>
      </c>
      <c r="AG94" s="14" t="str">
        <f t="shared" si="63"/>
        <v>Strong Uptrend</v>
      </c>
      <c r="AI94" s="58" t="s">
        <v>109</v>
      </c>
      <c r="AJ94" s="63"/>
      <c r="AK94" s="64">
        <v>396900</v>
      </c>
      <c r="AL94" s="15">
        <f t="shared" si="64"/>
        <v>45844</v>
      </c>
      <c r="AM94" s="60">
        <f t="shared" si="59"/>
        <v>39.69</v>
      </c>
      <c r="AN94" s="61">
        <f t="shared" si="69"/>
        <v>0</v>
      </c>
      <c r="AO94" s="62">
        <f>((AM94-MAX(AM$16:AM94))/MAX(AM$16:AM94))</f>
        <v>-3.5149384885764644E-3</v>
      </c>
      <c r="AP94" s="16">
        <f t="shared" si="70"/>
        <v>0</v>
      </c>
      <c r="AQ94" s="153"/>
      <c r="AS94" s="67">
        <f t="shared" si="74"/>
        <v>-2.5131942699171002E-3</v>
      </c>
      <c r="AT94" s="73">
        <f>AT88</f>
        <v>-1.5100852119513031E-3</v>
      </c>
      <c r="AU94" s="16"/>
      <c r="AV94" s="16" t="str">
        <f t="shared" si="77"/>
        <v>Low Volatility</v>
      </c>
      <c r="AW94" s="14" t="str">
        <f t="shared" si="60"/>
        <v>Stable</v>
      </c>
    </row>
    <row r="95" spans="1:49" ht="39" hidden="1" customHeight="1" thickBot="1">
      <c r="A95" s="104" t="s">
        <v>30</v>
      </c>
      <c r="B95" s="105" t="s">
        <v>482</v>
      </c>
      <c r="C95" s="105" t="s">
        <v>479</v>
      </c>
      <c r="D95" s="15">
        <f t="shared" si="54"/>
        <v>45845</v>
      </c>
      <c r="E95" s="60">
        <f t="shared" si="55"/>
        <v>4320</v>
      </c>
      <c r="F95" s="61">
        <f t="shared" si="61"/>
        <v>10</v>
      </c>
      <c r="G95" s="62">
        <f>((E95-MAX(E$16:E95))/MAX(E$16:E95))</f>
        <v>-2.81214848143982E-2</v>
      </c>
      <c r="H95" s="16">
        <f t="shared" si="62"/>
        <v>2.3201856148491878E-3</v>
      </c>
      <c r="I95" s="153">
        <f>AVERAGE(E95:E101)</f>
        <v>4334.92</v>
      </c>
      <c r="K95" s="67">
        <f t="shared" si="72"/>
        <v>1.4084507042253521E-2</v>
      </c>
      <c r="L95" s="70">
        <f>(I95-I88)/I88</f>
        <v>4.61645422943223E-3</v>
      </c>
      <c r="M95" s="16" cm="1">
        <f t="array" ref="M95">_xlfn.STDEV.S(_xlfn._xlws.FILTER(F95:F101, ISNUMBER(F95:F101))) / I95</f>
        <v>5.1727487494582572E-3</v>
      </c>
      <c r="N95" s="16" t="str">
        <f>IF(M95 &lt; 0.02, "Low Volatility",
 IF(M95 &gt; 0.1, "High Volatility", "Medium Volatility"))</f>
        <v>Low Volatility</v>
      </c>
      <c r="O95" s="14" t="str">
        <f t="shared" si="56"/>
        <v>Stable</v>
      </c>
      <c r="P95" s="16">
        <f t="shared" si="53"/>
        <v>-1.0535959688502062E-2</v>
      </c>
      <c r="S95" s="58" t="s">
        <v>30</v>
      </c>
      <c r="T95" s="59"/>
      <c r="U95" s="60" t="s">
        <v>211</v>
      </c>
      <c r="V95" s="15">
        <f t="shared" si="57"/>
        <v>45845</v>
      </c>
      <c r="W95" s="60">
        <f t="shared" si="58"/>
        <v>47.61</v>
      </c>
      <c r="X95" s="61">
        <f t="shared" si="66"/>
        <v>-0.39000000000000057</v>
      </c>
      <c r="Y95" s="62">
        <f>((W95-MAX(W$16:W95))/MAX(W$16:W95))</f>
        <v>-8.1250000000000124E-3</v>
      </c>
      <c r="Z95" s="16">
        <f t="shared" si="67"/>
        <v>-8.1250000000000124E-3</v>
      </c>
      <c r="AA95" s="153">
        <f>AVERAGEIFS(W95:W101, W95:W101, "&gt;=0")</f>
        <v>48.24285714285714</v>
      </c>
      <c r="AC95" s="16">
        <f t="shared" si="73"/>
        <v>1.5788350757414169E-2</v>
      </c>
      <c r="AD95" s="66">
        <f>(AA95-AA88)/AA88</f>
        <v>1.6739928945625326E-2</v>
      </c>
      <c r="AE95" s="16" cm="1">
        <f t="array" ref="AE95">_xlfn.STDEV.S(_xlfn._xlws.FILTER(X95:X101, ISNUMBER(X95:X101))) / AA95</f>
        <v>7.5422888695827021E-3</v>
      </c>
      <c r="AF95" s="16" t="str">
        <f>IF(AE95 &lt; 0.02, "Low Volatility",
 IF(AE95 &gt; 0.1, "High Volatility", "Medium Volatility"))</f>
        <v>Low Volatility</v>
      </c>
      <c r="AG95" s="14" t="str">
        <f t="shared" si="63"/>
        <v>Strong Uptrend</v>
      </c>
      <c r="AI95" s="58" t="s">
        <v>30</v>
      </c>
      <c r="AJ95" s="63"/>
      <c r="AK95" s="64">
        <v>399800</v>
      </c>
      <c r="AL95" s="15">
        <f t="shared" si="64"/>
        <v>45845</v>
      </c>
      <c r="AM95" s="60">
        <f t="shared" si="59"/>
        <v>39.979999999999997</v>
      </c>
      <c r="AN95" s="61">
        <f t="shared" si="69"/>
        <v>0.28999999999999915</v>
      </c>
      <c r="AO95" s="62">
        <f>((AM95-MAX(AM$16:AM95))/MAX(AM$16:AM95))</f>
        <v>0</v>
      </c>
      <c r="AP95" s="16">
        <f t="shared" si="70"/>
        <v>7.3066263542453805E-3</v>
      </c>
      <c r="AQ95" s="154">
        <f>AVERAGE(AM95:AM101)</f>
        <v>40.045714285714283</v>
      </c>
      <c r="AS95" s="67">
        <f t="shared" si="74"/>
        <v>1.730279898218829E-2</v>
      </c>
      <c r="AT95" s="70">
        <f>(AQ95-AQ88)/AQ88</f>
        <v>9.3982931835367815E-3</v>
      </c>
      <c r="AU95" s="16" cm="1">
        <f t="array" ref="AU95">_xlfn.STDEV.S(_xlfn._xlws.FILTER(AN95:AN101, ISNUMBER(AN95:AN101))) / AQ95</f>
        <v>2.7732191481807428E-3</v>
      </c>
      <c r="AV95" s="16" t="str">
        <f>IF(AU95 &lt; 0.02, "Low Volatility",
 IF(AU95 &gt; 0.1, "High Volatility", "Medium Volatility"))</f>
        <v>Low Volatility</v>
      </c>
      <c r="AW95" s="14" t="str">
        <f t="shared" si="60"/>
        <v>Weak/Unconfirmed</v>
      </c>
    </row>
    <row r="96" spans="1:49" ht="26.25" hidden="1" thickBot="1">
      <c r="A96" s="104" t="s">
        <v>31</v>
      </c>
      <c r="B96" s="105" t="s">
        <v>479</v>
      </c>
      <c r="C96" s="105" t="s">
        <v>483</v>
      </c>
      <c r="D96" s="15">
        <f t="shared" si="54"/>
        <v>45846</v>
      </c>
      <c r="E96" s="60">
        <f t="shared" si="55"/>
        <v>4305</v>
      </c>
      <c r="F96" s="61">
        <f t="shared" si="61"/>
        <v>-15</v>
      </c>
      <c r="G96" s="62">
        <f>((E96-MAX(E$16:E96))/MAX(E$16:E96))</f>
        <v>-3.1496062992125984E-2</v>
      </c>
      <c r="H96" s="16">
        <f t="shared" si="62"/>
        <v>-3.472222222222222E-3</v>
      </c>
      <c r="I96" s="153"/>
      <c r="K96" s="67">
        <f t="shared" si="72"/>
        <v>-8.0645161290322578E-3</v>
      </c>
      <c r="L96" s="71">
        <f>L95</f>
        <v>4.61645422943223E-3</v>
      </c>
      <c r="M96" s="72"/>
      <c r="N96" s="16" t="str">
        <f t="shared" ref="N96:N101" si="78">N95</f>
        <v>Low Volatility</v>
      </c>
      <c r="O96" s="14" t="str">
        <f t="shared" si="56"/>
        <v>Stable</v>
      </c>
      <c r="P96" s="16">
        <f t="shared" si="53"/>
        <v>-1.3971598717361429E-2</v>
      </c>
      <c r="S96" s="58" t="s">
        <v>31</v>
      </c>
      <c r="T96" s="59"/>
      <c r="U96" s="60" t="s">
        <v>212</v>
      </c>
      <c r="V96" s="15">
        <f t="shared" si="57"/>
        <v>45846</v>
      </c>
      <c r="W96" s="60">
        <f t="shared" si="58"/>
        <v>48.01</v>
      </c>
      <c r="X96" s="61">
        <f t="shared" si="66"/>
        <v>0.39999999999999858</v>
      </c>
      <c r="Y96" s="62">
        <f>((W96-MAX(W$16:W96))/MAX(W$16:W96))</f>
        <v>0</v>
      </c>
      <c r="Z96" s="16">
        <f t="shared" si="67"/>
        <v>8.4015963032975961E-3</v>
      </c>
      <c r="AA96" s="153"/>
      <c r="AC96" s="16">
        <f t="shared" si="73"/>
        <v>2.8271578496466061E-2</v>
      </c>
      <c r="AD96" s="16">
        <f>AD95</f>
        <v>1.6739928945625326E-2</v>
      </c>
      <c r="AE96" s="16"/>
      <c r="AF96" s="16" t="str">
        <f t="shared" ref="AF96:AF101" si="79">AF95</f>
        <v>Low Volatility</v>
      </c>
      <c r="AG96" s="14" t="str">
        <f t="shared" si="63"/>
        <v>Strong Uptrend</v>
      </c>
      <c r="AI96" s="58" t="s">
        <v>31</v>
      </c>
      <c r="AJ96" s="63"/>
      <c r="AK96" s="64">
        <v>400600</v>
      </c>
      <c r="AL96" s="15">
        <f t="shared" si="64"/>
        <v>45846</v>
      </c>
      <c r="AM96" s="60">
        <f t="shared" si="59"/>
        <v>40.06</v>
      </c>
      <c r="AN96" s="61">
        <f t="shared" si="69"/>
        <v>8.00000000000054E-2</v>
      </c>
      <c r="AO96" s="62">
        <f>((AM96-MAX(AM$16:AM96))/MAX(AM$16:AM96))</f>
        <v>0</v>
      </c>
      <c r="AP96" s="16">
        <f t="shared" si="70"/>
        <v>2.0010005002502602E-3</v>
      </c>
      <c r="AQ96" s="154"/>
      <c r="AS96" s="67">
        <f t="shared" si="74"/>
        <v>5.7745418026614106E-3</v>
      </c>
      <c r="AT96" s="71">
        <f>AT95</f>
        <v>9.3982931835367815E-3</v>
      </c>
      <c r="AU96" s="16"/>
      <c r="AV96" s="16" t="str">
        <f t="shared" ref="AV96:AV101" si="80">AV95</f>
        <v>Low Volatility</v>
      </c>
      <c r="AW96" s="14" t="str">
        <f t="shared" si="60"/>
        <v>Weak/Unconfirmed</v>
      </c>
    </row>
    <row r="97" spans="1:49" ht="26.25" hidden="1" thickBot="1">
      <c r="A97" s="104" t="s">
        <v>32</v>
      </c>
      <c r="B97" s="105" t="s">
        <v>483</v>
      </c>
      <c r="C97" s="105" t="s">
        <v>484</v>
      </c>
      <c r="D97" s="15">
        <f t="shared" si="54"/>
        <v>45847</v>
      </c>
      <c r="E97" s="60">
        <f t="shared" si="55"/>
        <v>4330</v>
      </c>
      <c r="F97" s="61">
        <f t="shared" si="61"/>
        <v>25</v>
      </c>
      <c r="G97" s="62">
        <f>((E97-MAX(E$16:E97))/MAX(E$16:E97))</f>
        <v>-2.5871766029246346E-2</v>
      </c>
      <c r="H97" s="16">
        <f t="shared" si="62"/>
        <v>5.8072009291521487E-3</v>
      </c>
      <c r="I97" s="153"/>
      <c r="K97" s="67">
        <f t="shared" si="72"/>
        <v>-2.304147465437788E-3</v>
      </c>
      <c r="L97" s="71">
        <f>L95</f>
        <v>4.61645422943223E-3</v>
      </c>
      <c r="M97" s="72"/>
      <c r="N97" s="16" t="str">
        <f t="shared" si="78"/>
        <v>Low Volatility</v>
      </c>
      <c r="O97" s="14" t="str">
        <f t="shared" si="56"/>
        <v>Stable</v>
      </c>
      <c r="P97" s="16">
        <f t="shared" si="53"/>
        <v>1.1682242990654205E-2</v>
      </c>
      <c r="S97" s="58" t="s">
        <v>32</v>
      </c>
      <c r="T97" s="59"/>
      <c r="U97" s="60" t="s">
        <v>213</v>
      </c>
      <c r="V97" s="15">
        <f t="shared" si="57"/>
        <v>45847</v>
      </c>
      <c r="W97" s="60">
        <f t="shared" si="58"/>
        <v>47.75</v>
      </c>
      <c r="X97" s="61">
        <f t="shared" si="66"/>
        <v>-0.25999999999999801</v>
      </c>
      <c r="Y97" s="62">
        <f>((W97-MAX(W$16:W97))/MAX(W$16:W97))</f>
        <v>-5.4155384294938139E-3</v>
      </c>
      <c r="Z97" s="16">
        <f t="shared" si="67"/>
        <v>-5.4155384294938139E-3</v>
      </c>
      <c r="AA97" s="153"/>
      <c r="AC97" s="16">
        <f t="shared" si="73"/>
        <v>2.1390374331550801E-2</v>
      </c>
      <c r="AD97" s="16">
        <f>AD95</f>
        <v>1.6739928945625326E-2</v>
      </c>
      <c r="AE97" s="16"/>
      <c r="AF97" s="16" t="str">
        <f t="shared" si="79"/>
        <v>Low Volatility</v>
      </c>
      <c r="AG97" s="14" t="str">
        <f t="shared" si="63"/>
        <v>Strong Uptrend</v>
      </c>
      <c r="AI97" s="58" t="s">
        <v>32</v>
      </c>
      <c r="AJ97" s="63"/>
      <c r="AK97" s="64">
        <v>400800</v>
      </c>
      <c r="AL97" s="15">
        <f t="shared" si="64"/>
        <v>45847</v>
      </c>
      <c r="AM97" s="60">
        <f t="shared" si="59"/>
        <v>40.08</v>
      </c>
      <c r="AN97" s="61">
        <f t="shared" si="69"/>
        <v>1.9999999999996021E-2</v>
      </c>
      <c r="AO97" s="62">
        <f>((AM97-MAX(AM$16:AM97))/MAX(AM$16:AM97))</f>
        <v>0</v>
      </c>
      <c r="AP97" s="16">
        <f t="shared" si="70"/>
        <v>4.9925112331492807E-4</v>
      </c>
      <c r="AQ97" s="154"/>
      <c r="AS97" s="67">
        <f t="shared" si="74"/>
        <v>7.0351758793970138E-3</v>
      </c>
      <c r="AT97" s="71">
        <f>AT95</f>
        <v>9.3982931835367815E-3</v>
      </c>
      <c r="AU97" s="16"/>
      <c r="AV97" s="16" t="str">
        <f t="shared" si="80"/>
        <v>Low Volatility</v>
      </c>
      <c r="AW97" s="14" t="str">
        <f t="shared" si="60"/>
        <v>Weak/Unconfirmed</v>
      </c>
    </row>
    <row r="98" spans="1:49" ht="39" hidden="1" thickBot="1">
      <c r="A98" s="104" t="s">
        <v>33</v>
      </c>
      <c r="B98" s="105" t="s">
        <v>484</v>
      </c>
      <c r="C98" s="105" t="s">
        <v>484</v>
      </c>
      <c r="D98" s="15">
        <f t="shared" si="54"/>
        <v>45848</v>
      </c>
      <c r="E98" s="60">
        <f t="shared" si="55"/>
        <v>4330</v>
      </c>
      <c r="F98" s="61">
        <f t="shared" si="61"/>
        <v>0</v>
      </c>
      <c r="G98" s="62">
        <f>((E98-MAX(E$16:E98))/MAX(E$16:E98))</f>
        <v>-2.5871766029246346E-2</v>
      </c>
      <c r="H98" s="16">
        <f t="shared" si="62"/>
        <v>0</v>
      </c>
      <c r="I98" s="153"/>
      <c r="K98" s="67">
        <f t="shared" si="72"/>
        <v>-1.1534025374855825E-3</v>
      </c>
      <c r="L98" s="71">
        <f>L95</f>
        <v>4.61645422943223E-3</v>
      </c>
      <c r="M98" s="72"/>
      <c r="N98" s="16" t="str">
        <f t="shared" si="78"/>
        <v>Low Volatility</v>
      </c>
      <c r="O98" s="14" t="str">
        <f t="shared" si="56"/>
        <v>Stable</v>
      </c>
      <c r="P98" s="16">
        <f t="shared" si="53"/>
        <v>1.1209715086408221E-2</v>
      </c>
      <c r="S98" s="58" t="s">
        <v>33</v>
      </c>
      <c r="T98" s="59"/>
      <c r="U98" s="60" t="s">
        <v>214</v>
      </c>
      <c r="V98" s="15">
        <f t="shared" si="57"/>
        <v>45848</v>
      </c>
      <c r="W98" s="60">
        <f t="shared" si="58"/>
        <v>48.13</v>
      </c>
      <c r="X98" s="61">
        <f t="shared" si="66"/>
        <v>0.38000000000000256</v>
      </c>
      <c r="Y98" s="62">
        <f>((W98-MAX(W$16:W98))/MAX(W$16:W98))</f>
        <v>0</v>
      </c>
      <c r="Z98" s="16">
        <f t="shared" si="67"/>
        <v>7.9581151832461266E-3</v>
      </c>
      <c r="AA98" s="153"/>
      <c r="AC98" s="16">
        <f t="shared" si="73"/>
        <v>5.8516196447231167E-3</v>
      </c>
      <c r="AD98" s="16">
        <f>AD95</f>
        <v>1.6739928945625326E-2</v>
      </c>
      <c r="AE98" s="16"/>
      <c r="AF98" s="16" t="str">
        <f t="shared" si="79"/>
        <v>Low Volatility</v>
      </c>
      <c r="AG98" s="14" t="str">
        <f t="shared" si="63"/>
        <v>Weak/Unconfirmed</v>
      </c>
      <c r="AI98" s="58" t="s">
        <v>33</v>
      </c>
      <c r="AJ98" s="63"/>
      <c r="AK98" s="64">
        <v>400700</v>
      </c>
      <c r="AL98" s="15">
        <f t="shared" si="64"/>
        <v>45848</v>
      </c>
      <c r="AM98" s="60">
        <f t="shared" si="59"/>
        <v>40.07</v>
      </c>
      <c r="AN98" s="61">
        <f t="shared" si="69"/>
        <v>-9.9999999999980105E-3</v>
      </c>
      <c r="AO98" s="62">
        <f>((AM98-MAX(AM$16:AM98))/MAX(AM$16:AM98))</f>
        <v>-2.4950099800394239E-4</v>
      </c>
      <c r="AP98" s="16">
        <f t="shared" si="70"/>
        <v>-2.4950099800394239E-4</v>
      </c>
      <c r="AQ98" s="154"/>
      <c r="AS98" s="67">
        <f t="shared" si="74"/>
        <v>8.3039758429793234E-3</v>
      </c>
      <c r="AT98" s="71">
        <f>AT95</f>
        <v>9.3982931835367815E-3</v>
      </c>
      <c r="AU98" s="16"/>
      <c r="AV98" s="16" t="str">
        <f t="shared" si="80"/>
        <v>Low Volatility</v>
      </c>
      <c r="AW98" s="14" t="str">
        <f t="shared" si="60"/>
        <v>Weak/Unconfirmed</v>
      </c>
    </row>
    <row r="99" spans="1:49" ht="39" hidden="1" thickBot="1">
      <c r="A99" s="104" t="s">
        <v>34</v>
      </c>
      <c r="B99" s="105" t="s">
        <v>484</v>
      </c>
      <c r="C99" s="105" t="s">
        <v>443</v>
      </c>
      <c r="D99" s="15">
        <f t="shared" si="54"/>
        <v>45849</v>
      </c>
      <c r="E99" s="60">
        <f t="shared" si="55"/>
        <v>4370</v>
      </c>
      <c r="F99" s="61">
        <f t="shared" si="61"/>
        <v>40</v>
      </c>
      <c r="G99" s="62">
        <f>((E99-MAX(E$16:E99))/MAX(E$16:E99))</f>
        <v>-1.6872890888638921E-2</v>
      </c>
      <c r="H99" s="16">
        <f t="shared" si="62"/>
        <v>9.2378752886836026E-3</v>
      </c>
      <c r="I99" s="153"/>
      <c r="K99" s="67">
        <f t="shared" si="72"/>
        <v>1.3921113689095127E-2</v>
      </c>
      <c r="L99" s="71">
        <f>L95</f>
        <v>4.61645422943223E-3</v>
      </c>
      <c r="M99" s="72"/>
      <c r="N99" s="16" t="str">
        <f t="shared" si="78"/>
        <v>Low Volatility</v>
      </c>
      <c r="O99" s="14" t="str">
        <f t="shared" si="56"/>
        <v>Stable</v>
      </c>
      <c r="P99" s="16">
        <f t="shared" si="53"/>
        <v>1.145475372279496E-3</v>
      </c>
      <c r="S99" s="58" t="s">
        <v>34</v>
      </c>
      <c r="T99" s="59"/>
      <c r="U99" s="60" t="s">
        <v>215</v>
      </c>
      <c r="V99" s="15">
        <f t="shared" si="57"/>
        <v>45849</v>
      </c>
      <c r="W99" s="60">
        <f t="shared" si="58"/>
        <v>48.72</v>
      </c>
      <c r="X99" s="61">
        <f t="shared" si="66"/>
        <v>0.58999999999999631</v>
      </c>
      <c r="Y99" s="62">
        <f>((W99-MAX(W$16:W99))/MAX(W$16:W99))</f>
        <v>0</v>
      </c>
      <c r="Z99" s="16">
        <f t="shared" si="67"/>
        <v>1.2258466652815214E-2</v>
      </c>
      <c r="AA99" s="153"/>
      <c r="AC99" s="16">
        <f t="shared" si="73"/>
        <v>1.5211502396332503E-2</v>
      </c>
      <c r="AD99" s="16">
        <f>AD95</f>
        <v>1.6739928945625326E-2</v>
      </c>
      <c r="AE99" s="16"/>
      <c r="AF99" s="16" t="str">
        <f t="shared" si="79"/>
        <v>Low Volatility</v>
      </c>
      <c r="AG99" s="14" t="str">
        <f t="shared" si="63"/>
        <v>Strong Uptrend</v>
      </c>
      <c r="AI99" s="58" t="s">
        <v>34</v>
      </c>
      <c r="AJ99" s="63"/>
      <c r="AK99" s="64">
        <v>400500</v>
      </c>
      <c r="AL99" s="15">
        <f t="shared" si="64"/>
        <v>45849</v>
      </c>
      <c r="AM99" s="60">
        <f t="shared" si="59"/>
        <v>40.049999999999997</v>
      </c>
      <c r="AN99" s="61">
        <f t="shared" si="69"/>
        <v>-2.0000000000003126E-2</v>
      </c>
      <c r="AO99" s="62">
        <f>((AM99-MAX(AM$16:AM99))/MAX(AM$16:AM99))</f>
        <v>-7.4850299401200439E-4</v>
      </c>
      <c r="AP99" s="16">
        <f t="shared" si="70"/>
        <v>-4.9912652857507175E-4</v>
      </c>
      <c r="AQ99" s="154"/>
      <c r="AS99" s="67">
        <f t="shared" si="74"/>
        <v>9.8335854765506953E-3</v>
      </c>
      <c r="AT99" s="71">
        <f>AT95</f>
        <v>9.3982931835367815E-3</v>
      </c>
      <c r="AU99" s="16"/>
      <c r="AV99" s="16" t="str">
        <f t="shared" si="80"/>
        <v>Low Volatility</v>
      </c>
      <c r="AW99" s="14" t="str">
        <f t="shared" si="60"/>
        <v>Weak/Unconfirmed</v>
      </c>
    </row>
    <row r="100" spans="1:49" ht="39" hidden="1" thickBot="1">
      <c r="A100" s="104" t="s">
        <v>110</v>
      </c>
      <c r="B100" s="106" t="s">
        <v>484</v>
      </c>
      <c r="C100" s="106" t="s">
        <v>485</v>
      </c>
      <c r="D100" s="15">
        <f t="shared" si="54"/>
        <v>45850</v>
      </c>
      <c r="E100" s="60">
        <f t="shared" si="55"/>
        <v>4344.72</v>
      </c>
      <c r="F100" s="61">
        <f t="shared" si="61"/>
        <v>-25.279999999999745</v>
      </c>
      <c r="G100" s="62">
        <f>((E100-MAX(E$16:E100))/MAX(E$16:E100))</f>
        <v>-2.2560179977502755E-2</v>
      </c>
      <c r="H100" s="16">
        <f t="shared" si="62"/>
        <v>-5.7848970251715669E-3</v>
      </c>
      <c r="I100" s="153"/>
      <c r="K100" s="67">
        <f t="shared" si="72"/>
        <v>8.0556844547564396E-3</v>
      </c>
      <c r="L100" s="71">
        <f>L95</f>
        <v>4.61645422943223E-3</v>
      </c>
      <c r="M100" s="72"/>
      <c r="N100" s="16" t="str">
        <f t="shared" si="78"/>
        <v>Low Volatility</v>
      </c>
      <c r="O100" s="14" t="str">
        <f t="shared" si="56"/>
        <v>Stable</v>
      </c>
      <c r="P100" s="16">
        <f t="shared" si="53"/>
        <v>-2.2560179977502755E-2</v>
      </c>
      <c r="S100" s="58" t="s">
        <v>110</v>
      </c>
      <c r="T100" s="59"/>
      <c r="U100" s="60" t="s">
        <v>216</v>
      </c>
      <c r="V100" s="15">
        <f t="shared" si="57"/>
        <v>45850</v>
      </c>
      <c r="W100" s="60">
        <f t="shared" si="58"/>
        <v>48.74</v>
      </c>
      <c r="X100" s="61">
        <f t="shared" si="66"/>
        <v>2.0000000000003126E-2</v>
      </c>
      <c r="Y100" s="62">
        <f>((W100-MAX(W$16:W100))/MAX(W$16:W100))</f>
        <v>0</v>
      </c>
      <c r="Z100" s="16">
        <f t="shared" si="67"/>
        <v>4.1050903119875054E-4</v>
      </c>
      <c r="AA100" s="153"/>
      <c r="AC100" s="16">
        <f t="shared" si="73"/>
        <v>1.5628255886643051E-2</v>
      </c>
      <c r="AD100" s="16">
        <f>AD95</f>
        <v>1.6739928945625326E-2</v>
      </c>
      <c r="AE100" s="16"/>
      <c r="AF100" s="16" t="str">
        <f t="shared" si="79"/>
        <v>Low Volatility</v>
      </c>
      <c r="AG100" s="14" t="str">
        <f t="shared" si="63"/>
        <v>Strong Uptrend</v>
      </c>
      <c r="AI100" s="58" t="s">
        <v>110</v>
      </c>
      <c r="AJ100" s="63"/>
      <c r="AK100" s="64">
        <v>400400</v>
      </c>
      <c r="AL100" s="15">
        <f t="shared" si="64"/>
        <v>45850</v>
      </c>
      <c r="AM100" s="60">
        <f t="shared" si="59"/>
        <v>40.04</v>
      </c>
      <c r="AN100" s="61">
        <f t="shared" si="69"/>
        <v>-9.9999999999980105E-3</v>
      </c>
      <c r="AO100" s="62">
        <f>((AM100-MAX(AM$16:AM100))/MAX(AM$16:AM100))</f>
        <v>-9.9800399201594673E-4</v>
      </c>
      <c r="AP100" s="16">
        <f t="shared" si="70"/>
        <v>-2.4968789013727867E-4</v>
      </c>
      <c r="AQ100" s="154"/>
      <c r="AS100" s="67">
        <f t="shared" si="74"/>
        <v>8.8183421516755209E-3</v>
      </c>
      <c r="AT100" s="71">
        <f>AT95</f>
        <v>9.3982931835367815E-3</v>
      </c>
      <c r="AU100" s="16"/>
      <c r="AV100" s="16" t="str">
        <f t="shared" si="80"/>
        <v>Low Volatility</v>
      </c>
      <c r="AW100" s="14" t="str">
        <f t="shared" si="60"/>
        <v>Weak/Unconfirmed</v>
      </c>
    </row>
    <row r="101" spans="1:49" ht="15.75" hidden="1" thickBot="1">
      <c r="A101" s="107" t="s">
        <v>111</v>
      </c>
      <c r="B101" s="106" t="s">
        <v>484</v>
      </c>
      <c r="C101" s="106" t="s">
        <v>485</v>
      </c>
      <c r="D101" s="15">
        <f t="shared" si="54"/>
        <v>45851</v>
      </c>
      <c r="E101" s="60">
        <f t="shared" si="55"/>
        <v>4344.72</v>
      </c>
      <c r="F101" s="61">
        <f t="shared" si="61"/>
        <v>0</v>
      </c>
      <c r="G101" s="62">
        <f>((E101-MAX(E$16:E101))/MAX(E$16:E101))</f>
        <v>-2.2560179977502755E-2</v>
      </c>
      <c r="H101" s="16">
        <f t="shared" si="62"/>
        <v>0</v>
      </c>
      <c r="I101" s="153"/>
      <c r="K101" s="67">
        <f t="shared" si="72"/>
        <v>8.0556844547564396E-3</v>
      </c>
      <c r="L101" s="73">
        <f>L95</f>
        <v>4.61645422943223E-3</v>
      </c>
      <c r="M101" s="72"/>
      <c r="N101" s="16" t="str">
        <f t="shared" si="78"/>
        <v>Low Volatility</v>
      </c>
      <c r="O101" s="14" t="str">
        <f t="shared" si="56"/>
        <v>Stable</v>
      </c>
      <c r="P101" s="16">
        <f t="shared" si="53"/>
        <v>-2.2560179977502755E-2</v>
      </c>
      <c r="S101" s="58" t="s">
        <v>111</v>
      </c>
      <c r="T101" s="59"/>
      <c r="U101" s="60" t="s">
        <v>216</v>
      </c>
      <c r="V101" s="15">
        <f t="shared" si="57"/>
        <v>45851</v>
      </c>
      <c r="W101" s="60">
        <f t="shared" si="58"/>
        <v>48.74</v>
      </c>
      <c r="X101" s="61">
        <f t="shared" si="66"/>
        <v>0</v>
      </c>
      <c r="Y101" s="62">
        <f>((W101-MAX(W$16:W101))/MAX(W$16:W101))</f>
        <v>0</v>
      </c>
      <c r="Z101" s="16">
        <f t="shared" si="67"/>
        <v>0</v>
      </c>
      <c r="AA101" s="153"/>
      <c r="AC101" s="16">
        <f t="shared" ref="AC101:AC122" si="81">(W101-W94)/W94</f>
        <v>1.5416666666666709E-2</v>
      </c>
      <c r="AD101" s="16">
        <f>AD95</f>
        <v>1.6739928945625326E-2</v>
      </c>
      <c r="AE101" s="16"/>
      <c r="AF101" s="16" t="str">
        <f t="shared" si="79"/>
        <v>Low Volatility</v>
      </c>
      <c r="AG101" s="14" t="str">
        <f t="shared" si="63"/>
        <v>Strong Uptrend</v>
      </c>
      <c r="AI101" s="58" t="s">
        <v>111</v>
      </c>
      <c r="AJ101" s="63"/>
      <c r="AK101" s="64">
        <v>400400</v>
      </c>
      <c r="AL101" s="15">
        <f t="shared" si="64"/>
        <v>45851</v>
      </c>
      <c r="AM101" s="60">
        <f t="shared" si="59"/>
        <v>40.04</v>
      </c>
      <c r="AN101" s="61">
        <f>AM101-AM100</f>
        <v>0</v>
      </c>
      <c r="AO101" s="62">
        <f>((AM101-MAX(AM$16:AM101))/MAX(AM$16:AM101))</f>
        <v>-9.9800399201594673E-4</v>
      </c>
      <c r="AP101" s="16">
        <f>(AM101-AM100)/AM100</f>
        <v>0</v>
      </c>
      <c r="AQ101" s="154"/>
      <c r="AS101" s="67">
        <f t="shared" ref="AS101:AS107" si="82">(AM101-AM94)/AM94</f>
        <v>8.8183421516755209E-3</v>
      </c>
      <c r="AT101" s="73">
        <f>AT95</f>
        <v>9.3982931835367815E-3</v>
      </c>
      <c r="AU101" s="16"/>
      <c r="AV101" s="16" t="str">
        <f t="shared" si="80"/>
        <v>Low Volatility</v>
      </c>
      <c r="AW101" s="14" t="str">
        <f t="shared" si="60"/>
        <v>Weak/Unconfirmed</v>
      </c>
    </row>
    <row r="102" spans="1:49" ht="39" hidden="1" thickBot="1">
      <c r="A102" s="104" t="s">
        <v>35</v>
      </c>
      <c r="B102" s="105" t="s">
        <v>484</v>
      </c>
      <c r="C102" s="105" t="s">
        <v>481</v>
      </c>
      <c r="D102" s="15">
        <f t="shared" si="54"/>
        <v>45852</v>
      </c>
      <c r="E102" s="60">
        <f t="shared" si="55"/>
        <v>4340</v>
      </c>
      <c r="F102" s="61">
        <f t="shared" si="61"/>
        <v>-4.7200000000002547</v>
      </c>
      <c r="G102" s="62">
        <f>((E102-MAX(E$16:E102))/MAX(E$16:E102))</f>
        <v>-2.3622047244094488E-2</v>
      </c>
      <c r="H102" s="16">
        <f t="shared" si="62"/>
        <v>-1.0863761070909644E-3</v>
      </c>
      <c r="I102" s="153">
        <f>AVERAGEIFS(E102:E108, E102:E108, "&gt;=0")</f>
        <v>4372.8571428571431</v>
      </c>
      <c r="K102" s="67">
        <f t="shared" si="72"/>
        <v>4.6296296296296294E-3</v>
      </c>
      <c r="L102" s="69">
        <f>(I102-I95)/I95</f>
        <v>8.75152087169845E-3</v>
      </c>
      <c r="M102" s="16" cm="1">
        <f t="array" ref="M102">_xlfn.STDEV.S(_xlfn._xlws.FILTER(F102:F108, ISNUMBER(F102:F108))) / I102</f>
        <v>5.9160068975765224E-3</v>
      </c>
      <c r="N102" s="16" t="str">
        <f>IF(M102 &lt; 0.02, "Low Volatility",
 IF(M102 &gt; 0.1, "High Volatility", "Medium Volatility"))</f>
        <v>Low Volatility</v>
      </c>
      <c r="O102" s="14" t="str">
        <f t="shared" ref="O102:O129" si="83">IF(AND(K102 &gt; 0.01, L102 &gt; 0.01), "Strong Uptrend",
 IF(AND(K102 &lt; -0.01, L102 &lt; -0.01), "Strong Downtrend",
 IF(ABS(L102) &lt; 0.005, "Stable", "Weak/Unconfirmed")))</f>
        <v>Weak/Unconfirmed</v>
      </c>
      <c r="P102" s="16">
        <f t="shared" si="53"/>
        <v>-2.3622047244094488E-2</v>
      </c>
      <c r="S102" s="58" t="s">
        <v>35</v>
      </c>
      <c r="T102" s="59"/>
      <c r="U102" s="60" t="s">
        <v>217</v>
      </c>
      <c r="V102" s="15">
        <f t="shared" si="57"/>
        <v>45852</v>
      </c>
      <c r="W102" s="60">
        <f t="shared" si="58"/>
        <v>49.12</v>
      </c>
      <c r="X102" s="61">
        <f t="shared" si="66"/>
        <v>0.37999999999999545</v>
      </c>
      <c r="Y102" s="62">
        <f>((W102-MAX(W$16:W102))/MAX(W$16:W102))</f>
        <v>0</v>
      </c>
      <c r="Z102" s="16">
        <f t="shared" si="67"/>
        <v>7.7964710709888269E-3</v>
      </c>
      <c r="AA102" s="153">
        <f>AVERAGEIFS(W102:W108, W102:W108, "&gt;=0")</f>
        <v>49.612857142857138</v>
      </c>
      <c r="AC102" s="16">
        <f t="shared" si="81"/>
        <v>3.1716026044948498E-2</v>
      </c>
      <c r="AD102" s="66">
        <f>(AA102-AA95)/AA95</f>
        <v>2.8397986378442354E-2</v>
      </c>
      <c r="AE102" s="16" cm="1">
        <f t="array" ref="AE102">_xlfn.STDEV.S(_xlfn._xlws.FILTER(X102:X108, ISNUMBER(X102:X108))) / AA102</f>
        <v>5.166217750234325E-3</v>
      </c>
      <c r="AF102" s="16" t="str">
        <f>IF(AE102 &lt; 0.02, "Low Volatility",
 IF(AE102 &gt; 0.1, "High Volatility", "Medium Volatility"))</f>
        <v>Low Volatility</v>
      </c>
      <c r="AG102" s="14" t="str">
        <f t="shared" si="63"/>
        <v>Strong Uptrend</v>
      </c>
      <c r="AI102" s="58" t="s">
        <v>35</v>
      </c>
      <c r="AJ102" s="63"/>
      <c r="AK102" s="64">
        <v>401100</v>
      </c>
      <c r="AL102" s="15">
        <f t="shared" si="64"/>
        <v>45852</v>
      </c>
      <c r="AM102" s="60">
        <f t="shared" si="59"/>
        <v>40.11</v>
      </c>
      <c r="AN102" s="61">
        <f t="shared" si="69"/>
        <v>7.0000000000000284E-2</v>
      </c>
      <c r="AO102" s="62">
        <f>((AM102-MAX(AM$16:AM102))/MAX(AM$16:AM102))</f>
        <v>0</v>
      </c>
      <c r="AP102" s="16">
        <f t="shared" si="70"/>
        <v>1.7482517482517554E-3</v>
      </c>
      <c r="AQ102" s="153">
        <f>AVERAGEIFS(AM102:AM108, AM102:AM108, "&gt;=0")</f>
        <v>40.272857142857148</v>
      </c>
      <c r="AS102" s="67">
        <f t="shared" si="82"/>
        <v>3.2516258129065174E-3</v>
      </c>
      <c r="AT102" s="69">
        <f>(AQ102-AQ95)/AQ95</f>
        <v>5.6720890410961056E-3</v>
      </c>
      <c r="AU102" s="16" cm="1">
        <f t="array" ref="AU102">_xlfn.STDEV.S(_xlfn._xlws.FILTER(AN102:AN108, ISNUMBER(AN102:AN108))) / AQ102</f>
        <v>2.16332649667375E-3</v>
      </c>
      <c r="AV102" s="16" t="str">
        <f>IF(AU102 &lt; 0.02, "Low Volatility",
 IF(AU102 &gt; 0.1, "High Volatility", "Medium Volatility"))</f>
        <v>Low Volatility</v>
      </c>
      <c r="AW102" s="14" t="str">
        <f t="shared" si="60"/>
        <v>Weak/Unconfirmed</v>
      </c>
    </row>
    <row r="103" spans="1:49" ht="39" hidden="1" thickBot="1">
      <c r="A103" s="104" t="s">
        <v>36</v>
      </c>
      <c r="B103" s="105" t="s">
        <v>481</v>
      </c>
      <c r="C103" s="105" t="s">
        <v>486</v>
      </c>
      <c r="D103" s="15">
        <f t="shared" si="54"/>
        <v>45853</v>
      </c>
      <c r="E103" s="60">
        <f t="shared" si="55"/>
        <v>4350</v>
      </c>
      <c r="F103" s="61">
        <f t="shared" si="61"/>
        <v>10</v>
      </c>
      <c r="G103" s="62">
        <f>((E103-MAX(E$16:E103))/MAX(E$16:E103))</f>
        <v>-2.1372328458942633E-2</v>
      </c>
      <c r="H103" s="16">
        <f t="shared" si="62"/>
        <v>2.304147465437788E-3</v>
      </c>
      <c r="I103" s="153"/>
      <c r="K103" s="67">
        <f t="shared" si="72"/>
        <v>1.0452961672473868E-2</v>
      </c>
      <c r="L103" s="16">
        <f>L102</f>
        <v>8.75152087169845E-3</v>
      </c>
      <c r="M103" s="16"/>
      <c r="N103" s="16" t="str">
        <f t="shared" ref="N103:N108" si="84">N102</f>
        <v>Low Volatility</v>
      </c>
      <c r="O103" s="14" t="str">
        <f t="shared" si="83"/>
        <v>Weak/Unconfirmed</v>
      </c>
      <c r="P103" s="16">
        <f t="shared" si="53"/>
        <v>-1.2037247331364978E-2</v>
      </c>
      <c r="S103" s="58" t="s">
        <v>36</v>
      </c>
      <c r="T103" s="59"/>
      <c r="U103" s="60" t="s">
        <v>218</v>
      </c>
      <c r="V103" s="15">
        <f t="shared" si="57"/>
        <v>45853</v>
      </c>
      <c r="W103" s="60">
        <f t="shared" si="58"/>
        <v>49.17</v>
      </c>
      <c r="X103" s="61">
        <f t="shared" si="66"/>
        <v>5.0000000000004263E-2</v>
      </c>
      <c r="Y103" s="62">
        <f>((W103-MAX(W$16:W103))/MAX(W$16:W103))</f>
        <v>0</v>
      </c>
      <c r="Z103" s="16">
        <f t="shared" si="67"/>
        <v>1.0179153094463408E-3</v>
      </c>
      <c r="AA103" s="153"/>
      <c r="AC103" s="16">
        <f t="shared" si="81"/>
        <v>2.416163299312651E-2</v>
      </c>
      <c r="AD103" s="16">
        <f>AD102</f>
        <v>2.8397986378442354E-2</v>
      </c>
      <c r="AE103" s="16">
        <f>AE102</f>
        <v>5.166217750234325E-3</v>
      </c>
      <c r="AF103" s="16" t="str">
        <f t="shared" ref="AF103:AF115" si="85">AF102</f>
        <v>Low Volatility</v>
      </c>
      <c r="AG103" s="14" t="str">
        <f t="shared" si="63"/>
        <v>Strong Uptrend</v>
      </c>
      <c r="AI103" s="58" t="s">
        <v>36</v>
      </c>
      <c r="AJ103" s="63"/>
      <c r="AK103" s="64">
        <v>400600</v>
      </c>
      <c r="AL103" s="15">
        <f t="shared" si="64"/>
        <v>45853</v>
      </c>
      <c r="AM103" s="60">
        <f t="shared" si="59"/>
        <v>40.06</v>
      </c>
      <c r="AN103" s="61">
        <f t="shared" si="69"/>
        <v>-4.9999999999997158E-2</v>
      </c>
      <c r="AO103" s="62">
        <f>((AM103-MAX(AM$16:AM103))/MAX(AM$16:AM103))</f>
        <v>-1.2465719272001287E-3</v>
      </c>
      <c r="AP103" s="16">
        <f t="shared" si="70"/>
        <v>-1.2465719272001287E-3</v>
      </c>
      <c r="AQ103" s="153"/>
      <c r="AS103" s="67">
        <f t="shared" si="82"/>
        <v>0</v>
      </c>
      <c r="AT103" s="16">
        <f>AT102</f>
        <v>5.6720890410961056E-3</v>
      </c>
      <c r="AU103" s="16">
        <f>AU102</f>
        <v>2.16332649667375E-3</v>
      </c>
      <c r="AV103" s="16" t="str">
        <f t="shared" ref="AV103:AV115" si="86">AV102</f>
        <v>Low Volatility</v>
      </c>
      <c r="AW103" s="14" t="str">
        <f t="shared" si="60"/>
        <v>Weak/Unconfirmed</v>
      </c>
    </row>
    <row r="104" spans="1:49" ht="39" hidden="1" thickBot="1">
      <c r="A104" s="104" t="s">
        <v>37</v>
      </c>
      <c r="B104" s="105" t="s">
        <v>486</v>
      </c>
      <c r="C104" s="105" t="s">
        <v>477</v>
      </c>
      <c r="D104" s="15">
        <f t="shared" si="54"/>
        <v>45854</v>
      </c>
      <c r="E104" s="60">
        <f t="shared" si="55"/>
        <v>4400</v>
      </c>
      <c r="F104" s="61">
        <f t="shared" si="61"/>
        <v>50</v>
      </c>
      <c r="G104" s="62">
        <f>((E104-MAX(E$16:E104))/MAX(E$16:E104))</f>
        <v>-1.0123734533183352E-2</v>
      </c>
      <c r="H104" s="16">
        <f t="shared" si="62"/>
        <v>1.1494252873563218E-2</v>
      </c>
      <c r="I104" s="153"/>
      <c r="K104" s="67">
        <f t="shared" si="72"/>
        <v>1.6166281755196306E-2</v>
      </c>
      <c r="L104" s="16">
        <f>L102</f>
        <v>8.75152087169845E-3</v>
      </c>
      <c r="M104" s="16"/>
      <c r="N104" s="16" t="str">
        <f t="shared" si="84"/>
        <v>Low Volatility</v>
      </c>
      <c r="O104" s="14" t="str">
        <f t="shared" si="83"/>
        <v>Weak/Unconfirmed</v>
      </c>
      <c r="P104" s="16">
        <f t="shared" si="53"/>
        <v>-2.2675736961451248E-3</v>
      </c>
      <c r="S104" s="58" t="s">
        <v>37</v>
      </c>
      <c r="T104" s="59"/>
      <c r="U104" s="60" t="s">
        <v>219</v>
      </c>
      <c r="V104" s="15">
        <f t="shared" si="57"/>
        <v>45854</v>
      </c>
      <c r="W104" s="60">
        <f t="shared" si="58"/>
        <v>49.32</v>
      </c>
      <c r="X104" s="61">
        <f t="shared" si="66"/>
        <v>0.14999999999999858</v>
      </c>
      <c r="Y104" s="62">
        <f>((W104-MAX(W$16:W104))/MAX(W$16:W104))</f>
        <v>0</v>
      </c>
      <c r="Z104" s="16">
        <f t="shared" si="67"/>
        <v>3.0506406345332231E-3</v>
      </c>
      <c r="AA104" s="153"/>
      <c r="AC104" s="16">
        <f t="shared" si="81"/>
        <v>3.2879581151832468E-2</v>
      </c>
      <c r="AD104" s="16">
        <f>AD102</f>
        <v>2.8397986378442354E-2</v>
      </c>
      <c r="AE104" s="16">
        <f t="shared" ref="AE104:AE109" si="87">AE103</f>
        <v>5.166217750234325E-3</v>
      </c>
      <c r="AF104" s="16" t="str">
        <f t="shared" si="85"/>
        <v>Low Volatility</v>
      </c>
      <c r="AG104" s="14" t="str">
        <f t="shared" si="63"/>
        <v>Strong Uptrend</v>
      </c>
      <c r="AI104" s="58" t="s">
        <v>37</v>
      </c>
      <c r="AJ104" s="74"/>
      <c r="AK104" s="75">
        <v>402800</v>
      </c>
      <c r="AL104" s="15">
        <f t="shared" si="64"/>
        <v>45854</v>
      </c>
      <c r="AM104" s="60">
        <f t="shared" si="59"/>
        <v>40.28</v>
      </c>
      <c r="AN104" s="61">
        <f t="shared" si="69"/>
        <v>0.21999999999999886</v>
      </c>
      <c r="AO104" s="62">
        <f>((AM104-MAX(AM$16:AM104))/MAX(AM$16:AM104))</f>
        <v>0</v>
      </c>
      <c r="AP104" s="16">
        <f t="shared" si="70"/>
        <v>5.491762356465273E-3</v>
      </c>
      <c r="AQ104" s="153"/>
      <c r="AS104" s="67">
        <f t="shared" si="82"/>
        <v>4.9900199600799115E-3</v>
      </c>
      <c r="AT104" s="16">
        <f>AT102</f>
        <v>5.6720890410961056E-3</v>
      </c>
      <c r="AU104" s="16">
        <f t="shared" ref="AU104:AU109" si="88">AU103</f>
        <v>2.16332649667375E-3</v>
      </c>
      <c r="AV104" s="16" t="str">
        <f t="shared" si="86"/>
        <v>Low Volatility</v>
      </c>
      <c r="AW104" s="14" t="str">
        <f t="shared" si="60"/>
        <v>Weak/Unconfirmed</v>
      </c>
    </row>
    <row r="105" spans="1:49" ht="39" hidden="1" thickBot="1">
      <c r="A105" s="104" t="s">
        <v>38</v>
      </c>
      <c r="B105" s="105" t="s">
        <v>477</v>
      </c>
      <c r="C105" s="105" t="s">
        <v>472</v>
      </c>
      <c r="D105" s="15">
        <f t="shared" si="54"/>
        <v>45855</v>
      </c>
      <c r="E105" s="60">
        <f t="shared" si="55"/>
        <v>4365</v>
      </c>
      <c r="F105" s="61">
        <f t="shared" si="61"/>
        <v>-35</v>
      </c>
      <c r="G105" s="62">
        <f>((E105-MAX(E$16:E105))/MAX(E$16:E105))</f>
        <v>-1.799775028121485E-2</v>
      </c>
      <c r="H105" s="16">
        <f t="shared" si="62"/>
        <v>-7.9545454545454537E-3</v>
      </c>
      <c r="I105" s="153"/>
      <c r="K105" s="67">
        <f t="shared" si="72"/>
        <v>8.0831408775981529E-3</v>
      </c>
      <c r="L105" s="16">
        <f>L102</f>
        <v>8.75152087169845E-3</v>
      </c>
      <c r="M105" s="16"/>
      <c r="N105" s="16" t="str">
        <f t="shared" si="84"/>
        <v>Low Volatility</v>
      </c>
      <c r="O105" s="14" t="str">
        <f t="shared" si="83"/>
        <v>Weak/Unconfirmed</v>
      </c>
      <c r="P105" s="16">
        <f t="shared" si="53"/>
        <v>-6.1475409836065573E-3</v>
      </c>
      <c r="S105" s="58" t="s">
        <v>38</v>
      </c>
      <c r="T105" s="59"/>
      <c r="U105" s="60" t="s">
        <v>220</v>
      </c>
      <c r="V105" s="15">
        <f t="shared" si="57"/>
        <v>45855</v>
      </c>
      <c r="W105" s="60">
        <f t="shared" si="58"/>
        <v>49.48</v>
      </c>
      <c r="X105" s="61">
        <f t="shared" si="66"/>
        <v>0.15999999999999659</v>
      </c>
      <c r="Y105" s="62">
        <f>((W105-MAX(W$16:W105))/MAX(W$16:W105))</f>
        <v>0</v>
      </c>
      <c r="Z105" s="16">
        <f t="shared" si="67"/>
        <v>3.244120032441131E-3</v>
      </c>
      <c r="AA105" s="153"/>
      <c r="AC105" s="16">
        <f t="shared" si="81"/>
        <v>2.8049033866611141E-2</v>
      </c>
      <c r="AD105" s="16">
        <f>AD102</f>
        <v>2.8397986378442354E-2</v>
      </c>
      <c r="AE105" s="16">
        <f t="shared" si="87"/>
        <v>5.166217750234325E-3</v>
      </c>
      <c r="AF105" s="16" t="str">
        <f t="shared" si="85"/>
        <v>Low Volatility</v>
      </c>
      <c r="AG105" s="14" t="str">
        <f t="shared" si="63"/>
        <v>Strong Uptrend</v>
      </c>
      <c r="AI105" s="58" t="s">
        <v>38</v>
      </c>
      <c r="AJ105" s="74">
        <v>402900</v>
      </c>
      <c r="AK105" s="75">
        <v>403500</v>
      </c>
      <c r="AL105" s="15">
        <f t="shared" si="64"/>
        <v>45855</v>
      </c>
      <c r="AM105" s="60">
        <f t="shared" si="59"/>
        <v>40.35</v>
      </c>
      <c r="AN105" s="61">
        <f t="shared" si="69"/>
        <v>7.0000000000000284E-2</v>
      </c>
      <c r="AO105" s="62">
        <f>((AM105-MAX(AM$16:AM105))/MAX(AM$16:AM105))</f>
        <v>0</v>
      </c>
      <c r="AP105" s="16">
        <f t="shared" si="70"/>
        <v>1.7378351539225493E-3</v>
      </c>
      <c r="AQ105" s="153"/>
      <c r="AS105" s="67">
        <f t="shared" si="82"/>
        <v>6.9877714000499414E-3</v>
      </c>
      <c r="AT105" s="16">
        <f>AT102</f>
        <v>5.6720890410961056E-3</v>
      </c>
      <c r="AU105" s="16">
        <f t="shared" si="88"/>
        <v>2.16332649667375E-3</v>
      </c>
      <c r="AV105" s="16" t="str">
        <f t="shared" si="86"/>
        <v>Low Volatility</v>
      </c>
      <c r="AW105" s="14" t="str">
        <f t="shared" si="60"/>
        <v>Weak/Unconfirmed</v>
      </c>
    </row>
    <row r="106" spans="1:49" ht="39" hidden="1" thickBot="1">
      <c r="A106" s="104" t="s">
        <v>39</v>
      </c>
      <c r="B106" s="105" t="s">
        <v>472</v>
      </c>
      <c r="C106" s="105" t="s">
        <v>487</v>
      </c>
      <c r="D106" s="15">
        <f t="shared" si="54"/>
        <v>45856</v>
      </c>
      <c r="E106" s="60">
        <f t="shared" si="55"/>
        <v>4385</v>
      </c>
      <c r="F106" s="61">
        <f t="shared" si="61"/>
        <v>20</v>
      </c>
      <c r="G106" s="62">
        <f>((E106-MAX(E$16:E106))/MAX(E$16:E106))</f>
        <v>-1.3498312710911136E-2</v>
      </c>
      <c r="H106" s="16">
        <f t="shared" si="62"/>
        <v>4.5819014891179842E-3</v>
      </c>
      <c r="I106" s="153"/>
      <c r="K106" s="67">
        <f t="shared" si="72"/>
        <v>3.4324942791762012E-3</v>
      </c>
      <c r="L106" s="16">
        <f>L102</f>
        <v>8.75152087169845E-3</v>
      </c>
      <c r="M106" s="16"/>
      <c r="N106" s="16" t="str">
        <f t="shared" si="84"/>
        <v>Low Volatility</v>
      </c>
      <c r="O106" s="14" t="str">
        <f t="shared" si="83"/>
        <v>Weak/Unconfirmed</v>
      </c>
      <c r="P106" s="16">
        <f t="shared" si="53"/>
        <v>-1.5938069216757742E-3</v>
      </c>
      <c r="S106" s="58" t="s">
        <v>39</v>
      </c>
      <c r="T106" s="59"/>
      <c r="U106" s="60" t="s">
        <v>221</v>
      </c>
      <c r="V106" s="15">
        <f t="shared" si="57"/>
        <v>45856</v>
      </c>
      <c r="W106" s="60">
        <f t="shared" si="58"/>
        <v>49.57</v>
      </c>
      <c r="X106" s="61">
        <f t="shared" si="66"/>
        <v>9.0000000000003411E-2</v>
      </c>
      <c r="Y106" s="62">
        <f>((W106-MAX(W$16:W106))/MAX(W$16:W106))</f>
        <v>0</v>
      </c>
      <c r="Z106" s="16">
        <f t="shared" si="67"/>
        <v>1.8189167340340222E-3</v>
      </c>
      <c r="AA106" s="153"/>
      <c r="AC106" s="16">
        <f t="shared" si="81"/>
        <v>1.7446633825944202E-2</v>
      </c>
      <c r="AD106" s="16">
        <f>AD102</f>
        <v>2.8397986378442354E-2</v>
      </c>
      <c r="AE106" s="16">
        <f t="shared" si="87"/>
        <v>5.166217750234325E-3</v>
      </c>
      <c r="AF106" s="16" t="str">
        <f t="shared" si="85"/>
        <v>Low Volatility</v>
      </c>
      <c r="AG106" s="14" t="str">
        <f t="shared" si="63"/>
        <v>Strong Uptrend</v>
      </c>
      <c r="AI106" s="58" t="s">
        <v>39</v>
      </c>
      <c r="AJ106" s="74">
        <v>403300</v>
      </c>
      <c r="AK106" s="75">
        <v>403700</v>
      </c>
      <c r="AL106" s="15">
        <f t="shared" si="64"/>
        <v>45856</v>
      </c>
      <c r="AM106" s="60">
        <f t="shared" si="59"/>
        <v>40.369999999999997</v>
      </c>
      <c r="AN106" s="61">
        <f t="shared" si="69"/>
        <v>1.9999999999996021E-2</v>
      </c>
      <c r="AO106" s="62">
        <f>((AM106-MAX(AM$16:AM106))/MAX(AM$16:AM106))</f>
        <v>0</v>
      </c>
      <c r="AP106" s="16">
        <f t="shared" si="70"/>
        <v>4.9566294919444907E-4</v>
      </c>
      <c r="AQ106" s="153"/>
      <c r="AS106" s="67">
        <f t="shared" si="82"/>
        <v>7.9900124843945153E-3</v>
      </c>
      <c r="AT106" s="16">
        <f>AT102</f>
        <v>5.6720890410961056E-3</v>
      </c>
      <c r="AU106" s="16">
        <f t="shared" si="88"/>
        <v>2.16332649667375E-3</v>
      </c>
      <c r="AV106" s="16" t="str">
        <f t="shared" si="86"/>
        <v>Low Volatility</v>
      </c>
      <c r="AW106" s="14" t="str">
        <f t="shared" si="60"/>
        <v>Weak/Unconfirmed</v>
      </c>
    </row>
    <row r="107" spans="1:49" ht="39" hidden="1" thickBot="1">
      <c r="A107" s="104" t="s">
        <v>112</v>
      </c>
      <c r="B107" s="106" t="s">
        <v>472</v>
      </c>
      <c r="C107" s="106" t="s">
        <v>487</v>
      </c>
      <c r="D107" s="15">
        <f t="shared" si="54"/>
        <v>45857</v>
      </c>
      <c r="E107" s="60">
        <f t="shared" si="55"/>
        <v>4385</v>
      </c>
      <c r="F107" s="61">
        <f t="shared" si="61"/>
        <v>0</v>
      </c>
      <c r="G107" s="62">
        <f>((E107-MAX(E$16:E107))/MAX(E$16:E107))</f>
        <v>-1.3498312710911136E-2</v>
      </c>
      <c r="H107" s="16">
        <f t="shared" si="62"/>
        <v>0</v>
      </c>
      <c r="I107" s="153"/>
      <c r="K107" s="67">
        <f t="shared" si="72"/>
        <v>9.2710232189875848E-3</v>
      </c>
      <c r="L107" s="16">
        <f>L102</f>
        <v>8.75152087169845E-3</v>
      </c>
      <c r="M107" s="16"/>
      <c r="N107" s="16" t="str">
        <f t="shared" si="84"/>
        <v>Low Volatility</v>
      </c>
      <c r="O107" s="14" t="str">
        <f t="shared" si="83"/>
        <v>Weak/Unconfirmed</v>
      </c>
      <c r="P107" s="16">
        <f t="shared" si="53"/>
        <v>-3.4090909090909089E-3</v>
      </c>
      <c r="S107" s="58" t="s">
        <v>112</v>
      </c>
      <c r="T107" s="76"/>
      <c r="U107" s="60" t="s">
        <v>222</v>
      </c>
      <c r="V107" s="15">
        <f t="shared" si="57"/>
        <v>45857</v>
      </c>
      <c r="W107" s="60">
        <f t="shared" si="58"/>
        <v>50.31</v>
      </c>
      <c r="X107" s="61">
        <f t="shared" si="66"/>
        <v>0.74000000000000199</v>
      </c>
      <c r="Y107" s="62">
        <f>((W107-MAX(W$16:W107))/MAX(W$16:W107))</f>
        <v>0</v>
      </c>
      <c r="Z107" s="16">
        <f t="shared" si="67"/>
        <v>1.492838410328832E-2</v>
      </c>
      <c r="AA107" s="153"/>
      <c r="AC107" s="16">
        <f t="shared" si="81"/>
        <v>3.2211735740664757E-2</v>
      </c>
      <c r="AD107" s="16">
        <f>AD102</f>
        <v>2.8397986378442354E-2</v>
      </c>
      <c r="AE107" s="16">
        <f t="shared" si="87"/>
        <v>5.166217750234325E-3</v>
      </c>
      <c r="AF107" s="16" t="str">
        <f t="shared" si="85"/>
        <v>Low Volatility</v>
      </c>
      <c r="AG107" s="14" t="str">
        <f t="shared" si="63"/>
        <v>Strong Uptrend</v>
      </c>
      <c r="AI107" s="58" t="s">
        <v>112</v>
      </c>
      <c r="AJ107" s="59"/>
      <c r="AK107" s="75">
        <v>403700</v>
      </c>
      <c r="AL107" s="15">
        <f t="shared" si="64"/>
        <v>45857</v>
      </c>
      <c r="AM107" s="60">
        <f t="shared" si="59"/>
        <v>40.369999999999997</v>
      </c>
      <c r="AN107" s="61">
        <f t="shared" si="69"/>
        <v>0</v>
      </c>
      <c r="AO107" s="62">
        <f>((AM107-MAX(AM$16:AM107))/MAX(AM$16:AM107))</f>
        <v>0</v>
      </c>
      <c r="AP107" s="16">
        <f t="shared" si="70"/>
        <v>0</v>
      </c>
      <c r="AQ107" s="153"/>
      <c r="AS107" s="67">
        <f t="shared" si="82"/>
        <v>8.2417582417581986E-3</v>
      </c>
      <c r="AT107" s="16">
        <f>AT102</f>
        <v>5.6720890410961056E-3</v>
      </c>
      <c r="AU107" s="16">
        <f t="shared" si="88"/>
        <v>2.16332649667375E-3</v>
      </c>
      <c r="AV107" s="16" t="str">
        <f t="shared" si="86"/>
        <v>Low Volatility</v>
      </c>
      <c r="AW107" s="14" t="str">
        <f t="shared" si="60"/>
        <v>Weak/Unconfirmed</v>
      </c>
    </row>
    <row r="108" spans="1:49" ht="15.75" hidden="1" thickBot="1">
      <c r="A108" s="107" t="s">
        <v>116</v>
      </c>
      <c r="B108" s="106" t="s">
        <v>472</v>
      </c>
      <c r="C108" s="106" t="s">
        <v>487</v>
      </c>
      <c r="D108" s="15">
        <f t="shared" si="54"/>
        <v>45858</v>
      </c>
      <c r="E108" s="60">
        <f t="shared" si="55"/>
        <v>4385</v>
      </c>
      <c r="F108" s="61">
        <f t="shared" ref="F108:F113" si="89">E108-E107</f>
        <v>0</v>
      </c>
      <c r="G108" s="62">
        <f>((E108-MAX(E$16:E108))/MAX(E$16:E108))</f>
        <v>-1.3498312710911136E-2</v>
      </c>
      <c r="H108" s="16">
        <f t="shared" si="62"/>
        <v>0</v>
      </c>
      <c r="I108" s="153"/>
      <c r="K108" s="68">
        <f t="shared" si="72"/>
        <v>9.2710232189875848E-3</v>
      </c>
      <c r="L108" s="16">
        <f>L102</f>
        <v>8.75152087169845E-3</v>
      </c>
      <c r="M108" s="16"/>
      <c r="N108" s="16" t="str">
        <f t="shared" si="84"/>
        <v>Low Volatility</v>
      </c>
      <c r="O108" s="14" t="str">
        <f t="shared" si="83"/>
        <v>Weak/Unconfirmed</v>
      </c>
      <c r="S108" s="58" t="s">
        <v>116</v>
      </c>
      <c r="T108" s="76"/>
      <c r="U108" s="60" t="s">
        <v>350</v>
      </c>
      <c r="V108" s="15">
        <f t="shared" si="57"/>
        <v>45858</v>
      </c>
      <c r="W108" s="60">
        <f t="shared" ref="W108:W171" si="90">VALUE(SUBSTITUTE(SUBSTITUTE(U108, ".", ""), ",", "."))</f>
        <v>50.32</v>
      </c>
      <c r="X108" s="61">
        <f t="shared" ref="X108:X171" si="91">W108-W107</f>
        <v>9.9999999999980105E-3</v>
      </c>
      <c r="Y108" s="62">
        <f>((W108-MAX(W$16:W108))/MAX(W$16:W108))</f>
        <v>0</v>
      </c>
      <c r="Z108" s="16">
        <f t="shared" ref="Z108:Z171" si="92">(W108-W107)/W107</f>
        <v>1.987676406280662E-4</v>
      </c>
      <c r="AA108" s="153"/>
      <c r="AC108" s="16">
        <f t="shared" si="81"/>
        <v>3.2416906032006532E-2</v>
      </c>
      <c r="AD108" s="16">
        <f>AD102</f>
        <v>2.8397986378442354E-2</v>
      </c>
      <c r="AE108" s="16">
        <f t="shared" si="87"/>
        <v>5.166217750234325E-3</v>
      </c>
      <c r="AF108" s="16" t="str">
        <f t="shared" si="85"/>
        <v>Low Volatility</v>
      </c>
      <c r="AG108" s="14" t="str">
        <f t="shared" si="63"/>
        <v>Strong Uptrend</v>
      </c>
      <c r="AI108" s="58" t="s">
        <v>116</v>
      </c>
      <c r="AJ108" s="59"/>
      <c r="AK108" s="75">
        <v>403700</v>
      </c>
      <c r="AL108" s="15">
        <f t="shared" si="64"/>
        <v>45858</v>
      </c>
      <c r="AM108" s="60">
        <f t="shared" ref="AM108:AM115" si="93">VALUE(SUBSTITUTE(SUBSTITUTE(AK108, ".", ""), ",", "."))/10000</f>
        <v>40.369999999999997</v>
      </c>
      <c r="AN108" s="61">
        <f t="shared" ref="AN108:AN115" si="94">AM108-AM107</f>
        <v>0</v>
      </c>
      <c r="AO108" s="62">
        <f>((AM108-MAX(AM$16:AM108))/MAX(AM$16:AM108))</f>
        <v>0</v>
      </c>
      <c r="AP108" s="16">
        <f t="shared" ref="AP108:AP115" si="95">(AM108-AM107)/AM107</f>
        <v>0</v>
      </c>
      <c r="AQ108" s="153"/>
      <c r="AS108" s="68">
        <f t="shared" ref="AS108:AS122" si="96">(AM108-AM101)/AM101</f>
        <v>8.2417582417581986E-3</v>
      </c>
      <c r="AT108" s="16">
        <f>AT102</f>
        <v>5.6720890410961056E-3</v>
      </c>
      <c r="AU108" s="16">
        <f t="shared" si="88"/>
        <v>2.16332649667375E-3</v>
      </c>
      <c r="AV108" s="16" t="str">
        <f t="shared" si="86"/>
        <v>Low Volatility</v>
      </c>
      <c r="AW108" s="14" t="str">
        <f t="shared" si="60"/>
        <v>Weak/Unconfirmed</v>
      </c>
    </row>
    <row r="109" spans="1:49" ht="45.75" hidden="1" customHeight="1" thickBot="1">
      <c r="A109" s="104" t="s">
        <v>117</v>
      </c>
      <c r="B109" s="105" t="s">
        <v>472</v>
      </c>
      <c r="C109" s="105" t="s">
        <v>488</v>
      </c>
      <c r="D109" s="15">
        <f t="shared" si="54"/>
        <v>45859</v>
      </c>
      <c r="E109" s="60">
        <f t="shared" si="55"/>
        <v>4425</v>
      </c>
      <c r="F109" s="61">
        <f t="shared" si="89"/>
        <v>40</v>
      </c>
      <c r="G109" s="62">
        <f>((E109-MAX(E$16:E109))/MAX(E$16:E109))</f>
        <v>-4.4994375703037125E-3</v>
      </c>
      <c r="H109" s="16">
        <f t="shared" si="62"/>
        <v>9.1220068415051314E-3</v>
      </c>
      <c r="I109" s="153">
        <f>AVERAGEIFS(E109:E115, E109:E115, "&gt;=0")</f>
        <v>4440.7142857142853</v>
      </c>
      <c r="K109" s="16">
        <f t="shared" si="72"/>
        <v>1.9585253456221197E-2</v>
      </c>
      <c r="L109" s="77">
        <f>(I109-I102)/I102</f>
        <v>1.5517804639006712E-2</v>
      </c>
      <c r="M109" s="16"/>
      <c r="N109" s="16" t="str">
        <f>IF(M109 &lt; 0.02, "Low Volatility",
 IF(M109 &gt; 0.1, "High Volatility", "Medium Volatility"))</f>
        <v>Low Volatility</v>
      </c>
      <c r="O109" s="14" t="str">
        <f t="shared" si="83"/>
        <v>Strong Uptrend</v>
      </c>
      <c r="S109" s="58" t="s">
        <v>117</v>
      </c>
      <c r="T109" s="76"/>
      <c r="U109" s="60" t="s">
        <v>1573</v>
      </c>
      <c r="V109" s="15">
        <f t="shared" si="57"/>
        <v>45859</v>
      </c>
      <c r="W109" s="60">
        <f t="shared" si="90"/>
        <v>50.33</v>
      </c>
      <c r="X109" s="61">
        <f t="shared" si="91"/>
        <v>9.9999999999980105E-3</v>
      </c>
      <c r="Y109" s="62">
        <f>((W109-MAX(W$16:W109))/MAX(W$16:W109))</f>
        <v>0</v>
      </c>
      <c r="Z109" s="16">
        <f t="shared" si="92"/>
        <v>1.9872813990457096E-4</v>
      </c>
      <c r="AA109" s="153">
        <f>AVERAGEIFS(W109:W115, W109:W115, "&gt;=0")</f>
        <v>51.012857142857129</v>
      </c>
      <c r="AC109" s="16">
        <f t="shared" si="81"/>
        <v>2.4633550488599366E-2</v>
      </c>
      <c r="AD109" s="66">
        <f>(AA109-AA102)/AA102</f>
        <v>2.8218491750410152E-2</v>
      </c>
      <c r="AE109" s="16">
        <f t="shared" si="87"/>
        <v>5.166217750234325E-3</v>
      </c>
      <c r="AF109" s="16" t="str">
        <f>IF(AE109 &lt; 0.02, "Low Volatility",
 IF(AE109 &gt; 0.1, "High Volatility", "Medium Volatility"))</f>
        <v>Low Volatility</v>
      </c>
      <c r="AG109" s="14" t="str">
        <f t="shared" si="63"/>
        <v>Strong Uptrend</v>
      </c>
      <c r="AI109" s="58" t="s">
        <v>117</v>
      </c>
      <c r="AJ109" s="59"/>
      <c r="AK109" s="75">
        <v>403700</v>
      </c>
      <c r="AL109" s="15">
        <f t="shared" si="64"/>
        <v>45859</v>
      </c>
      <c r="AM109" s="60">
        <f t="shared" si="93"/>
        <v>40.369999999999997</v>
      </c>
      <c r="AN109" s="61">
        <f t="shared" si="94"/>
        <v>0</v>
      </c>
      <c r="AO109" s="62">
        <f>((AM109-MAX(AM$16:AM109))/MAX(AM$16:AM109))</f>
        <v>0</v>
      </c>
      <c r="AP109" s="16">
        <f t="shared" si="95"/>
        <v>0</v>
      </c>
      <c r="AQ109" s="153">
        <f>AVERAGEIFS(AM109:AM115, AM109:AM115, "&gt;=0")</f>
        <v>40.449585714285718</v>
      </c>
      <c r="AS109" s="16">
        <f t="shared" si="96"/>
        <v>6.4821740214409873E-3</v>
      </c>
      <c r="AT109" s="77">
        <f>(AQ109-AQ102)/AQ102</f>
        <v>4.3882799475009173E-3</v>
      </c>
      <c r="AU109" s="16">
        <f t="shared" si="88"/>
        <v>2.16332649667375E-3</v>
      </c>
      <c r="AV109" s="16" t="str">
        <f>IF(AU109 &lt; 0.02, "Low Volatility",
 IF(AU109 &gt; 0.1, "High Volatility", "Medium Volatility"))</f>
        <v>Low Volatility</v>
      </c>
      <c r="AW109" s="14" t="str">
        <f t="shared" si="60"/>
        <v>Stable</v>
      </c>
    </row>
    <row r="110" spans="1:49" ht="39" hidden="1" thickBot="1">
      <c r="A110" s="104" t="s">
        <v>118</v>
      </c>
      <c r="B110" s="105" t="s">
        <v>488</v>
      </c>
      <c r="C110" s="105" t="s">
        <v>489</v>
      </c>
      <c r="D110" s="15">
        <f t="shared" si="54"/>
        <v>45860</v>
      </c>
      <c r="E110" s="60">
        <f t="shared" si="55"/>
        <v>4480</v>
      </c>
      <c r="F110" s="61">
        <f t="shared" si="89"/>
        <v>55</v>
      </c>
      <c r="G110" s="62">
        <f>((E110-MAX(E$16:E110))/MAX(E$16:E110))</f>
        <v>0</v>
      </c>
      <c r="H110" s="16">
        <f t="shared" si="62"/>
        <v>1.2429378531073447E-2</v>
      </c>
      <c r="I110" s="153"/>
      <c r="K110" s="16">
        <f t="shared" si="72"/>
        <v>2.9885057471264367E-2</v>
      </c>
      <c r="L110" s="77">
        <f t="shared" ref="L110:L115" si="97">L109</f>
        <v>1.5517804639006712E-2</v>
      </c>
      <c r="M110" s="16" cm="1">
        <f t="array" ref="M110">_xlfn.STDEV.S(_xlfn._xlws.FILTER(F109:F115, ISNUMBER(F109:F115))) / I109</f>
        <v>8.7388198809447669E-3</v>
      </c>
      <c r="N110" s="16" t="str">
        <f t="shared" ref="N110:N115" si="98">N109</f>
        <v>Low Volatility</v>
      </c>
      <c r="O110" s="14" t="str">
        <f t="shared" si="83"/>
        <v>Strong Uptrend</v>
      </c>
      <c r="S110" s="58" t="s">
        <v>118</v>
      </c>
      <c r="T110" s="76"/>
      <c r="U110" s="60" t="s">
        <v>1574</v>
      </c>
      <c r="V110" s="15">
        <f t="shared" si="57"/>
        <v>45860</v>
      </c>
      <c r="W110" s="60">
        <f t="shared" si="90"/>
        <v>50.34</v>
      </c>
      <c r="X110" s="61">
        <f t="shared" si="91"/>
        <v>1.0000000000005116E-2</v>
      </c>
      <c r="Y110" s="62">
        <f>((W110-MAX(W$16:W110))/MAX(W$16:W110))</f>
        <v>0</v>
      </c>
      <c r="Z110" s="16">
        <f t="shared" si="92"/>
        <v>1.9868865487790812E-4</v>
      </c>
      <c r="AA110" s="153"/>
      <c r="AC110" s="16">
        <f t="shared" si="81"/>
        <v>2.3794996949359399E-2</v>
      </c>
      <c r="AD110" s="16">
        <f>AD109</f>
        <v>2.8218491750410152E-2</v>
      </c>
      <c r="AE110" s="16" cm="1">
        <f t="array" ref="AE110">_xlfn.STDEV.S(_xlfn._xlws.FILTER(X109:X115, ISNUMBER(X109:X115))) / AA109</f>
        <v>1.1262553027831978E-2</v>
      </c>
      <c r="AF110" s="16" t="str">
        <f>IF(AE110 &lt; 0.02, "Low Volatility",
 IF(AE110 &gt; 0.1, "High Volatility", "Medium Volatility"))</f>
        <v>Low Volatility</v>
      </c>
      <c r="AG110" s="14" t="str">
        <f t="shared" si="63"/>
        <v>Strong Uptrend</v>
      </c>
      <c r="AI110" s="58" t="s">
        <v>118</v>
      </c>
      <c r="AJ110" s="59"/>
      <c r="AK110" s="75">
        <v>403700</v>
      </c>
      <c r="AL110" s="15">
        <f t="shared" si="64"/>
        <v>45860</v>
      </c>
      <c r="AM110" s="60">
        <f t="shared" si="93"/>
        <v>40.369999999999997</v>
      </c>
      <c r="AN110" s="61">
        <f t="shared" si="94"/>
        <v>0</v>
      </c>
      <c r="AO110" s="62">
        <f>((AM110-MAX(AM$16:AM110))/MAX(AM$16:AM110))</f>
        <v>0</v>
      </c>
      <c r="AP110" s="16">
        <f t="shared" si="95"/>
        <v>0</v>
      </c>
      <c r="AQ110" s="153"/>
      <c r="AS110" s="16">
        <f t="shared" si="96"/>
        <v>7.7383924113828047E-3</v>
      </c>
      <c r="AT110" s="77">
        <f>AT109</f>
        <v>4.3882799475009173E-3</v>
      </c>
      <c r="AU110" s="16" cm="1">
        <f t="array" ref="AU110">_xlfn.STDEV.S(_xlfn._xlws.FILTER(AN109:AN115, ISNUMBER(AN109:AN115))) / AQ109</f>
        <v>1.7351970705852381E-3</v>
      </c>
      <c r="AV110" s="16" t="str">
        <f t="shared" si="86"/>
        <v>Low Volatility</v>
      </c>
      <c r="AW110" s="14" t="str">
        <f t="shared" si="60"/>
        <v>Stable</v>
      </c>
    </row>
    <row r="111" spans="1:49" ht="39" hidden="1" thickBot="1">
      <c r="A111" s="104" t="s">
        <v>119</v>
      </c>
      <c r="B111" s="105" t="s">
        <v>489</v>
      </c>
      <c r="C111" s="105" t="s">
        <v>490</v>
      </c>
      <c r="D111" s="15">
        <f t="shared" si="54"/>
        <v>45861</v>
      </c>
      <c r="E111" s="60">
        <f t="shared" si="55"/>
        <v>4500</v>
      </c>
      <c r="F111" s="61">
        <f t="shared" si="89"/>
        <v>20</v>
      </c>
      <c r="G111" s="62">
        <f>((E111-MAX(E$16:E111))/MAX(E$16:E111))</f>
        <v>0</v>
      </c>
      <c r="H111" s="16">
        <f t="shared" si="62"/>
        <v>4.464285714285714E-3</v>
      </c>
      <c r="I111" s="153"/>
      <c r="K111" s="16">
        <f t="shared" si="72"/>
        <v>2.2727272727272728E-2</v>
      </c>
      <c r="L111" s="77">
        <f t="shared" si="97"/>
        <v>1.5517804639006712E-2</v>
      </c>
      <c r="M111" s="17">
        <f>M110</f>
        <v>8.7388198809447669E-3</v>
      </c>
      <c r="N111" s="16" t="str">
        <f t="shared" si="98"/>
        <v>Low Volatility</v>
      </c>
      <c r="O111" s="14" t="str">
        <f t="shared" si="83"/>
        <v>Strong Uptrend</v>
      </c>
      <c r="S111" s="58" t="s">
        <v>119</v>
      </c>
      <c r="T111" s="76"/>
      <c r="U111" s="60" t="s">
        <v>1575</v>
      </c>
      <c r="V111" s="15">
        <f t="shared" si="57"/>
        <v>45861</v>
      </c>
      <c r="W111" s="60">
        <f t="shared" si="90"/>
        <v>50.35</v>
      </c>
      <c r="X111" s="61">
        <f t="shared" si="91"/>
        <v>9.9999999999980105E-3</v>
      </c>
      <c r="Y111" s="62">
        <f>((W111-MAX(W$16:W111))/MAX(W$16:W111))</f>
        <v>0</v>
      </c>
      <c r="Z111" s="16">
        <f t="shared" si="92"/>
        <v>1.9864918553829975E-4</v>
      </c>
      <c r="AA111" s="153"/>
      <c r="AC111" s="16">
        <f t="shared" si="81"/>
        <v>2.0884022708840249E-2</v>
      </c>
      <c r="AD111" s="16">
        <f>AD109</f>
        <v>2.8218491750410152E-2</v>
      </c>
      <c r="AE111" s="16">
        <f>AE110</f>
        <v>1.1262553027831978E-2</v>
      </c>
      <c r="AF111" s="16" t="str">
        <f t="shared" si="85"/>
        <v>Low Volatility</v>
      </c>
      <c r="AG111" s="14" t="str">
        <f t="shared" si="63"/>
        <v>Strong Uptrend</v>
      </c>
      <c r="AI111" s="58" t="s">
        <v>119</v>
      </c>
      <c r="AJ111" s="59"/>
      <c r="AK111" s="75">
        <v>403700</v>
      </c>
      <c r="AL111" s="15">
        <f t="shared" si="64"/>
        <v>45861</v>
      </c>
      <c r="AM111" s="60">
        <f t="shared" si="93"/>
        <v>40.369999999999997</v>
      </c>
      <c r="AN111" s="61">
        <f t="shared" si="94"/>
        <v>0</v>
      </c>
      <c r="AO111" s="62">
        <f>((AM111-MAX(AM$16:AM111))/MAX(AM$16:AM111))</f>
        <v>0</v>
      </c>
      <c r="AP111" s="16">
        <f t="shared" si="95"/>
        <v>0</v>
      </c>
      <c r="AQ111" s="153"/>
      <c r="AS111" s="16">
        <f t="shared" si="96"/>
        <v>2.2343594836146054E-3</v>
      </c>
      <c r="AT111" s="77">
        <f t="shared" ref="AT111:AU115" si="99">AT110</f>
        <v>4.3882799475009173E-3</v>
      </c>
      <c r="AU111" s="16">
        <f>AU110</f>
        <v>1.7351970705852381E-3</v>
      </c>
      <c r="AV111" s="16" t="str">
        <f t="shared" si="86"/>
        <v>Low Volatility</v>
      </c>
      <c r="AW111" s="14" t="str">
        <f t="shared" si="60"/>
        <v>Stable</v>
      </c>
    </row>
    <row r="112" spans="1:49" ht="39" hidden="1" thickBot="1">
      <c r="A112" s="104" t="s">
        <v>120</v>
      </c>
      <c r="B112" s="105" t="s">
        <v>490</v>
      </c>
      <c r="C112" s="105" t="s">
        <v>491</v>
      </c>
      <c r="D112" s="15">
        <f t="shared" si="54"/>
        <v>45862</v>
      </c>
      <c r="E112" s="60">
        <f t="shared" si="55"/>
        <v>4450</v>
      </c>
      <c r="F112" s="61">
        <f t="shared" si="89"/>
        <v>-50</v>
      </c>
      <c r="G112" s="62">
        <f>((E112-MAX(E$16:E112))/MAX(E$16:E112))</f>
        <v>-1.1111111111111112E-2</v>
      </c>
      <c r="H112" s="16">
        <f t="shared" si="62"/>
        <v>-1.1111111111111112E-2</v>
      </c>
      <c r="I112" s="153"/>
      <c r="K112" s="16">
        <f t="shared" si="72"/>
        <v>1.9473081328751432E-2</v>
      </c>
      <c r="L112" s="77">
        <f t="shared" si="97"/>
        <v>1.5517804639006712E-2</v>
      </c>
      <c r="M112" s="17">
        <f>M111</f>
        <v>8.7388198809447669E-3</v>
      </c>
      <c r="N112" s="16" t="str">
        <f t="shared" si="98"/>
        <v>Low Volatility</v>
      </c>
      <c r="O112" s="14" t="str">
        <f t="shared" si="83"/>
        <v>Strong Uptrend</v>
      </c>
      <c r="S112" s="58" t="s">
        <v>120</v>
      </c>
      <c r="T112" s="76"/>
      <c r="U112" s="60" t="s">
        <v>1576</v>
      </c>
      <c r="V112" s="15">
        <f t="shared" si="57"/>
        <v>45862</v>
      </c>
      <c r="W112" s="60">
        <f t="shared" si="90"/>
        <v>50.36</v>
      </c>
      <c r="X112" s="61">
        <f t="shared" si="91"/>
        <v>9.9999999999980105E-3</v>
      </c>
      <c r="Y112" s="62">
        <f>((W112-MAX(W$16:W112))/MAX(W$16:W112))</f>
        <v>0</v>
      </c>
      <c r="Z112" s="16">
        <f t="shared" si="92"/>
        <v>1.9860973187682245E-4</v>
      </c>
      <c r="AA112" s="153"/>
      <c r="AC112" s="16">
        <f t="shared" si="81"/>
        <v>1.7784963621665373E-2</v>
      </c>
      <c r="AD112" s="16">
        <f>AD109</f>
        <v>2.8218491750410152E-2</v>
      </c>
      <c r="AE112" s="16">
        <f t="shared" ref="AE112:AE115" si="100">AE111</f>
        <v>1.1262553027831978E-2</v>
      </c>
      <c r="AF112" s="16" t="str">
        <f t="shared" si="85"/>
        <v>Low Volatility</v>
      </c>
      <c r="AG112" s="14" t="str">
        <f t="shared" si="63"/>
        <v>Strong Uptrend</v>
      </c>
      <c r="AI112" s="58" t="s">
        <v>120</v>
      </c>
      <c r="AJ112" s="59"/>
      <c r="AK112" s="75">
        <v>403700</v>
      </c>
      <c r="AL112" s="15">
        <f t="shared" si="64"/>
        <v>45862</v>
      </c>
      <c r="AM112" s="60">
        <f t="shared" si="93"/>
        <v>40.369999999999997</v>
      </c>
      <c r="AN112" s="61">
        <f t="shared" si="94"/>
        <v>0</v>
      </c>
      <c r="AO112" s="62">
        <f>((AM112-MAX(AM$16:AM112))/MAX(AM$16:AM112))</f>
        <v>0</v>
      </c>
      <c r="AP112" s="16">
        <f t="shared" si="95"/>
        <v>0</v>
      </c>
      <c r="AQ112" s="153"/>
      <c r="AS112" s="16">
        <f t="shared" si="96"/>
        <v>4.9566294919444907E-4</v>
      </c>
      <c r="AT112" s="77">
        <f t="shared" si="99"/>
        <v>4.3882799475009173E-3</v>
      </c>
      <c r="AU112" s="16">
        <f t="shared" si="99"/>
        <v>1.7351970705852381E-3</v>
      </c>
      <c r="AV112" s="16" t="str">
        <f t="shared" si="86"/>
        <v>Low Volatility</v>
      </c>
      <c r="AW112" s="14" t="str">
        <f t="shared" ref="AW112:AW122" si="101">IF(AND(AS112 &gt; 0.01, AT112 &gt; 0.01), "Strong Uptrend",
 IF(AND(AS112 &lt; -0.01, AT112 &lt; -0.01), "Strong Downtrend",
 IF(ABS(AT112) &lt; 0.005, "Stable", "Weak/Unconfirmed")))</f>
        <v>Stable</v>
      </c>
    </row>
    <row r="113" spans="1:49" ht="39" hidden="1" customHeight="1" thickBot="1">
      <c r="A113" s="104" t="s">
        <v>121</v>
      </c>
      <c r="B113" s="105" t="s">
        <v>491</v>
      </c>
      <c r="C113" s="105" t="s">
        <v>475</v>
      </c>
      <c r="D113" s="15">
        <f t="shared" si="54"/>
        <v>45863</v>
      </c>
      <c r="E113" s="60">
        <f t="shared" si="55"/>
        <v>4410</v>
      </c>
      <c r="F113" s="61">
        <f t="shared" si="89"/>
        <v>-40</v>
      </c>
      <c r="G113" s="62">
        <f>((E113-MAX(E$16:E113))/MAX(E$16:E113))</f>
        <v>-0.02</v>
      </c>
      <c r="H113" s="16">
        <f t="shared" si="62"/>
        <v>-8.988764044943821E-3</v>
      </c>
      <c r="I113" s="153"/>
      <c r="K113" s="16">
        <f t="shared" si="72"/>
        <v>5.7012542759407071E-3</v>
      </c>
      <c r="L113" s="77">
        <f t="shared" si="97"/>
        <v>1.5517804639006712E-2</v>
      </c>
      <c r="M113" s="17">
        <f>M112</f>
        <v>8.7388198809447669E-3</v>
      </c>
      <c r="N113" s="16" t="str">
        <f t="shared" si="98"/>
        <v>Low Volatility</v>
      </c>
      <c r="O113" s="14" t="str">
        <f t="shared" si="83"/>
        <v>Weak/Unconfirmed</v>
      </c>
      <c r="S113" s="78" t="s">
        <v>121</v>
      </c>
      <c r="T113" s="79" t="s">
        <v>43</v>
      </c>
      <c r="U113" s="80" t="s">
        <v>278</v>
      </c>
      <c r="V113" s="15">
        <f t="shared" si="57"/>
        <v>45863</v>
      </c>
      <c r="W113" s="60">
        <f t="shared" si="90"/>
        <v>51.89</v>
      </c>
      <c r="X113" s="61">
        <f t="shared" si="91"/>
        <v>1.5300000000000011</v>
      </c>
      <c r="Y113" s="62">
        <f>((W113-MAX(W$16:W113))/MAX(W$16:W113))</f>
        <v>0</v>
      </c>
      <c r="Z113" s="16">
        <f t="shared" si="92"/>
        <v>3.0381254964257368E-2</v>
      </c>
      <c r="AA113" s="153"/>
      <c r="AC113" s="16">
        <f t="shared" si="81"/>
        <v>4.6802501513011907E-2</v>
      </c>
      <c r="AD113" s="16">
        <f>AD109</f>
        <v>2.8218491750410152E-2</v>
      </c>
      <c r="AE113" s="16">
        <f t="shared" si="100"/>
        <v>1.1262553027831978E-2</v>
      </c>
      <c r="AF113" s="16" t="str">
        <f t="shared" si="85"/>
        <v>Low Volatility</v>
      </c>
      <c r="AG113" s="14" t="str">
        <f t="shared" si="63"/>
        <v>Strong Uptrend</v>
      </c>
      <c r="AI113" s="78" t="s">
        <v>121</v>
      </c>
      <c r="AJ113" s="81"/>
      <c r="AK113" s="82">
        <v>405557</v>
      </c>
      <c r="AL113" s="15">
        <f t="shared" si="64"/>
        <v>45863</v>
      </c>
      <c r="AM113" s="60">
        <f t="shared" si="93"/>
        <v>40.555700000000002</v>
      </c>
      <c r="AN113" s="61">
        <f t="shared" si="94"/>
        <v>0.1857000000000042</v>
      </c>
      <c r="AO113" s="62">
        <f>((AM113-MAX(AM$16:AM113))/MAX(AM$16:AM113))</f>
        <v>0</v>
      </c>
      <c r="AP113" s="16">
        <f t="shared" si="95"/>
        <v>4.5999504582611888E-3</v>
      </c>
      <c r="AQ113" s="153"/>
      <c r="AS113" s="16">
        <f t="shared" si="96"/>
        <v>4.5999504582611888E-3</v>
      </c>
      <c r="AT113" s="77">
        <f t="shared" si="99"/>
        <v>4.3882799475009173E-3</v>
      </c>
      <c r="AU113" s="16">
        <f t="shared" si="99"/>
        <v>1.7351970705852381E-3</v>
      </c>
      <c r="AV113" s="16" t="str">
        <f t="shared" si="86"/>
        <v>Low Volatility</v>
      </c>
      <c r="AW113" s="14" t="str">
        <f t="shared" si="101"/>
        <v>Stable</v>
      </c>
    </row>
    <row r="114" spans="1:49" ht="39" hidden="1" thickBot="1">
      <c r="A114" s="104" t="s">
        <v>122</v>
      </c>
      <c r="B114" s="106" t="s">
        <v>491</v>
      </c>
      <c r="C114" s="106" t="s">
        <v>475</v>
      </c>
      <c r="D114" s="15">
        <f t="shared" si="54"/>
        <v>45864</v>
      </c>
      <c r="E114" s="60">
        <f t="shared" si="55"/>
        <v>4410</v>
      </c>
      <c r="F114" s="61">
        <f t="shared" ref="F114:F130" si="102">E114-E113</f>
        <v>0</v>
      </c>
      <c r="G114" s="62">
        <f>((E114-MAX(E$16:E114))/MAX(E$16:E114))</f>
        <v>-0.02</v>
      </c>
      <c r="H114" s="16">
        <f t="shared" si="62"/>
        <v>0</v>
      </c>
      <c r="I114" s="153"/>
      <c r="K114" s="16">
        <f t="shared" si="72"/>
        <v>5.7012542759407071E-3</v>
      </c>
      <c r="L114" s="77">
        <f t="shared" si="97"/>
        <v>1.5517804639006712E-2</v>
      </c>
      <c r="M114" s="17">
        <f>M113</f>
        <v>8.7388198809447669E-3</v>
      </c>
      <c r="N114" s="16" t="str">
        <f t="shared" si="98"/>
        <v>Low Volatility</v>
      </c>
      <c r="O114" s="14" t="str">
        <f t="shared" si="83"/>
        <v>Weak/Unconfirmed</v>
      </c>
      <c r="S114" s="78" t="s">
        <v>122</v>
      </c>
      <c r="T114" s="79" t="s">
        <v>43</v>
      </c>
      <c r="U114" s="80" t="s">
        <v>279</v>
      </c>
      <c r="V114" s="15">
        <f t="shared" si="57"/>
        <v>45864</v>
      </c>
      <c r="W114" s="60">
        <f t="shared" si="90"/>
        <v>51.91</v>
      </c>
      <c r="X114" s="61">
        <f t="shared" si="91"/>
        <v>1.9999999999996021E-2</v>
      </c>
      <c r="Y114" s="62">
        <f>((W114-MAX(W$16:W114))/MAX(W$16:W114))</f>
        <v>0</v>
      </c>
      <c r="Z114" s="16">
        <f t="shared" si="92"/>
        <v>3.8543071882821394E-4</v>
      </c>
      <c r="AA114" s="153"/>
      <c r="AC114" s="16">
        <f t="shared" si="81"/>
        <v>3.1802822500496805E-2</v>
      </c>
      <c r="AD114" s="16">
        <f>AD109</f>
        <v>2.8218491750410152E-2</v>
      </c>
      <c r="AE114" s="16">
        <f t="shared" si="100"/>
        <v>1.1262553027831978E-2</v>
      </c>
      <c r="AF114" s="16" t="str">
        <f t="shared" si="85"/>
        <v>Low Volatility</v>
      </c>
      <c r="AG114" s="14" t="str">
        <f t="shared" si="63"/>
        <v>Strong Uptrend</v>
      </c>
      <c r="AI114" s="58" t="s">
        <v>122</v>
      </c>
      <c r="AJ114" s="81"/>
      <c r="AK114" s="82">
        <v>405557</v>
      </c>
      <c r="AL114" s="15">
        <f t="shared" si="64"/>
        <v>45864</v>
      </c>
      <c r="AM114" s="60">
        <f t="shared" si="93"/>
        <v>40.555700000000002</v>
      </c>
      <c r="AN114" s="61">
        <f t="shared" si="94"/>
        <v>0</v>
      </c>
      <c r="AO114" s="62">
        <f>((AM114-MAX(AM$16:AM114))/MAX(AM$16:AM114))</f>
        <v>0</v>
      </c>
      <c r="AP114" s="16">
        <f t="shared" si="95"/>
        <v>0</v>
      </c>
      <c r="AQ114" s="153"/>
      <c r="AS114" s="16">
        <f t="shared" si="96"/>
        <v>4.5999504582611888E-3</v>
      </c>
      <c r="AT114" s="77">
        <f t="shared" si="99"/>
        <v>4.3882799475009173E-3</v>
      </c>
      <c r="AU114" s="16">
        <f t="shared" si="99"/>
        <v>1.7351970705852381E-3</v>
      </c>
      <c r="AV114" s="16" t="str">
        <f t="shared" si="86"/>
        <v>Low Volatility</v>
      </c>
      <c r="AW114" s="14" t="str">
        <f t="shared" si="101"/>
        <v>Stable</v>
      </c>
    </row>
    <row r="115" spans="1:49" ht="15.75" hidden="1" thickBot="1">
      <c r="A115" s="107" t="s">
        <v>123</v>
      </c>
      <c r="B115" s="106" t="s">
        <v>491</v>
      </c>
      <c r="C115" s="106" t="s">
        <v>475</v>
      </c>
      <c r="D115" s="15">
        <f t="shared" si="54"/>
        <v>45865</v>
      </c>
      <c r="E115" s="60">
        <f t="shared" si="55"/>
        <v>4410</v>
      </c>
      <c r="F115" s="61">
        <f t="shared" si="102"/>
        <v>0</v>
      </c>
      <c r="G115" s="62">
        <f>((E115-MAX(E$16:E115))/MAX(E$16:E115))</f>
        <v>-0.02</v>
      </c>
      <c r="H115" s="16">
        <f t="shared" si="62"/>
        <v>0</v>
      </c>
      <c r="I115" s="153"/>
      <c r="K115" s="16">
        <f t="shared" si="72"/>
        <v>5.7012542759407071E-3</v>
      </c>
      <c r="L115" s="77">
        <f t="shared" si="97"/>
        <v>1.5517804639006712E-2</v>
      </c>
      <c r="M115" s="17">
        <f>M114</f>
        <v>8.7388198809447669E-3</v>
      </c>
      <c r="N115" s="16" t="str">
        <f t="shared" si="98"/>
        <v>Low Volatility</v>
      </c>
      <c r="O115" s="14" t="str">
        <f t="shared" si="83"/>
        <v>Weak/Unconfirmed</v>
      </c>
      <c r="S115" s="78" t="s">
        <v>123</v>
      </c>
      <c r="T115" s="79" t="s">
        <v>43</v>
      </c>
      <c r="U115" s="80" t="s">
        <v>279</v>
      </c>
      <c r="V115" s="15">
        <f t="shared" si="57"/>
        <v>45865</v>
      </c>
      <c r="W115" s="60">
        <f t="shared" si="90"/>
        <v>51.91</v>
      </c>
      <c r="X115" s="61">
        <f t="shared" si="91"/>
        <v>0</v>
      </c>
      <c r="Y115" s="62">
        <f>((W115-MAX(W$16:W115))/MAX(W$16:W115))</f>
        <v>0</v>
      </c>
      <c r="Z115" s="16">
        <f t="shared" si="92"/>
        <v>0</v>
      </c>
      <c r="AA115" s="153"/>
      <c r="AC115" s="16">
        <f t="shared" si="81"/>
        <v>3.1597774244832996E-2</v>
      </c>
      <c r="AD115" s="16">
        <f>AD109</f>
        <v>2.8218491750410152E-2</v>
      </c>
      <c r="AE115" s="16">
        <f t="shared" si="100"/>
        <v>1.1262553027831978E-2</v>
      </c>
      <c r="AF115" s="16" t="str">
        <f t="shared" si="85"/>
        <v>Low Volatility</v>
      </c>
      <c r="AG115" s="14" t="str">
        <f t="shared" si="63"/>
        <v>Strong Uptrend</v>
      </c>
      <c r="AI115" s="58" t="s">
        <v>123</v>
      </c>
      <c r="AJ115" s="81"/>
      <c r="AK115" s="82">
        <v>405557</v>
      </c>
      <c r="AL115" s="15">
        <f t="shared" si="64"/>
        <v>45865</v>
      </c>
      <c r="AM115" s="60">
        <f t="shared" si="93"/>
        <v>40.555700000000002</v>
      </c>
      <c r="AN115" s="61">
        <f t="shared" si="94"/>
        <v>0</v>
      </c>
      <c r="AO115" s="62">
        <f>((AM115-MAX(AM$16:AM115))/MAX(AM$16:AM115))</f>
        <v>0</v>
      </c>
      <c r="AP115" s="16">
        <f t="shared" si="95"/>
        <v>0</v>
      </c>
      <c r="AQ115" s="153"/>
      <c r="AS115" s="16">
        <f t="shared" si="96"/>
        <v>4.5999504582611888E-3</v>
      </c>
      <c r="AT115" s="77">
        <f t="shared" si="99"/>
        <v>4.3882799475009173E-3</v>
      </c>
      <c r="AU115" s="16">
        <f t="shared" si="99"/>
        <v>1.7351970705852381E-3</v>
      </c>
      <c r="AV115" s="16" t="str">
        <f t="shared" si="86"/>
        <v>Low Volatility</v>
      </c>
      <c r="AW115" s="14" t="str">
        <f t="shared" si="101"/>
        <v>Stable</v>
      </c>
    </row>
    <row r="116" spans="1:49" ht="39" hidden="1" customHeight="1" thickBot="1">
      <c r="A116" s="104" t="s">
        <v>124</v>
      </c>
      <c r="B116" s="105" t="s">
        <v>491</v>
      </c>
      <c r="C116" s="105" t="s">
        <v>492</v>
      </c>
      <c r="D116" s="15">
        <f t="shared" si="54"/>
        <v>45866</v>
      </c>
      <c r="E116" s="60">
        <f t="shared" si="55"/>
        <v>4380</v>
      </c>
      <c r="F116" s="61">
        <f t="shared" si="102"/>
        <v>-30</v>
      </c>
      <c r="G116" s="62">
        <f>((E116-MAX(E$16:E116))/MAX(E$16:E116))</f>
        <v>-2.6666666666666668E-2</v>
      </c>
      <c r="H116" s="16">
        <f t="shared" si="62"/>
        <v>-6.8027210884353739E-3</v>
      </c>
      <c r="I116" s="153">
        <f>AVERAGEIFS(E116:E123, E116:E123, "&gt;=0")</f>
        <v>4412.75</v>
      </c>
      <c r="K116" s="16">
        <f t="shared" si="72"/>
        <v>-1.0169491525423728E-2</v>
      </c>
      <c r="L116" s="77">
        <f>(I116-I109)/I109</f>
        <v>-6.2972494772397395E-3</v>
      </c>
      <c r="M116" s="16" cm="1">
        <f t="array" ref="M116">_xlfn.STDEV.S(_xlfn._xlws.FILTER(F116:F122, ISNUMBER(F116:F122))) / I116</f>
        <v>6.3987872037117848E-3</v>
      </c>
      <c r="N116" s="16" t="str">
        <f>IF(M116 &lt; 0.02, "Low Volatility",
 IF(M116 &gt; 0.1, "High Volatility", "Medium Volatility"))</f>
        <v>Low Volatility</v>
      </c>
      <c r="O116" s="14" t="str">
        <f t="shared" si="83"/>
        <v>Weak/Unconfirmed</v>
      </c>
      <c r="S116" s="78" t="s">
        <v>124</v>
      </c>
      <c r="T116" s="79" t="s">
        <v>43</v>
      </c>
      <c r="U116" s="80" t="s">
        <v>280</v>
      </c>
      <c r="V116" s="15">
        <f t="shared" si="57"/>
        <v>45866</v>
      </c>
      <c r="W116" s="60">
        <f t="shared" si="90"/>
        <v>51.86</v>
      </c>
      <c r="X116" s="61">
        <f t="shared" si="91"/>
        <v>-4.9999999999997158E-2</v>
      </c>
      <c r="Y116" s="62">
        <f>((W116-MAX(W$16:W116))/MAX(W$16:W116))</f>
        <v>-9.6320554806390217E-4</v>
      </c>
      <c r="Z116" s="16">
        <f t="shared" si="92"/>
        <v>-9.6320554806390217E-4</v>
      </c>
      <c r="AA116" s="153">
        <f>AVERAGEIFS(W116:W122, W116:W122, "&gt;=0")</f>
        <v>51.248571428571424</v>
      </c>
      <c r="AC116" s="16">
        <f t="shared" si="81"/>
        <v>3.0399364196304415E-2</v>
      </c>
      <c r="AD116" s="66">
        <f>(AA116-AA109)/AA109</f>
        <v>4.6206838612116354E-3</v>
      </c>
      <c r="AE116" s="16" cm="1">
        <f t="array" ref="AE116">_xlfn.STDEV.S(_xlfn._xlws.FILTER(X116:X122, ISNUMBER(X116:X122))) / AA116</f>
        <v>4.2704079998268779E-2</v>
      </c>
      <c r="AF116" s="17" t="str">
        <f>AF110</f>
        <v>Low Volatility</v>
      </c>
      <c r="AG116" s="14" t="str">
        <f t="shared" si="63"/>
        <v>Stable</v>
      </c>
      <c r="AI116" s="78" t="s">
        <v>31</v>
      </c>
      <c r="AJ116" s="81"/>
      <c r="AK116" s="82">
        <v>405562</v>
      </c>
      <c r="AL116" s="15">
        <f t="shared" si="64"/>
        <v>45866</v>
      </c>
      <c r="AM116" s="60">
        <f t="shared" ref="AM116" si="103">VALUE(SUBSTITUTE(SUBSTITUTE(AK116, ".", ""), ",", "."))/10000</f>
        <v>40.556199999999997</v>
      </c>
      <c r="AN116" s="61">
        <f>AM116-AM115</f>
        <v>4.99999999995282E-4</v>
      </c>
      <c r="AO116" s="62">
        <f>((AM116-MAX(AM$16:AM116))/MAX(AM$16:AM116))</f>
        <v>0</v>
      </c>
      <c r="AP116" s="16">
        <f t="shared" si="70"/>
        <v>1.2328723212650305E-5</v>
      </c>
      <c r="AQ116" s="153">
        <f>AVERAGEIFS(AM116:AM122, AM116:AM122, "&gt;=0")</f>
        <v>35.442214285714286</v>
      </c>
      <c r="AS116" s="16">
        <f t="shared" si="96"/>
        <v>4.6123358929898309E-3</v>
      </c>
      <c r="AT116" s="77">
        <f>(AQ116-AQ109)/AQ109</f>
        <v>-0.12379289775526579</v>
      </c>
      <c r="AU116" s="16" cm="1">
        <f t="array" ref="AU116">_xlfn.STDEV.S(_xlfn._xlws.FILTER(AN116:AN122, ISNUMBER(AN116:AN122))) / AQ116</f>
        <v>0.58645628674504713</v>
      </c>
      <c r="AV116" s="16" t="str">
        <f>IF(AU116 &lt; 0.02, "Low Volatility",
 IF(AU116 &gt; 0.1, "High Volatility", "Medium Volatility"))</f>
        <v>High Volatility</v>
      </c>
      <c r="AW116" s="14" t="str">
        <f t="shared" si="101"/>
        <v>Weak/Unconfirmed</v>
      </c>
    </row>
    <row r="117" spans="1:49" ht="39" hidden="1" thickBot="1">
      <c r="A117" s="104" t="s">
        <v>125</v>
      </c>
      <c r="B117" s="105" t="s">
        <v>492</v>
      </c>
      <c r="C117" s="105" t="s">
        <v>477</v>
      </c>
      <c r="D117" s="15">
        <f t="shared" si="54"/>
        <v>45867</v>
      </c>
      <c r="E117" s="60">
        <f t="shared" si="55"/>
        <v>4400</v>
      </c>
      <c r="F117" s="61">
        <f>E117-E116</f>
        <v>20</v>
      </c>
      <c r="G117" s="62">
        <f>((E117-MAX(E$16:E117))/MAX(E$16:E117))</f>
        <v>-2.2222222222222223E-2</v>
      </c>
      <c r="H117" s="16">
        <f t="shared" si="62"/>
        <v>4.5662100456621002E-3</v>
      </c>
      <c r="I117" s="153"/>
      <c r="K117" s="16">
        <f t="shared" si="72"/>
        <v>-1.7857142857142856E-2</v>
      </c>
      <c r="L117" s="77">
        <f t="shared" ref="L117:N122" si="104">L116</f>
        <v>-6.2972494772397395E-3</v>
      </c>
      <c r="M117" s="16">
        <f t="shared" si="104"/>
        <v>6.3987872037117848E-3</v>
      </c>
      <c r="N117" s="16" t="str">
        <f t="shared" si="104"/>
        <v>Low Volatility</v>
      </c>
      <c r="O117" s="14" t="str">
        <f t="shared" si="83"/>
        <v>Weak/Unconfirmed</v>
      </c>
      <c r="S117" s="78" t="s">
        <v>125</v>
      </c>
      <c r="T117" s="79" t="s">
        <v>1577</v>
      </c>
      <c r="U117" s="80" t="s">
        <v>1578</v>
      </c>
      <c r="V117" s="15">
        <f t="shared" si="57"/>
        <v>45867</v>
      </c>
      <c r="W117" s="60">
        <f t="shared" si="90"/>
        <v>51.87</v>
      </c>
      <c r="X117" s="61">
        <f t="shared" si="91"/>
        <v>9.9999999999980105E-3</v>
      </c>
      <c r="Y117" s="62">
        <f>((W117-MAX(W$16:W117))/MAX(W$16:W117))</f>
        <v>-7.7056443845114914E-4</v>
      </c>
      <c r="Z117" s="16">
        <f t="shared" si="92"/>
        <v>1.9282684149629794E-4</v>
      </c>
      <c r="AA117" s="153"/>
      <c r="AC117" s="16">
        <f t="shared" si="81"/>
        <v>3.0393325387365791E-2</v>
      </c>
      <c r="AD117" s="16">
        <f>AD116</f>
        <v>4.6206838612116354E-3</v>
      </c>
      <c r="AE117" s="16" cm="1">
        <f t="array" ref="AE117">_xlfn.STDEV.S(_xlfn._xlws.FILTER(X116:X122, ISNUMBER(X116:X122))) / AA116</f>
        <v>4.2704079998268779E-2</v>
      </c>
      <c r="AF117" s="16" t="str">
        <f>IF(AE117 &lt; 0.02, "Low Volatility",
 IF(AE117 &gt; 0.1, "High Volatility", "Medium Volatility"))</f>
        <v>Medium Volatility</v>
      </c>
      <c r="AG117" s="14" t="str">
        <f t="shared" si="63"/>
        <v>Stable</v>
      </c>
      <c r="AI117" s="58" t="s">
        <v>125</v>
      </c>
      <c r="AJ117" s="59"/>
      <c r="AK117" s="82">
        <v>405562</v>
      </c>
      <c r="AL117" s="15">
        <f t="shared" si="64"/>
        <v>45867</v>
      </c>
      <c r="AM117" s="60">
        <f t="shared" ref="AM117:AM180" si="105">VALUE(SUBSTITUTE(SUBSTITUTE(AK117, ".", ""), ",", "."))/10000</f>
        <v>40.556199999999997</v>
      </c>
      <c r="AN117" s="61">
        <f t="shared" ref="AN117:AN180" si="106">AM117-AM116</f>
        <v>0</v>
      </c>
      <c r="AO117" s="62">
        <f>((AM117-MAX(AM$16:AM117))/MAX(AM$16:AM117))</f>
        <v>0</v>
      </c>
      <c r="AP117" s="16">
        <f t="shared" ref="AP117:AP180" si="107">(AM117-AM116)/AM116</f>
        <v>0</v>
      </c>
      <c r="AQ117" s="153"/>
      <c r="AS117" s="16">
        <f t="shared" si="96"/>
        <v>4.6123358929898309E-3</v>
      </c>
      <c r="AT117" s="77">
        <f>AT116</f>
        <v>-0.12379289775526579</v>
      </c>
      <c r="AU117" s="16">
        <f>AU116</f>
        <v>0.58645628674504713</v>
      </c>
      <c r="AV117" s="16" t="str">
        <f>AV116</f>
        <v>High Volatility</v>
      </c>
      <c r="AW117" s="14" t="str">
        <f t="shared" si="101"/>
        <v>Weak/Unconfirmed</v>
      </c>
    </row>
    <row r="118" spans="1:49" ht="39" hidden="1" thickBot="1">
      <c r="A118" s="104" t="s">
        <v>126</v>
      </c>
      <c r="B118" s="105" t="s">
        <v>477</v>
      </c>
      <c r="C118" s="105" t="s">
        <v>443</v>
      </c>
      <c r="D118" s="15">
        <f t="shared" si="54"/>
        <v>45868</v>
      </c>
      <c r="E118" s="60">
        <f t="shared" si="55"/>
        <v>4370</v>
      </c>
      <c r="F118" s="61">
        <f>E118-E117</f>
        <v>-30</v>
      </c>
      <c r="G118" s="62">
        <f>((E118-MAX(E$16:E118))/MAX(E$16:E118))</f>
        <v>-2.8888888888888888E-2</v>
      </c>
      <c r="H118" s="16">
        <f t="shared" si="62"/>
        <v>-6.8181818181818179E-3</v>
      </c>
      <c r="I118" s="153"/>
      <c r="K118" s="16">
        <f t="shared" si="72"/>
        <v>-2.8888888888888888E-2</v>
      </c>
      <c r="L118" s="77">
        <f t="shared" si="104"/>
        <v>-6.2972494772397395E-3</v>
      </c>
      <c r="M118" s="16">
        <f t="shared" si="104"/>
        <v>6.3987872037117848E-3</v>
      </c>
      <c r="N118" s="16" t="str">
        <f t="shared" si="104"/>
        <v>Low Volatility</v>
      </c>
      <c r="O118" s="14" t="str">
        <f t="shared" si="83"/>
        <v>Weak/Unconfirmed</v>
      </c>
      <c r="S118" s="78" t="s">
        <v>126</v>
      </c>
      <c r="T118" s="79" t="s">
        <v>1579</v>
      </c>
      <c r="U118" s="80" t="s">
        <v>1580</v>
      </c>
      <c r="V118" s="15">
        <f t="shared" si="57"/>
        <v>45868</v>
      </c>
      <c r="W118" s="60">
        <f t="shared" si="90"/>
        <v>51.88</v>
      </c>
      <c r="X118" s="61">
        <f t="shared" si="91"/>
        <v>1.0000000000005116E-2</v>
      </c>
      <c r="Y118" s="62">
        <f>((W118-MAX(W$16:W118))/MAX(W$16:W118))</f>
        <v>-5.7792332883825918E-4</v>
      </c>
      <c r="Z118" s="16">
        <f t="shared" si="92"/>
        <v>1.9278966647397563E-4</v>
      </c>
      <c r="AA118" s="153"/>
      <c r="AC118" s="16">
        <f t="shared" si="81"/>
        <v>3.0387288977159903E-2</v>
      </c>
      <c r="AD118" s="16">
        <f>AD116</f>
        <v>4.6206838612116354E-3</v>
      </c>
      <c r="AE118" s="16">
        <f>AE117</f>
        <v>4.2704079998268779E-2</v>
      </c>
      <c r="AF118" s="16" t="str">
        <f t="shared" ref="AF118:AF122" si="108">AF117</f>
        <v>Medium Volatility</v>
      </c>
      <c r="AG118" s="14" t="str">
        <f t="shared" si="63"/>
        <v>Stable</v>
      </c>
      <c r="AI118" s="58" t="s">
        <v>126</v>
      </c>
      <c r="AJ118" s="59"/>
      <c r="AK118" s="82">
        <v>405562</v>
      </c>
      <c r="AL118" s="15">
        <f t="shared" si="64"/>
        <v>45868</v>
      </c>
      <c r="AM118" s="60">
        <f t="shared" si="105"/>
        <v>40.556199999999997</v>
      </c>
      <c r="AN118" s="61">
        <f t="shared" si="106"/>
        <v>0</v>
      </c>
      <c r="AO118" s="62">
        <f>((AM118-MAX(AM$16:AM118))/MAX(AM$16:AM118))</f>
        <v>0</v>
      </c>
      <c r="AP118" s="16">
        <f t="shared" si="107"/>
        <v>0</v>
      </c>
      <c r="AQ118" s="153"/>
      <c r="AS118" s="16">
        <f>(AM127-AM111)/AM111</f>
        <v>7.1835521426801873E-3</v>
      </c>
      <c r="AT118" s="77">
        <f t="shared" ref="AT118:AU122" si="109">AT117</f>
        <v>-0.12379289775526579</v>
      </c>
      <c r="AU118" s="16">
        <f t="shared" si="109"/>
        <v>0.58645628674504713</v>
      </c>
      <c r="AV118" s="16" t="str">
        <f t="shared" ref="AV118:AV122" si="110">AV117</f>
        <v>High Volatility</v>
      </c>
      <c r="AW118" s="14" t="str">
        <f t="shared" si="101"/>
        <v>Weak/Unconfirmed</v>
      </c>
    </row>
    <row r="119" spans="1:49" ht="39" hidden="1" thickBot="1">
      <c r="A119" s="104" t="s">
        <v>127</v>
      </c>
      <c r="B119" s="105" t="s">
        <v>443</v>
      </c>
      <c r="C119" s="105" t="s">
        <v>492</v>
      </c>
      <c r="D119" s="15">
        <f t="shared" si="54"/>
        <v>45869</v>
      </c>
      <c r="E119" s="60">
        <f t="shared" si="55"/>
        <v>4380</v>
      </c>
      <c r="F119" s="61">
        <f>E119-E118</f>
        <v>10</v>
      </c>
      <c r="G119" s="62">
        <f>((E119-MAX(E$16:E119))/MAX(E$16:E119))</f>
        <v>-2.6666666666666668E-2</v>
      </c>
      <c r="H119" s="16">
        <f t="shared" si="62"/>
        <v>2.2883295194508009E-3</v>
      </c>
      <c r="I119" s="153"/>
      <c r="K119" s="16">
        <f t="shared" ref="K119:K150" si="111">(E119-E112)/E112</f>
        <v>-1.5730337078651686E-2</v>
      </c>
      <c r="L119" s="77">
        <f t="shared" si="104"/>
        <v>-6.2972494772397395E-3</v>
      </c>
      <c r="M119" s="16">
        <f t="shared" si="104"/>
        <v>6.3987872037117848E-3</v>
      </c>
      <c r="N119" s="16" t="str">
        <f t="shared" si="104"/>
        <v>Low Volatility</v>
      </c>
      <c r="O119" s="14" t="str">
        <f t="shared" si="83"/>
        <v>Weak/Unconfirmed</v>
      </c>
      <c r="S119" s="78" t="s">
        <v>127</v>
      </c>
      <c r="T119" s="83" t="s">
        <v>288</v>
      </c>
      <c r="U119" s="84" t="s">
        <v>212</v>
      </c>
      <c r="V119" s="15">
        <f t="shared" si="57"/>
        <v>45869</v>
      </c>
      <c r="W119" s="60">
        <f t="shared" si="90"/>
        <v>48.01</v>
      </c>
      <c r="X119" s="61">
        <f t="shared" si="91"/>
        <v>-3.8700000000000045</v>
      </c>
      <c r="Y119" s="62">
        <f>((W119-MAX(W$16:W119))/MAX(W$16:W119))</f>
        <v>-7.5130032748988607E-2</v>
      </c>
      <c r="Z119" s="16">
        <f t="shared" si="92"/>
        <v>-7.4595219737856683E-2</v>
      </c>
      <c r="AA119" s="153"/>
      <c r="AC119" s="16">
        <f t="shared" si="81"/>
        <v>-4.6664019062748238E-2</v>
      </c>
      <c r="AD119" s="16">
        <f>AD116</f>
        <v>4.6206838612116354E-3</v>
      </c>
      <c r="AE119" s="16">
        <f t="shared" ref="AE119:AE122" si="112">AE118</f>
        <v>4.2704079998268779E-2</v>
      </c>
      <c r="AF119" s="16" t="str">
        <f t="shared" si="108"/>
        <v>Medium Volatility</v>
      </c>
      <c r="AG119" s="14" t="str">
        <f t="shared" si="63"/>
        <v>Stable</v>
      </c>
      <c r="AI119" s="78" t="s">
        <v>127</v>
      </c>
      <c r="AJ119" s="85">
        <v>405900</v>
      </c>
      <c r="AK119" s="15">
        <f>V119</f>
        <v>45869</v>
      </c>
      <c r="AL119" s="15">
        <f t="shared" ref="AL119:AL182" si="113">D119</f>
        <v>45869</v>
      </c>
      <c r="AM119" s="60">
        <f t="shared" si="105"/>
        <v>4.5869</v>
      </c>
      <c r="AN119" s="61">
        <f t="shared" si="106"/>
        <v>-35.969299999999997</v>
      </c>
      <c r="AO119" s="62">
        <f>((AM119-MAX(AM$16:AM119))/MAX(AM$16:AM119))</f>
        <v>-0.88690015336742589</v>
      </c>
      <c r="AP119" s="16">
        <f t="shared" si="107"/>
        <v>-0.88690015336742589</v>
      </c>
      <c r="AQ119" s="153"/>
      <c r="AS119" s="16">
        <f t="shared" si="96"/>
        <v>-0.88637849888531084</v>
      </c>
      <c r="AT119" s="77">
        <f t="shared" si="109"/>
        <v>-0.12379289775526579</v>
      </c>
      <c r="AU119" s="16">
        <f t="shared" si="109"/>
        <v>0.58645628674504713</v>
      </c>
      <c r="AV119" s="16" t="str">
        <f t="shared" si="110"/>
        <v>High Volatility</v>
      </c>
      <c r="AW119" s="14" t="str">
        <f t="shared" si="101"/>
        <v>Strong Downtrend</v>
      </c>
    </row>
    <row r="120" spans="1:49" ht="39" hidden="1" customHeight="1" thickBot="1">
      <c r="A120" s="104" t="s">
        <v>129</v>
      </c>
      <c r="B120" s="105" t="s">
        <v>492</v>
      </c>
      <c r="C120" s="105" t="s">
        <v>493</v>
      </c>
      <c r="D120" s="15">
        <f t="shared" si="54"/>
        <v>45870</v>
      </c>
      <c r="E120" s="60">
        <f t="shared" si="55"/>
        <v>4430</v>
      </c>
      <c r="F120" s="61">
        <f t="shared" si="102"/>
        <v>50</v>
      </c>
      <c r="G120" s="62">
        <f>((E120-MAX(E$16:E120))/MAX(E$16:E120))</f>
        <v>-1.5555555555555555E-2</v>
      </c>
      <c r="H120" s="16">
        <f t="shared" si="62"/>
        <v>1.1415525114155251E-2</v>
      </c>
      <c r="I120" s="153"/>
      <c r="K120" s="16">
        <f t="shared" si="111"/>
        <v>4.5351473922902496E-3</v>
      </c>
      <c r="L120" s="77">
        <f t="shared" si="104"/>
        <v>-6.2972494772397395E-3</v>
      </c>
      <c r="M120" s="16">
        <f t="shared" si="104"/>
        <v>6.3987872037117848E-3</v>
      </c>
      <c r="N120" s="16" t="str">
        <f t="shared" si="104"/>
        <v>Low Volatility</v>
      </c>
      <c r="O120" s="14" t="str">
        <f t="shared" si="83"/>
        <v>Weak/Unconfirmed</v>
      </c>
      <c r="S120" s="78" t="s">
        <v>129</v>
      </c>
      <c r="T120" s="86" t="s">
        <v>43</v>
      </c>
      <c r="U120" s="87" t="s">
        <v>346</v>
      </c>
      <c r="V120" s="15">
        <f t="shared" si="57"/>
        <v>45870</v>
      </c>
      <c r="W120" s="60">
        <f t="shared" si="90"/>
        <v>51.72</v>
      </c>
      <c r="X120" s="61">
        <f t="shared" si="91"/>
        <v>3.7100000000000009</v>
      </c>
      <c r="Y120" s="62">
        <f>((W120-MAX(W$16:W120))/MAX(W$16:W120))</f>
        <v>-3.6601810826429925E-3</v>
      </c>
      <c r="Z120" s="16">
        <f t="shared" si="92"/>
        <v>7.7275567590085414E-2</v>
      </c>
      <c r="AA120" s="153"/>
      <c r="AC120" s="16">
        <f t="shared" si="81"/>
        <v>-3.2761611100405028E-3</v>
      </c>
      <c r="AD120" s="16">
        <f>AD116</f>
        <v>4.6206838612116354E-3</v>
      </c>
      <c r="AE120" s="16">
        <f t="shared" si="112"/>
        <v>4.2704079998268779E-2</v>
      </c>
      <c r="AF120" s="16" t="str">
        <f t="shared" si="108"/>
        <v>Medium Volatility</v>
      </c>
      <c r="AG120" s="14" t="str">
        <f t="shared" si="63"/>
        <v>Stable</v>
      </c>
      <c r="AI120" s="78" t="s">
        <v>129</v>
      </c>
      <c r="AJ120" s="88">
        <v>405900</v>
      </c>
      <c r="AK120" s="89">
        <v>406200</v>
      </c>
      <c r="AL120" s="15">
        <f t="shared" si="113"/>
        <v>45870</v>
      </c>
      <c r="AM120" s="60">
        <f t="shared" si="105"/>
        <v>40.619999999999997</v>
      </c>
      <c r="AN120" s="61">
        <f t="shared" si="106"/>
        <v>36.033099999999997</v>
      </c>
      <c r="AO120" s="62">
        <f>((AM120-MAX(AM$16:AM120))/MAX(AM$16:AM120))</f>
        <v>0</v>
      </c>
      <c r="AP120" s="16">
        <f t="shared" si="107"/>
        <v>7.855654145501318</v>
      </c>
      <c r="AQ120" s="153"/>
      <c r="AS120" s="16">
        <f t="shared" si="96"/>
        <v>1.5854738051616862E-3</v>
      </c>
      <c r="AT120" s="77">
        <f t="shared" si="109"/>
        <v>-0.12379289775526579</v>
      </c>
      <c r="AU120" s="16">
        <f t="shared" si="109"/>
        <v>0.58645628674504713</v>
      </c>
      <c r="AV120" s="16" t="str">
        <f t="shared" si="110"/>
        <v>High Volatility</v>
      </c>
      <c r="AW120" s="14" t="str">
        <f t="shared" si="101"/>
        <v>Weak/Unconfirmed</v>
      </c>
    </row>
    <row r="121" spans="1:49" ht="39" hidden="1" customHeight="1" thickBot="1">
      <c r="A121" s="104" t="s">
        <v>130</v>
      </c>
      <c r="B121" s="106" t="s">
        <v>492</v>
      </c>
      <c r="C121" s="106" t="s">
        <v>494</v>
      </c>
      <c r="D121" s="15">
        <f t="shared" si="54"/>
        <v>45871</v>
      </c>
      <c r="E121" s="60">
        <f t="shared" si="55"/>
        <v>4441</v>
      </c>
      <c r="F121" s="61">
        <f t="shared" si="102"/>
        <v>11</v>
      </c>
      <c r="G121" s="62">
        <f>((E121-MAX(E$16:E121))/MAX(E$16:E121))</f>
        <v>-1.3111111111111112E-2</v>
      </c>
      <c r="H121" s="16">
        <f t="shared" si="62"/>
        <v>2.4830699774266367E-3</v>
      </c>
      <c r="I121" s="153"/>
      <c r="K121" s="16">
        <f t="shared" si="111"/>
        <v>7.0294784580498867E-3</v>
      </c>
      <c r="L121" s="77">
        <f t="shared" si="104"/>
        <v>-6.2972494772397395E-3</v>
      </c>
      <c r="M121" s="16">
        <f t="shared" si="104"/>
        <v>6.3987872037117848E-3</v>
      </c>
      <c r="N121" s="16" t="str">
        <f t="shared" si="104"/>
        <v>Low Volatility</v>
      </c>
      <c r="O121" s="14" t="str">
        <f t="shared" si="83"/>
        <v>Weak/Unconfirmed</v>
      </c>
      <c r="S121" s="78" t="s">
        <v>130</v>
      </c>
      <c r="T121" s="86" t="s">
        <v>43</v>
      </c>
      <c r="U121" s="87" t="s">
        <v>347</v>
      </c>
      <c r="V121" s="15">
        <f t="shared" si="57"/>
        <v>45871</v>
      </c>
      <c r="W121" s="60">
        <f t="shared" si="90"/>
        <v>51.7</v>
      </c>
      <c r="X121" s="61">
        <f t="shared" si="91"/>
        <v>-1.9999999999996021E-2</v>
      </c>
      <c r="Y121" s="62">
        <f>((W121-MAX(W$16:W121))/MAX(W$16:W121))</f>
        <v>-4.045463301868499E-3</v>
      </c>
      <c r="Z121" s="16">
        <f t="shared" si="92"/>
        <v>-3.8669760247478775E-4</v>
      </c>
      <c r="AA121" s="153"/>
      <c r="AC121" s="16">
        <f t="shared" si="81"/>
        <v>-4.045463301868499E-3</v>
      </c>
      <c r="AD121" s="16">
        <f>AD116</f>
        <v>4.6206838612116354E-3</v>
      </c>
      <c r="AE121" s="16">
        <f t="shared" si="112"/>
        <v>4.2704079998268779E-2</v>
      </c>
      <c r="AF121" s="16" t="str">
        <f t="shared" si="108"/>
        <v>Medium Volatility</v>
      </c>
      <c r="AG121" s="14" t="str">
        <f t="shared" si="63"/>
        <v>Stable</v>
      </c>
      <c r="AI121" s="78" t="s">
        <v>130</v>
      </c>
      <c r="AJ121" s="88">
        <v>405900</v>
      </c>
      <c r="AK121" s="89">
        <v>406100</v>
      </c>
      <c r="AL121" s="15">
        <f t="shared" si="113"/>
        <v>45871</v>
      </c>
      <c r="AM121" s="60">
        <f t="shared" si="105"/>
        <v>40.61</v>
      </c>
      <c r="AN121" s="61">
        <f t="shared" si="106"/>
        <v>-9.9999999999980105E-3</v>
      </c>
      <c r="AO121" s="62">
        <f>((AM121-MAX(AM$16:AM121))/MAX(AM$16:AM121))</f>
        <v>-2.4618414574096529E-4</v>
      </c>
      <c r="AP121" s="16">
        <f t="shared" si="107"/>
        <v>-2.4618414574096529E-4</v>
      </c>
      <c r="AQ121" s="153"/>
      <c r="AS121" s="16">
        <f t="shared" si="96"/>
        <v>1.3388993409064027E-3</v>
      </c>
      <c r="AT121" s="77">
        <f t="shared" si="109"/>
        <v>-0.12379289775526579</v>
      </c>
      <c r="AU121" s="16">
        <f t="shared" si="109"/>
        <v>0.58645628674504713</v>
      </c>
      <c r="AV121" s="16" t="str">
        <f t="shared" si="110"/>
        <v>High Volatility</v>
      </c>
      <c r="AW121" s="14" t="str">
        <f t="shared" si="101"/>
        <v>Weak/Unconfirmed</v>
      </c>
    </row>
    <row r="122" spans="1:49" ht="39" hidden="1" customHeight="1" thickBot="1">
      <c r="A122" s="104" t="s">
        <v>131</v>
      </c>
      <c r="B122" s="106" t="s">
        <v>492</v>
      </c>
      <c r="C122" s="106" t="s">
        <v>494</v>
      </c>
      <c r="D122" s="15">
        <f t="shared" si="54"/>
        <v>45872</v>
      </c>
      <c r="E122" s="60">
        <f t="shared" si="55"/>
        <v>4441</v>
      </c>
      <c r="F122" s="61">
        <f t="shared" si="102"/>
        <v>0</v>
      </c>
      <c r="G122" s="62">
        <f>((E122-MAX(E$16:E122))/MAX(E$16:E122))</f>
        <v>-1.3111111111111112E-2</v>
      </c>
      <c r="H122" s="16">
        <f t="shared" si="62"/>
        <v>0</v>
      </c>
      <c r="I122" s="153"/>
      <c r="K122" s="16">
        <f t="shared" si="111"/>
        <v>7.0294784580498867E-3</v>
      </c>
      <c r="L122" s="77">
        <f t="shared" si="104"/>
        <v>-6.2972494772397395E-3</v>
      </c>
      <c r="M122" s="16">
        <f t="shared" si="104"/>
        <v>6.3987872037117848E-3</v>
      </c>
      <c r="N122" s="16" t="str">
        <f t="shared" si="104"/>
        <v>Low Volatility</v>
      </c>
      <c r="O122" s="14" t="str">
        <f t="shared" si="83"/>
        <v>Weak/Unconfirmed</v>
      </c>
      <c r="S122" s="78" t="s">
        <v>131</v>
      </c>
      <c r="T122" s="86" t="s">
        <v>43</v>
      </c>
      <c r="U122" s="87" t="s">
        <v>347</v>
      </c>
      <c r="V122" s="15">
        <f t="shared" si="57"/>
        <v>45872</v>
      </c>
      <c r="W122" s="60">
        <f t="shared" si="90"/>
        <v>51.7</v>
      </c>
      <c r="X122" s="61">
        <f t="shared" si="91"/>
        <v>0</v>
      </c>
      <c r="Y122" s="62">
        <f>((W122-MAX(W$16:W122))/MAX(W$16:W122))</f>
        <v>-4.045463301868499E-3</v>
      </c>
      <c r="Z122" s="16">
        <f t="shared" si="92"/>
        <v>0</v>
      </c>
      <c r="AA122" s="153"/>
      <c r="AC122" s="16">
        <f t="shared" si="81"/>
        <v>-4.045463301868499E-3</v>
      </c>
      <c r="AD122" s="16">
        <f>AD116</f>
        <v>4.6206838612116354E-3</v>
      </c>
      <c r="AE122" s="16">
        <f t="shared" si="112"/>
        <v>4.2704079998268779E-2</v>
      </c>
      <c r="AF122" s="16" t="str">
        <f t="shared" si="108"/>
        <v>Medium Volatility</v>
      </c>
      <c r="AG122" s="14" t="str">
        <f t="shared" si="63"/>
        <v>Stable</v>
      </c>
      <c r="AJ122" s="88">
        <v>405900</v>
      </c>
      <c r="AK122" s="89">
        <v>406100</v>
      </c>
      <c r="AL122" s="15">
        <f t="shared" si="113"/>
        <v>45872</v>
      </c>
      <c r="AM122" s="60">
        <f t="shared" si="105"/>
        <v>40.61</v>
      </c>
      <c r="AN122" s="61">
        <f t="shared" si="106"/>
        <v>0</v>
      </c>
      <c r="AO122" s="62">
        <f>((AM122-MAX(AM$16:AM122))/MAX(AM$16:AM122))</f>
        <v>-2.4618414574096529E-4</v>
      </c>
      <c r="AP122" s="16">
        <f t="shared" si="107"/>
        <v>0</v>
      </c>
      <c r="AQ122" s="153"/>
      <c r="AS122" s="16">
        <f t="shared" si="96"/>
        <v>1.3388993409064027E-3</v>
      </c>
      <c r="AT122" s="77">
        <f t="shared" si="109"/>
        <v>-0.12379289775526579</v>
      </c>
      <c r="AU122" s="16">
        <f t="shared" si="109"/>
        <v>0.58645628674504713</v>
      </c>
      <c r="AV122" s="16" t="str">
        <f t="shared" si="110"/>
        <v>High Volatility</v>
      </c>
      <c r="AW122" s="14" t="str">
        <f t="shared" si="101"/>
        <v>Weak/Unconfirmed</v>
      </c>
    </row>
    <row r="123" spans="1:49" ht="26.25" hidden="1" thickBot="1">
      <c r="A123" s="104" t="s">
        <v>282</v>
      </c>
      <c r="B123" s="105" t="s">
        <v>492</v>
      </c>
      <c r="C123" s="105" t="s">
        <v>495</v>
      </c>
      <c r="D123" s="15">
        <f t="shared" si="54"/>
        <v>45873</v>
      </c>
      <c r="E123" s="60">
        <f t="shared" si="55"/>
        <v>4460</v>
      </c>
      <c r="F123" s="61">
        <f t="shared" si="102"/>
        <v>19</v>
      </c>
      <c r="G123" s="62">
        <f>((E123-MAX(E$16:E123))/MAX(E$16:E123))</f>
        <v>-8.8888888888888889E-3</v>
      </c>
      <c r="H123" s="16">
        <f t="shared" si="62"/>
        <v>4.2783156946633637E-3</v>
      </c>
      <c r="I123" s="153">
        <f>AVERAGEIFS(E123:E130, E123:E130, "&gt;=0")</f>
        <v>4472.5</v>
      </c>
      <c r="K123" s="16">
        <f t="shared" si="111"/>
        <v>1.8264840182648401E-2</v>
      </c>
      <c r="L123" s="77">
        <f>(I123-I116)/I116</f>
        <v>1.3540309330916095E-2</v>
      </c>
      <c r="M123" s="16" cm="1">
        <f t="array" ref="M123">_xlfn.STDEV.S(_xlfn._xlws.FILTER(F123:F129, ISNUMBER(F123:F129))) / I123</f>
        <v>1.974681020978837E-3</v>
      </c>
      <c r="N123" s="16" t="str">
        <f>IF(M123 &lt; 0.02, "Low Volatility",
 IF(M123 &gt; 0.1, "High Volatility", "Medium Volatility"))</f>
        <v>Low Volatility</v>
      </c>
      <c r="O123" s="14" t="str">
        <f t="shared" si="83"/>
        <v>Strong Uptrend</v>
      </c>
      <c r="S123" s="78" t="s">
        <v>282</v>
      </c>
      <c r="T123" s="86" t="s">
        <v>43</v>
      </c>
      <c r="U123" s="87" t="s">
        <v>348</v>
      </c>
      <c r="V123" s="15">
        <f t="shared" si="57"/>
        <v>45873</v>
      </c>
      <c r="W123" s="60">
        <f t="shared" si="90"/>
        <v>51.93</v>
      </c>
      <c r="X123" s="61">
        <f t="shared" si="91"/>
        <v>0.22999999999999687</v>
      </c>
      <c r="Y123" s="62">
        <f>((W123-MAX(W$16:W123))/MAX(W$16:W123))</f>
        <v>0</v>
      </c>
      <c r="Z123" s="16">
        <f t="shared" si="92"/>
        <v>4.4487427466150262E-3</v>
      </c>
      <c r="AA123" s="153">
        <f>AVERAGEIFS(W123:W129, W123:W129, "&gt;=0")</f>
        <v>51.174285714285709</v>
      </c>
      <c r="AC123" s="16">
        <f t="shared" ref="AC123:AC128" si="114">(W123-W116)/W116</f>
        <v>1.3497878904743595E-3</v>
      </c>
      <c r="AD123" s="66">
        <f>(AA123-AA116)/AA116</f>
        <v>-1.4495177565925271E-3</v>
      </c>
      <c r="AE123" s="16" cm="1">
        <f t="array" ref="AE123">_xlfn.STDEV.S(_xlfn._xlws.FILTER(X123:X129, ISNUMBER(X123:X129))) / AA123</f>
        <v>1.4028796568654222E-2</v>
      </c>
      <c r="AF123" s="17" t="str">
        <f>AF117</f>
        <v>Medium Volatility</v>
      </c>
      <c r="AG123" s="14" t="str">
        <f t="shared" ref="AG123:AG186" si="115">IF(AND(AC123 &gt; 0.01, AD123 &gt; 0.01), "Strong Uptrend",
 IF(AND(AC123 &lt; -0.01, AD123 &lt; -0.01), "Strong Downtrend",
 IF(ABS(AD123) &lt; 0.005, "Stable", "Weak/Unconfirmed")))</f>
        <v>Stable</v>
      </c>
      <c r="AI123" s="78" t="s">
        <v>282</v>
      </c>
      <c r="AJ123" s="88">
        <v>406200</v>
      </c>
      <c r="AK123" s="89">
        <v>405500</v>
      </c>
      <c r="AL123" s="15">
        <f t="shared" si="113"/>
        <v>45873</v>
      </c>
      <c r="AM123" s="60">
        <f t="shared" si="105"/>
        <v>40.549999999999997</v>
      </c>
      <c r="AN123" s="61">
        <f t="shared" si="106"/>
        <v>-6.0000000000002274E-2</v>
      </c>
      <c r="AO123" s="62">
        <f>((AM123-MAX(AM$16:AM123))/MAX(AM$16:AM123))</f>
        <v>-1.723289020187107E-3</v>
      </c>
      <c r="AP123" s="16">
        <f t="shared" si="107"/>
        <v>-1.4774686037922254E-3</v>
      </c>
      <c r="AQ123" s="153">
        <f>AVERAGEIFS(AM123:AM129, AM123:AM129, "&gt;=0")</f>
        <v>40.630000000000003</v>
      </c>
      <c r="AS123" s="16">
        <f t="shared" ref="AS123:AS124" si="116">(AM123-AM116)/AM116</f>
        <v>-1.5287428309357785E-4</v>
      </c>
      <c r="AT123" s="77">
        <f>(AQ123-AQ116)/AQ116</f>
        <v>0.14637307004762284</v>
      </c>
      <c r="AU123" s="16" cm="1">
        <f t="array" ref="AU123">_xlfn.STDEV.S(_xlfn._xlws.FILTER(AN123:AN129, ISNUMBER(AN123:AN129))) / AQ123</f>
        <v>1.1114558502214409E-3</v>
      </c>
      <c r="AV123" s="16" t="str">
        <f>IF(AU123 &lt; 0.02, "Low Volatility",
 IF(AU123 &gt; 0.1, "High Volatility", "Medium Volatility"))</f>
        <v>Low Volatility</v>
      </c>
      <c r="AW123" s="14" t="str">
        <f t="shared" ref="AW123:AW186" si="117">IF(AND(AS123 &gt; 0.01, AT123 &gt; 0.01), "Strong Uptrend",
 IF(AND(AS123 &lt; -0.01, AT123 &lt; -0.01), "Strong Downtrend",
 IF(ABS(AT123) &lt; 0.005, "Stable", "Weak/Unconfirmed")))</f>
        <v>Weak/Unconfirmed</v>
      </c>
    </row>
    <row r="124" spans="1:49" ht="26.25" hidden="1" thickBot="1">
      <c r="A124" s="104" t="s">
        <v>283</v>
      </c>
      <c r="B124" s="105" t="s">
        <v>495</v>
      </c>
      <c r="C124" s="105" t="s">
        <v>496</v>
      </c>
      <c r="D124" s="15">
        <f t="shared" si="54"/>
        <v>45874</v>
      </c>
      <c r="E124" s="60">
        <f t="shared" si="55"/>
        <v>4455</v>
      </c>
      <c r="F124" s="61">
        <f t="shared" si="102"/>
        <v>-5</v>
      </c>
      <c r="G124" s="62">
        <f>((E124-MAX(E$16:E124))/MAX(E$16:E124))</f>
        <v>-0.01</v>
      </c>
      <c r="H124" s="16">
        <f t="shared" si="62"/>
        <v>-1.1210762331838565E-3</v>
      </c>
      <c r="I124" s="153"/>
      <c r="K124" s="16">
        <f t="shared" si="111"/>
        <v>1.2500000000000001E-2</v>
      </c>
      <c r="L124" s="77">
        <f t="shared" ref="L124:L129" si="118">L123</f>
        <v>1.3540309330916095E-2</v>
      </c>
      <c r="M124" s="16">
        <f t="shared" ref="M124:N178" si="119">M123</f>
        <v>1.974681020978837E-3</v>
      </c>
      <c r="N124" s="16" t="str">
        <f t="shared" si="119"/>
        <v>Low Volatility</v>
      </c>
      <c r="O124" s="14" t="str">
        <f t="shared" si="83"/>
        <v>Strong Uptrend</v>
      </c>
      <c r="S124" s="78" t="s">
        <v>283</v>
      </c>
      <c r="T124" s="86" t="s">
        <v>43</v>
      </c>
      <c r="U124" s="87" t="s">
        <v>349</v>
      </c>
      <c r="V124" s="15">
        <f t="shared" si="57"/>
        <v>45874</v>
      </c>
      <c r="W124" s="60">
        <f t="shared" si="90"/>
        <v>52</v>
      </c>
      <c r="X124" s="61">
        <f t="shared" si="91"/>
        <v>7.0000000000000284E-2</v>
      </c>
      <c r="Y124" s="62">
        <f>((W124-MAX(W$16:W124))/MAX(W$16:W124))</f>
        <v>0</v>
      </c>
      <c r="Z124" s="16">
        <f t="shared" si="92"/>
        <v>1.3479684190256169E-3</v>
      </c>
      <c r="AA124" s="153"/>
      <c r="AC124" s="16">
        <f t="shared" si="114"/>
        <v>2.5062656641604503E-3</v>
      </c>
      <c r="AD124" s="16">
        <f>AD123</f>
        <v>-1.4495177565925271E-3</v>
      </c>
      <c r="AE124" s="16" cm="1">
        <f t="array" ref="AE124">_xlfn.STDEV.S(_xlfn._xlws.FILTER(X123:X129, ISNUMBER(X123:X129))) / AA123</f>
        <v>1.4028796568654222E-2</v>
      </c>
      <c r="AF124" s="16" t="str">
        <f>IF(AE124 &lt; 0.02, "Low Volatility",
 IF(AE124 &gt; 0.1, "High Volatility", "Medium Volatility"))</f>
        <v>Low Volatility</v>
      </c>
      <c r="AG124" s="14" t="str">
        <f t="shared" si="115"/>
        <v>Stable</v>
      </c>
      <c r="AI124" s="78" t="s">
        <v>283</v>
      </c>
      <c r="AJ124" s="88">
        <v>406100</v>
      </c>
      <c r="AK124" s="89">
        <v>406300</v>
      </c>
      <c r="AL124" s="15">
        <f t="shared" si="113"/>
        <v>45874</v>
      </c>
      <c r="AM124" s="60">
        <f t="shared" si="105"/>
        <v>40.630000000000003</v>
      </c>
      <c r="AN124" s="61">
        <f t="shared" si="106"/>
        <v>8.00000000000054E-2</v>
      </c>
      <c r="AO124" s="62">
        <f>((AM124-MAX(AM$16:AM124))/MAX(AM$16:AM124))</f>
        <v>0</v>
      </c>
      <c r="AP124" s="16">
        <f t="shared" si="107"/>
        <v>1.9728729963009966E-3</v>
      </c>
      <c r="AQ124" s="153"/>
      <c r="AS124" s="16">
        <f t="shared" si="116"/>
        <v>1.8196971116624743E-3</v>
      </c>
      <c r="AT124" s="77">
        <f>AT123</f>
        <v>0.14637307004762284</v>
      </c>
      <c r="AU124" s="16">
        <f>AU123</f>
        <v>1.1114558502214409E-3</v>
      </c>
      <c r="AV124" s="16" t="str">
        <f>AV123</f>
        <v>Low Volatility</v>
      </c>
      <c r="AW124" s="14" t="str">
        <f t="shared" si="117"/>
        <v>Weak/Unconfirmed</v>
      </c>
    </row>
    <row r="125" spans="1:49" ht="26.25" hidden="1" thickBot="1">
      <c r="A125" s="104" t="s">
        <v>284</v>
      </c>
      <c r="B125" s="105" t="s">
        <v>496</v>
      </c>
      <c r="C125" s="105" t="s">
        <v>497</v>
      </c>
      <c r="D125" s="15">
        <f t="shared" si="54"/>
        <v>45875</v>
      </c>
      <c r="E125" s="60">
        <f t="shared" si="55"/>
        <v>4465</v>
      </c>
      <c r="F125" s="61">
        <f t="shared" si="102"/>
        <v>10</v>
      </c>
      <c r="G125" s="62">
        <f>((E125-MAX(E$16:E125))/MAX(E$16:E125))</f>
        <v>-7.7777777777777776E-3</v>
      </c>
      <c r="H125" s="16">
        <f t="shared" si="62"/>
        <v>2.2446689113355782E-3</v>
      </c>
      <c r="I125" s="153"/>
      <c r="K125" s="16">
        <f t="shared" si="111"/>
        <v>2.1739130434782608E-2</v>
      </c>
      <c r="L125" s="77">
        <f t="shared" si="118"/>
        <v>1.3540309330916095E-2</v>
      </c>
      <c r="M125" s="16">
        <f t="shared" si="119"/>
        <v>1.974681020978837E-3</v>
      </c>
      <c r="N125" s="16" t="str">
        <f t="shared" si="119"/>
        <v>Low Volatility</v>
      </c>
      <c r="O125" s="14" t="str">
        <f t="shared" si="83"/>
        <v>Strong Uptrend</v>
      </c>
      <c r="S125" s="78" t="s">
        <v>284</v>
      </c>
      <c r="T125" s="86" t="s">
        <v>43</v>
      </c>
      <c r="U125" s="87" t="s">
        <v>350</v>
      </c>
      <c r="V125" s="15">
        <f t="shared" si="57"/>
        <v>45875</v>
      </c>
      <c r="W125" s="60">
        <f t="shared" si="90"/>
        <v>50.32</v>
      </c>
      <c r="X125" s="61">
        <f t="shared" si="91"/>
        <v>-1.6799999999999997</v>
      </c>
      <c r="Y125" s="62">
        <f>((W125-MAX(W$16:W125))/MAX(W$16:W125))</f>
        <v>-3.2307692307692301E-2</v>
      </c>
      <c r="Z125" s="16">
        <f t="shared" si="92"/>
        <v>-3.2307692307692301E-2</v>
      </c>
      <c r="AA125" s="153"/>
      <c r="AC125" s="16">
        <f t="shared" si="114"/>
        <v>-3.0069390902081768E-2</v>
      </c>
      <c r="AD125" s="16">
        <f>AD123</f>
        <v>-1.4495177565925271E-3</v>
      </c>
      <c r="AE125" s="16">
        <f>AE124</f>
        <v>1.4028796568654222E-2</v>
      </c>
      <c r="AF125" s="16" t="str">
        <f t="shared" ref="AF125:AF129" si="120">AF124</f>
        <v>Low Volatility</v>
      </c>
      <c r="AG125" s="14" t="str">
        <f t="shared" si="115"/>
        <v>Stable</v>
      </c>
      <c r="AI125" s="78" t="s">
        <v>284</v>
      </c>
      <c r="AJ125" s="88">
        <v>406600</v>
      </c>
      <c r="AK125" s="89">
        <v>406600</v>
      </c>
      <c r="AL125" s="15">
        <f t="shared" si="113"/>
        <v>45875</v>
      </c>
      <c r="AM125" s="60">
        <f t="shared" si="105"/>
        <v>40.659999999999997</v>
      </c>
      <c r="AN125" s="61">
        <f t="shared" si="106"/>
        <v>2.9999999999994031E-2</v>
      </c>
      <c r="AO125" s="62">
        <f>((AM125-MAX(AM$16:AM125))/MAX(AM$16:AM125))</f>
        <v>0</v>
      </c>
      <c r="AP125" s="16">
        <f t="shared" si="107"/>
        <v>7.3837066207221337E-4</v>
      </c>
      <c r="AQ125" s="153"/>
      <c r="AS125" s="16">
        <f>(AM134-AM118)/AM118</f>
        <v>8.4771255689636039E-3</v>
      </c>
      <c r="AT125" s="77">
        <f t="shared" ref="AT125:AU129" si="121">AT124</f>
        <v>0.14637307004762284</v>
      </c>
      <c r="AU125" s="16">
        <f t="shared" si="121"/>
        <v>1.1114558502214409E-3</v>
      </c>
      <c r="AV125" s="16" t="str">
        <f t="shared" ref="AV125:AV129" si="122">AV124</f>
        <v>Low Volatility</v>
      </c>
      <c r="AW125" s="14" t="str">
        <f t="shared" si="117"/>
        <v>Weak/Unconfirmed</v>
      </c>
    </row>
    <row r="126" spans="1:49" ht="26.25" hidden="1" thickBot="1">
      <c r="A126" s="104" t="s">
        <v>285</v>
      </c>
      <c r="B126" s="105" t="s">
        <v>497</v>
      </c>
      <c r="C126" s="105" t="s">
        <v>489</v>
      </c>
      <c r="D126" s="15">
        <f t="shared" si="54"/>
        <v>45876</v>
      </c>
      <c r="E126" s="60">
        <f t="shared" si="55"/>
        <v>4480</v>
      </c>
      <c r="F126" s="61">
        <f t="shared" si="102"/>
        <v>15</v>
      </c>
      <c r="G126" s="62">
        <f>((E126-MAX(E$16:E126))/MAX(E$16:E126))</f>
        <v>-4.4444444444444444E-3</v>
      </c>
      <c r="H126" s="16">
        <f t="shared" si="62"/>
        <v>3.3594624860022394E-3</v>
      </c>
      <c r="I126" s="153"/>
      <c r="K126" s="16">
        <f t="shared" si="111"/>
        <v>2.2831050228310501E-2</v>
      </c>
      <c r="L126" s="77">
        <f t="shared" si="118"/>
        <v>1.3540309330916095E-2</v>
      </c>
      <c r="M126" s="16">
        <f t="shared" si="119"/>
        <v>1.974681020978837E-3</v>
      </c>
      <c r="N126" s="16" t="str">
        <f t="shared" si="119"/>
        <v>Low Volatility</v>
      </c>
      <c r="O126" s="14" t="str">
        <f t="shared" si="83"/>
        <v>Strong Uptrend</v>
      </c>
      <c r="S126" s="78" t="s">
        <v>285</v>
      </c>
      <c r="T126" s="86" t="s">
        <v>43</v>
      </c>
      <c r="U126" s="87" t="s">
        <v>351</v>
      </c>
      <c r="V126" s="15">
        <f t="shared" si="57"/>
        <v>45876</v>
      </c>
      <c r="W126" s="60">
        <f t="shared" si="90"/>
        <v>50.76</v>
      </c>
      <c r="X126" s="61">
        <f t="shared" si="91"/>
        <v>0.43999999999999773</v>
      </c>
      <c r="Y126" s="62">
        <f>((W126-MAX(W$16:W126))/MAX(W$16:W126))</f>
        <v>-2.3846153846153885E-2</v>
      </c>
      <c r="Z126" s="16">
        <f t="shared" si="92"/>
        <v>8.7440381558028159E-3</v>
      </c>
      <c r="AA126" s="153"/>
      <c r="AC126" s="16">
        <f t="shared" si="114"/>
        <v>5.7279733388877319E-2</v>
      </c>
      <c r="AD126" s="16">
        <f>AD123</f>
        <v>-1.4495177565925271E-3</v>
      </c>
      <c r="AE126" s="16">
        <f t="shared" ref="AE126:AE129" si="123">AE125</f>
        <v>1.4028796568654222E-2</v>
      </c>
      <c r="AF126" s="16" t="str">
        <f t="shared" si="120"/>
        <v>Low Volatility</v>
      </c>
      <c r="AG126" s="14" t="str">
        <f t="shared" si="115"/>
        <v>Stable</v>
      </c>
      <c r="AI126" s="78" t="s">
        <v>285</v>
      </c>
      <c r="AJ126" s="88">
        <v>406400</v>
      </c>
      <c r="AK126" s="89">
        <v>406400</v>
      </c>
      <c r="AL126" s="15">
        <f t="shared" si="113"/>
        <v>45876</v>
      </c>
      <c r="AM126" s="60">
        <f t="shared" si="105"/>
        <v>40.64</v>
      </c>
      <c r="AN126" s="61">
        <f t="shared" si="106"/>
        <v>-1.9999999999996021E-2</v>
      </c>
      <c r="AO126" s="62">
        <f>((AM126-MAX(AM$16:AM126))/MAX(AM$16:AM126))</f>
        <v>-4.9188391539586873E-4</v>
      </c>
      <c r="AP126" s="16">
        <f t="shared" si="107"/>
        <v>-4.9188391539586873E-4</v>
      </c>
      <c r="AQ126" s="153"/>
      <c r="AS126" s="16">
        <f t="shared" ref="AS126:AS189" si="124">(AM126-AM119)/AM119</f>
        <v>7.8600143888028953</v>
      </c>
      <c r="AT126" s="77">
        <f t="shared" si="121"/>
        <v>0.14637307004762284</v>
      </c>
      <c r="AU126" s="16">
        <f t="shared" si="121"/>
        <v>1.1114558502214409E-3</v>
      </c>
      <c r="AV126" s="16" t="str">
        <f t="shared" si="122"/>
        <v>Low Volatility</v>
      </c>
      <c r="AW126" s="14" t="str">
        <f t="shared" si="117"/>
        <v>Strong Uptrend</v>
      </c>
    </row>
    <row r="127" spans="1:49" ht="26.25" hidden="1" thickBot="1">
      <c r="A127" s="104" t="s">
        <v>286</v>
      </c>
      <c r="B127" s="105" t="s">
        <v>489</v>
      </c>
      <c r="C127" s="105" t="s">
        <v>498</v>
      </c>
      <c r="D127" s="15">
        <f t="shared" si="54"/>
        <v>45877</v>
      </c>
      <c r="E127" s="60">
        <f t="shared" si="55"/>
        <v>4490</v>
      </c>
      <c r="F127" s="61">
        <f t="shared" si="102"/>
        <v>10</v>
      </c>
      <c r="G127" s="62">
        <f>((E127-MAX(E$16:E127))/MAX(E$16:E127))</f>
        <v>-2.2222222222222222E-3</v>
      </c>
      <c r="H127" s="16">
        <f t="shared" si="62"/>
        <v>2.232142857142857E-3</v>
      </c>
      <c r="I127" s="153"/>
      <c r="K127" s="16">
        <f t="shared" si="111"/>
        <v>1.3544018058690745E-2</v>
      </c>
      <c r="L127" s="77">
        <f t="shared" si="118"/>
        <v>1.3540309330916095E-2</v>
      </c>
      <c r="M127" s="16">
        <f t="shared" si="119"/>
        <v>1.974681020978837E-3</v>
      </c>
      <c r="N127" s="16" t="str">
        <f t="shared" si="119"/>
        <v>Low Volatility</v>
      </c>
      <c r="O127" s="14" t="str">
        <f t="shared" si="83"/>
        <v>Strong Uptrend</v>
      </c>
      <c r="S127" s="78" t="s">
        <v>286</v>
      </c>
      <c r="T127" s="86" t="s">
        <v>43</v>
      </c>
      <c r="U127" s="87" t="s">
        <v>352</v>
      </c>
      <c r="V127" s="15">
        <f t="shared" si="57"/>
        <v>45877</v>
      </c>
      <c r="W127" s="60">
        <f t="shared" si="90"/>
        <v>50.96</v>
      </c>
      <c r="X127" s="61">
        <f t="shared" si="91"/>
        <v>0.20000000000000284</v>
      </c>
      <c r="Y127" s="62">
        <f>((W127-MAX(W$16:W127))/MAX(W$16:W127))</f>
        <v>-1.9999999999999983E-2</v>
      </c>
      <c r="Z127" s="16">
        <f t="shared" si="92"/>
        <v>3.9401103230891025E-3</v>
      </c>
      <c r="AA127" s="153"/>
      <c r="AC127" s="16">
        <f t="shared" si="114"/>
        <v>-1.4694508894044819E-2</v>
      </c>
      <c r="AD127" s="16">
        <f>AD123</f>
        <v>-1.4495177565925271E-3</v>
      </c>
      <c r="AE127" s="16">
        <f t="shared" si="123"/>
        <v>1.4028796568654222E-2</v>
      </c>
      <c r="AF127" s="16" t="str">
        <f t="shared" si="120"/>
        <v>Low Volatility</v>
      </c>
      <c r="AG127" s="14" t="str">
        <f t="shared" si="115"/>
        <v>Stable</v>
      </c>
      <c r="AI127" s="78" t="s">
        <v>286</v>
      </c>
      <c r="AJ127" s="88">
        <v>406100</v>
      </c>
      <c r="AK127" s="89">
        <v>406600</v>
      </c>
      <c r="AL127" s="15">
        <f t="shared" si="113"/>
        <v>45877</v>
      </c>
      <c r="AM127" s="60">
        <f t="shared" si="105"/>
        <v>40.659999999999997</v>
      </c>
      <c r="AN127" s="61">
        <f t="shared" si="106"/>
        <v>1.9999999999996021E-2</v>
      </c>
      <c r="AO127" s="62">
        <f>((AM127-MAX(AM$16:AM127))/MAX(AM$16:AM127))</f>
        <v>0</v>
      </c>
      <c r="AP127" s="16">
        <f t="shared" si="107"/>
        <v>4.9212598425187059E-4</v>
      </c>
      <c r="AQ127" s="153"/>
      <c r="AS127" s="16">
        <f t="shared" si="124"/>
        <v>9.8473658296403615E-4</v>
      </c>
      <c r="AT127" s="77">
        <f t="shared" si="121"/>
        <v>0.14637307004762284</v>
      </c>
      <c r="AU127" s="16">
        <f t="shared" si="121"/>
        <v>1.1114558502214409E-3</v>
      </c>
      <c r="AV127" s="16" t="str">
        <f t="shared" si="122"/>
        <v>Low Volatility</v>
      </c>
      <c r="AW127" s="14" t="str">
        <f t="shared" si="117"/>
        <v>Weak/Unconfirmed</v>
      </c>
    </row>
    <row r="128" spans="1:49" ht="26.25" hidden="1" thickBot="1">
      <c r="A128" s="104" t="s">
        <v>287</v>
      </c>
      <c r="B128" s="106" t="s">
        <v>489</v>
      </c>
      <c r="C128" s="106" t="s">
        <v>498</v>
      </c>
      <c r="D128" s="15">
        <f t="shared" si="54"/>
        <v>45878</v>
      </c>
      <c r="E128" s="60">
        <f t="shared" si="55"/>
        <v>4490</v>
      </c>
      <c r="F128" s="61">
        <f t="shared" si="102"/>
        <v>0</v>
      </c>
      <c r="G128" s="62">
        <f>((E128-MAX(E$16:E128))/MAX(E$16:E128))</f>
        <v>-2.2222222222222222E-3</v>
      </c>
      <c r="H128" s="16">
        <f t="shared" si="62"/>
        <v>0</v>
      </c>
      <c r="I128" s="153"/>
      <c r="K128" s="16">
        <f t="shared" si="111"/>
        <v>1.1033551002026571E-2</v>
      </c>
      <c r="L128" s="77">
        <f t="shared" si="118"/>
        <v>1.3540309330916095E-2</v>
      </c>
      <c r="M128" s="16">
        <f t="shared" si="119"/>
        <v>1.974681020978837E-3</v>
      </c>
      <c r="N128" s="16" t="str">
        <f t="shared" si="119"/>
        <v>Low Volatility</v>
      </c>
      <c r="O128" s="14" t="str">
        <f t="shared" si="83"/>
        <v>Strong Uptrend</v>
      </c>
      <c r="S128" s="78" t="s">
        <v>287</v>
      </c>
      <c r="T128" s="86" t="s">
        <v>43</v>
      </c>
      <c r="U128" s="87" t="s">
        <v>353</v>
      </c>
      <c r="V128" s="15">
        <f t="shared" si="57"/>
        <v>45878</v>
      </c>
      <c r="W128" s="60">
        <f t="shared" si="90"/>
        <v>51.11</v>
      </c>
      <c r="X128" s="61">
        <f t="shared" si="91"/>
        <v>0.14999999999999858</v>
      </c>
      <c r="Y128" s="62">
        <f>((W128-MAX(W$16:W128))/MAX(W$16:W128))</f>
        <v>-1.7115384615384626E-2</v>
      </c>
      <c r="Z128" s="16">
        <f t="shared" si="92"/>
        <v>2.9434850863422012E-3</v>
      </c>
      <c r="AA128" s="153"/>
      <c r="AC128" s="16">
        <f t="shared" si="114"/>
        <v>-1.1411992263056158E-2</v>
      </c>
      <c r="AD128" s="16">
        <f>AD123</f>
        <v>-1.4495177565925271E-3</v>
      </c>
      <c r="AE128" s="16">
        <f t="shared" si="123"/>
        <v>1.4028796568654222E-2</v>
      </c>
      <c r="AF128" s="16" t="str">
        <f t="shared" si="120"/>
        <v>Low Volatility</v>
      </c>
      <c r="AG128" s="14" t="str">
        <f t="shared" si="115"/>
        <v>Stable</v>
      </c>
      <c r="AI128" s="78" t="s">
        <v>287</v>
      </c>
      <c r="AJ128" s="90">
        <v>406500</v>
      </c>
      <c r="AK128" s="89">
        <v>406350</v>
      </c>
      <c r="AL128" s="15">
        <f t="shared" si="113"/>
        <v>45878</v>
      </c>
      <c r="AM128" s="60">
        <f t="shared" si="105"/>
        <v>40.634999999999998</v>
      </c>
      <c r="AN128" s="61">
        <f t="shared" si="106"/>
        <v>-2.4999999999998579E-2</v>
      </c>
      <c r="AO128" s="62">
        <f>((AM128-MAX(AM$16:AM128))/MAX(AM$16:AM128))</f>
        <v>-6.148548942449233E-4</v>
      </c>
      <c r="AP128" s="16">
        <f t="shared" si="107"/>
        <v>-6.148548942449233E-4</v>
      </c>
      <c r="AQ128" s="153"/>
      <c r="AS128" s="16">
        <f t="shared" si="124"/>
        <v>6.1561191824670227E-4</v>
      </c>
      <c r="AT128" s="77">
        <f t="shared" si="121"/>
        <v>0.14637307004762284</v>
      </c>
      <c r="AU128" s="16">
        <f t="shared" si="121"/>
        <v>1.1114558502214409E-3</v>
      </c>
      <c r="AV128" s="16" t="str">
        <f t="shared" si="122"/>
        <v>Low Volatility</v>
      </c>
      <c r="AW128" s="14" t="str">
        <f t="shared" si="117"/>
        <v>Weak/Unconfirmed</v>
      </c>
    </row>
    <row r="129" spans="1:49" ht="15.75" hidden="1" thickBot="1">
      <c r="A129" s="107" t="s">
        <v>289</v>
      </c>
      <c r="B129" s="106" t="s">
        <v>489</v>
      </c>
      <c r="C129" s="106" t="s">
        <v>498</v>
      </c>
      <c r="D129" s="15">
        <f t="shared" si="54"/>
        <v>45879</v>
      </c>
      <c r="E129" s="60">
        <f t="shared" si="55"/>
        <v>4490</v>
      </c>
      <c r="F129" s="61">
        <f t="shared" si="102"/>
        <v>0</v>
      </c>
      <c r="G129" s="62">
        <f>((E129-MAX(E$16:E129))/MAX(E$16:E129))</f>
        <v>-2.2222222222222222E-3</v>
      </c>
      <c r="H129" s="16">
        <f t="shared" si="62"/>
        <v>0</v>
      </c>
      <c r="I129" s="153"/>
      <c r="K129" s="16">
        <f t="shared" si="111"/>
        <v>1.1033551002026571E-2</v>
      </c>
      <c r="L129" s="77">
        <f t="shared" si="118"/>
        <v>1.3540309330916095E-2</v>
      </c>
      <c r="M129" s="16">
        <f t="shared" si="119"/>
        <v>1.974681020978837E-3</v>
      </c>
      <c r="N129" s="16" t="str">
        <f t="shared" si="119"/>
        <v>Low Volatility</v>
      </c>
      <c r="O129" s="14" t="str">
        <f t="shared" si="83"/>
        <v>Strong Uptrend</v>
      </c>
      <c r="S129" s="78" t="s">
        <v>289</v>
      </c>
      <c r="T129" s="86" t="s">
        <v>43</v>
      </c>
      <c r="U129" s="87" t="s">
        <v>354</v>
      </c>
      <c r="V129" s="15">
        <f t="shared" si="57"/>
        <v>45879</v>
      </c>
      <c r="W129" s="60">
        <f t="shared" si="90"/>
        <v>51.14</v>
      </c>
      <c r="X129" s="61">
        <f t="shared" si="91"/>
        <v>3.0000000000001137E-2</v>
      </c>
      <c r="Y129" s="62">
        <f>((W129-MAX(W$16:W129))/MAX(W$16:W129))</f>
        <v>-1.6538461538461526E-2</v>
      </c>
      <c r="Z129" s="16">
        <f t="shared" si="92"/>
        <v>5.8696928194093404E-4</v>
      </c>
      <c r="AA129" s="153"/>
      <c r="AC129" s="16">
        <f>(W129-W122)/W122</f>
        <v>-1.0831721470019385E-2</v>
      </c>
      <c r="AD129" s="16">
        <f>AD123</f>
        <v>-1.4495177565925271E-3</v>
      </c>
      <c r="AE129" s="16">
        <f t="shared" si="123"/>
        <v>1.4028796568654222E-2</v>
      </c>
      <c r="AF129" s="16" t="str">
        <f t="shared" si="120"/>
        <v>Low Volatility</v>
      </c>
      <c r="AG129" s="14" t="str">
        <f t="shared" si="115"/>
        <v>Stable</v>
      </c>
      <c r="AJ129" s="90">
        <v>406500</v>
      </c>
      <c r="AK129" s="89">
        <v>406350</v>
      </c>
      <c r="AL129" s="15">
        <f t="shared" si="113"/>
        <v>45879</v>
      </c>
      <c r="AM129" s="60">
        <f t="shared" si="105"/>
        <v>40.634999999999998</v>
      </c>
      <c r="AN129" s="61">
        <f t="shared" si="106"/>
        <v>0</v>
      </c>
      <c r="AO129" s="62">
        <f>((AM129-MAX(AM$16:AM129))/MAX(AM$16:AM129))</f>
        <v>-6.148548942449233E-4</v>
      </c>
      <c r="AP129" s="16">
        <f t="shared" si="107"/>
        <v>0</v>
      </c>
      <c r="AQ129" s="153"/>
      <c r="AS129" s="16">
        <f t="shared" si="124"/>
        <v>6.1561191824670227E-4</v>
      </c>
      <c r="AT129" s="77">
        <f t="shared" si="121"/>
        <v>0.14637307004762284</v>
      </c>
      <c r="AU129" s="16">
        <f t="shared" si="121"/>
        <v>1.1114558502214409E-3</v>
      </c>
      <c r="AV129" s="16" t="str">
        <f t="shared" si="122"/>
        <v>Low Volatility</v>
      </c>
      <c r="AW129" s="14" t="str">
        <f t="shared" si="117"/>
        <v>Weak/Unconfirmed</v>
      </c>
    </row>
    <row r="130" spans="1:49" ht="39" hidden="1" thickBot="1">
      <c r="A130" s="104" t="s">
        <v>290</v>
      </c>
      <c r="B130" s="105" t="s">
        <v>489</v>
      </c>
      <c r="C130" s="105" t="s">
        <v>491</v>
      </c>
      <c r="D130" s="15">
        <f t="shared" si="54"/>
        <v>45880</v>
      </c>
      <c r="E130" s="60">
        <f t="shared" si="55"/>
        <v>4450</v>
      </c>
      <c r="F130" s="61">
        <f t="shared" si="102"/>
        <v>-40</v>
      </c>
      <c r="G130" s="62">
        <f>((E130-MAX(E$16:E130))/MAX(E$16:E130))</f>
        <v>-1.1111111111111112E-2</v>
      </c>
      <c r="H130" s="16">
        <f t="shared" si="62"/>
        <v>-8.9086859688195987E-3</v>
      </c>
      <c r="I130" s="153">
        <f>AVERAGEIFS(E130:E137, E130:E137, "&gt;=0")</f>
        <v>4464.375</v>
      </c>
      <c r="K130" s="16">
        <f t="shared" si="111"/>
        <v>-2.242152466367713E-3</v>
      </c>
      <c r="L130" s="77">
        <f t="shared" ref="L130" si="125">(I130-I123)/I123</f>
        <v>-1.8166573504751259E-3</v>
      </c>
      <c r="M130" s="16" cm="1">
        <f t="array" ref="M130">_xlfn.STDEV.S(_xlfn._xlws.FILTER(F130:F136, ISNUMBER(F130:F136))) / I130</f>
        <v>4.5657528931180285E-3</v>
      </c>
      <c r="N130" s="16" t="str">
        <f>IF(M130 &lt; 0.02, "Low Volatility",
 IF(M130 &gt; 0.1, "High Volatility", "Medium Volatility"))</f>
        <v>Low Volatility</v>
      </c>
      <c r="O130" s="14" t="str">
        <f t="shared" ref="O130:O178" si="126">IF(AND(K130 &gt; 0.01, L130 &gt; 0.01), "Strong Uptrend",
 IF(AND(K130 &lt; -0.01, L130 &lt; -0.01), "Strong Downtrend",
 IF(ABS(L130) &lt; 0.005, "Stable", "Weak/Unconfirmed")))</f>
        <v>Stable</v>
      </c>
      <c r="S130" s="78" t="s">
        <v>290</v>
      </c>
      <c r="T130" s="86" t="s">
        <v>43</v>
      </c>
      <c r="U130" s="87" t="s">
        <v>355</v>
      </c>
      <c r="V130" s="15">
        <f t="shared" si="57"/>
        <v>45880</v>
      </c>
      <c r="W130" s="60">
        <f t="shared" si="90"/>
        <v>50.09</v>
      </c>
      <c r="X130" s="61">
        <f t="shared" si="91"/>
        <v>-1.0499999999999972</v>
      </c>
      <c r="Y130" s="62">
        <f>((W130-MAX(W$16:W130))/MAX(W$16:W130))</f>
        <v>-3.6730769230769164E-2</v>
      </c>
      <c r="Z130" s="16">
        <f t="shared" si="92"/>
        <v>-2.0531873289010502E-2</v>
      </c>
      <c r="AA130" s="153">
        <f t="shared" ref="AA130" si="127">AVERAGEIFS(W130:W136, W130:W136, "&gt;=0")</f>
        <v>50.65</v>
      </c>
      <c r="AC130" s="16">
        <f t="shared" ref="AC130:AC193" si="128">(W130-W123)/W123</f>
        <v>-3.5432312728673143E-2</v>
      </c>
      <c r="AD130" s="66">
        <f t="shared" ref="AD130" si="129">(AA130-AA123)/AA123</f>
        <v>-1.0245100776059331E-2</v>
      </c>
      <c r="AE130" s="16" cm="1">
        <f t="array" ref="AE130">_xlfn.STDEV.S(_xlfn._xlws.FILTER(X130:X136, ISNUMBER(X130:X136))) / AA130</f>
        <v>1.2016896702484146E-2</v>
      </c>
      <c r="AF130" s="17" t="str">
        <f>AF124</f>
        <v>Low Volatility</v>
      </c>
      <c r="AG130" s="14" t="str">
        <f t="shared" si="115"/>
        <v>Strong Downtrend</v>
      </c>
      <c r="AI130" s="78" t="s">
        <v>290</v>
      </c>
      <c r="AJ130" s="88">
        <v>406800</v>
      </c>
      <c r="AK130" s="89">
        <v>407200</v>
      </c>
      <c r="AL130" s="15">
        <f t="shared" si="113"/>
        <v>45880</v>
      </c>
      <c r="AM130" s="60">
        <f t="shared" si="105"/>
        <v>40.72</v>
      </c>
      <c r="AN130" s="61">
        <f t="shared" si="106"/>
        <v>8.5000000000000853E-2</v>
      </c>
      <c r="AO130" s="62">
        <f>((AM130-MAX(AM$16:AM130))/MAX(AM$16:AM130))</f>
        <v>0</v>
      </c>
      <c r="AP130" s="16">
        <f t="shared" si="107"/>
        <v>2.0917927894672293E-3</v>
      </c>
      <c r="AQ130" s="153">
        <f t="shared" ref="AQ130" si="130">AVERAGEIFS(AM130:AM136, AM130:AM136, "&gt;=0")</f>
        <v>40.821428571428569</v>
      </c>
      <c r="AS130" s="16">
        <f t="shared" si="124"/>
        <v>4.1923551171393764E-3</v>
      </c>
      <c r="AT130" s="77">
        <f>(AQ130-AQ123)/AQ123</f>
        <v>4.7115080341759005E-3</v>
      </c>
      <c r="AU130" s="16" cm="1">
        <f t="array" ref="AU130">_xlfn.STDEV.S(_xlfn._xlws.FILTER(AN130:AN136, ISNUMBER(AN130:AN136))) / AQ130</f>
        <v>8.6237770991085829E-4</v>
      </c>
      <c r="AV130" s="16" t="str">
        <f>IF(AU130 &lt; 0.02, "Low Volatility",
 IF(AU130 &gt; 0.1, "High Volatility", "Medium Volatility"))</f>
        <v>Low Volatility</v>
      </c>
      <c r="AW130" s="14" t="str">
        <f t="shared" si="117"/>
        <v>Stable</v>
      </c>
    </row>
    <row r="131" spans="1:49" ht="39" hidden="1" thickBot="1">
      <c r="A131" s="104" t="s">
        <v>291</v>
      </c>
      <c r="B131" s="105" t="s">
        <v>491</v>
      </c>
      <c r="C131" s="105" t="s">
        <v>491</v>
      </c>
      <c r="D131" s="15">
        <f t="shared" si="54"/>
        <v>45881</v>
      </c>
      <c r="E131" s="60">
        <f t="shared" si="55"/>
        <v>4450</v>
      </c>
      <c r="F131" s="61">
        <f t="shared" ref="F131:F184" si="131">E131-E130</f>
        <v>0</v>
      </c>
      <c r="G131" s="62">
        <f>((E131-MAX(E$16:E131))/MAX(E$16:E131))</f>
        <v>-1.1111111111111112E-2</v>
      </c>
      <c r="H131" s="16">
        <f t="shared" si="62"/>
        <v>0</v>
      </c>
      <c r="I131" s="153"/>
      <c r="K131" s="16">
        <f t="shared" si="111"/>
        <v>-1.1223344556677891E-3</v>
      </c>
      <c r="L131" s="77">
        <f t="shared" ref="L131:L136" si="132">L130</f>
        <v>-1.8166573504751259E-3</v>
      </c>
      <c r="M131" s="16">
        <f t="shared" si="119"/>
        <v>4.5657528931180285E-3</v>
      </c>
      <c r="N131" s="16" t="str">
        <f t="shared" si="119"/>
        <v>Low Volatility</v>
      </c>
      <c r="O131" s="14" t="str">
        <f t="shared" si="126"/>
        <v>Stable</v>
      </c>
      <c r="S131" s="78" t="s">
        <v>291</v>
      </c>
      <c r="T131" s="86" t="s">
        <v>43</v>
      </c>
      <c r="U131" s="87" t="s">
        <v>356</v>
      </c>
      <c r="V131" s="15">
        <f t="shared" si="57"/>
        <v>45881</v>
      </c>
      <c r="W131" s="60">
        <f t="shared" si="90"/>
        <v>50.47</v>
      </c>
      <c r="X131" s="61">
        <f t="shared" si="91"/>
        <v>0.37999999999999545</v>
      </c>
      <c r="Y131" s="62">
        <f>((W131-MAX(W$16:W131))/MAX(W$16:W131))</f>
        <v>-2.9423076923076944E-2</v>
      </c>
      <c r="Z131" s="16">
        <f t="shared" si="92"/>
        <v>7.5863445797563472E-3</v>
      </c>
      <c r="AA131" s="153"/>
      <c r="AC131" s="16">
        <f t="shared" si="128"/>
        <v>-2.9423076923076944E-2</v>
      </c>
      <c r="AD131" s="16">
        <f t="shared" ref="AD131" si="133">AD130</f>
        <v>-1.0245100776059331E-2</v>
      </c>
      <c r="AE131" s="16" cm="1">
        <f t="array" ref="AE131">_xlfn.STDEV.S(_xlfn._xlws.FILTER(X130:X136, ISNUMBER(X130:X136))) / AA130</f>
        <v>1.2016896702484146E-2</v>
      </c>
      <c r="AF131" s="16" t="str">
        <f>IF(AE131 &lt; 0.02, "Low Volatility",
 IF(AE131 &gt; 0.1, "High Volatility", "Medium Volatility"))</f>
        <v>Low Volatility</v>
      </c>
      <c r="AG131" s="14" t="str">
        <f t="shared" si="115"/>
        <v>Strong Downtrend</v>
      </c>
      <c r="AI131" s="78" t="s">
        <v>291</v>
      </c>
      <c r="AJ131" s="88">
        <v>407200</v>
      </c>
      <c r="AK131" s="89">
        <v>407400</v>
      </c>
      <c r="AL131" s="15">
        <f t="shared" si="113"/>
        <v>45881</v>
      </c>
      <c r="AM131" s="60">
        <f t="shared" si="105"/>
        <v>40.74</v>
      </c>
      <c r="AN131" s="61">
        <f t="shared" si="106"/>
        <v>2.0000000000003126E-2</v>
      </c>
      <c r="AO131" s="62">
        <f>((AM131-MAX(AM$16:AM131))/MAX(AM$16:AM131))</f>
        <v>0</v>
      </c>
      <c r="AP131" s="16">
        <f t="shared" si="107"/>
        <v>4.9115913555999825E-4</v>
      </c>
      <c r="AQ131" s="153"/>
      <c r="AS131" s="16">
        <f t="shared" si="124"/>
        <v>2.7073590942653068E-3</v>
      </c>
      <c r="AT131" s="77">
        <f>AT130</f>
        <v>4.7115080341759005E-3</v>
      </c>
      <c r="AU131" s="16">
        <f>AU130</f>
        <v>8.6237770991085829E-4</v>
      </c>
      <c r="AV131" s="16" t="str">
        <f>AV130</f>
        <v>Low Volatility</v>
      </c>
      <c r="AW131" s="14" t="str">
        <f t="shared" si="117"/>
        <v>Stable</v>
      </c>
    </row>
    <row r="132" spans="1:49" ht="39" hidden="1" thickBot="1">
      <c r="A132" s="104" t="s">
        <v>292</v>
      </c>
      <c r="B132" s="105" t="s">
        <v>491</v>
      </c>
      <c r="C132" s="105" t="s">
        <v>499</v>
      </c>
      <c r="D132" s="15">
        <f t="shared" si="54"/>
        <v>45882</v>
      </c>
      <c r="E132" s="60">
        <f t="shared" si="55"/>
        <v>4475</v>
      </c>
      <c r="F132" s="61">
        <f t="shared" si="131"/>
        <v>25</v>
      </c>
      <c r="G132" s="62">
        <f>((E132-MAX(E$16:E132))/MAX(E$16:E132))</f>
        <v>-5.5555555555555558E-3</v>
      </c>
      <c r="H132" s="16">
        <f t="shared" si="62"/>
        <v>5.6179775280898875E-3</v>
      </c>
      <c r="I132" s="153"/>
      <c r="K132" s="16">
        <f t="shared" si="111"/>
        <v>2.2396416573348264E-3</v>
      </c>
      <c r="L132" s="77">
        <f t="shared" si="132"/>
        <v>-1.8166573504751259E-3</v>
      </c>
      <c r="M132" s="16">
        <f t="shared" si="119"/>
        <v>4.5657528931180285E-3</v>
      </c>
      <c r="N132" s="16" t="str">
        <f t="shared" si="119"/>
        <v>Low Volatility</v>
      </c>
      <c r="O132" s="14" t="str">
        <f t="shared" si="126"/>
        <v>Stable</v>
      </c>
      <c r="S132" s="78" t="s">
        <v>292</v>
      </c>
      <c r="T132" s="86" t="s">
        <v>43</v>
      </c>
      <c r="U132" s="87" t="s">
        <v>357</v>
      </c>
      <c r="V132" s="15">
        <f t="shared" si="57"/>
        <v>45882</v>
      </c>
      <c r="W132" s="60">
        <f t="shared" si="90"/>
        <v>51.25</v>
      </c>
      <c r="X132" s="61">
        <f t="shared" si="91"/>
        <v>0.78000000000000114</v>
      </c>
      <c r="Y132" s="62">
        <f>((W132-MAX(W$16:W132))/MAX(W$16:W132))</f>
        <v>-1.4423076923076924E-2</v>
      </c>
      <c r="Z132" s="16">
        <f t="shared" si="92"/>
        <v>1.5454725579552232E-2</v>
      </c>
      <c r="AA132" s="153"/>
      <c r="AC132" s="16">
        <f t="shared" si="128"/>
        <v>1.848171701112877E-2</v>
      </c>
      <c r="AD132" s="16">
        <f t="shared" ref="AD132" si="134">AD130</f>
        <v>-1.0245100776059331E-2</v>
      </c>
      <c r="AE132" s="16">
        <f>AE131</f>
        <v>1.2016896702484146E-2</v>
      </c>
      <c r="AF132" s="16" t="str">
        <f t="shared" ref="AF132:AF136" si="135">AF131</f>
        <v>Low Volatility</v>
      </c>
      <c r="AG132" s="14" t="str">
        <f t="shared" si="115"/>
        <v>Weak/Unconfirmed</v>
      </c>
      <c r="AI132" s="78" t="s">
        <v>292</v>
      </c>
      <c r="AJ132" s="88">
        <v>407300</v>
      </c>
      <c r="AK132" s="89">
        <v>407800</v>
      </c>
      <c r="AL132" s="15">
        <f t="shared" si="113"/>
        <v>45882</v>
      </c>
      <c r="AM132" s="60">
        <f t="shared" si="105"/>
        <v>40.78</v>
      </c>
      <c r="AN132" s="61">
        <f t="shared" si="106"/>
        <v>3.9999999999999147E-2</v>
      </c>
      <c r="AO132" s="62">
        <f>((AM132-MAX(AM$16:AM132))/MAX(AM$16:AM132))</f>
        <v>0</v>
      </c>
      <c r="AP132" s="16">
        <f t="shared" si="107"/>
        <v>9.8183603338240408E-4</v>
      </c>
      <c r="AQ132" s="153"/>
      <c r="AS132" s="16">
        <f t="shared" si="124"/>
        <v>2.9513034923759115E-3</v>
      </c>
      <c r="AT132" s="77">
        <f t="shared" ref="AT132:AV136" si="136">AT131</f>
        <v>4.7115080341759005E-3</v>
      </c>
      <c r="AU132" s="16">
        <f t="shared" si="136"/>
        <v>8.6237770991085829E-4</v>
      </c>
      <c r="AV132" s="16" t="str">
        <f t="shared" si="136"/>
        <v>Low Volatility</v>
      </c>
      <c r="AW132" s="14" t="str">
        <f t="shared" si="117"/>
        <v>Stable</v>
      </c>
    </row>
    <row r="133" spans="1:49" ht="39" hidden="1" thickBot="1">
      <c r="A133" s="104" t="s">
        <v>293</v>
      </c>
      <c r="B133" s="105" t="s">
        <v>499</v>
      </c>
      <c r="C133" s="105" t="s">
        <v>495</v>
      </c>
      <c r="D133" s="15">
        <f t="shared" si="54"/>
        <v>45883</v>
      </c>
      <c r="E133" s="60">
        <f t="shared" si="55"/>
        <v>4460</v>
      </c>
      <c r="F133" s="61">
        <f t="shared" si="131"/>
        <v>-15</v>
      </c>
      <c r="G133" s="62">
        <f>((E133-MAX(E$16:E133))/MAX(E$16:E133))</f>
        <v>-8.8888888888888889E-3</v>
      </c>
      <c r="H133" s="16">
        <f t="shared" si="62"/>
        <v>-3.3519553072625698E-3</v>
      </c>
      <c r="I133" s="153"/>
      <c r="K133" s="16">
        <f t="shared" si="111"/>
        <v>-4.464285714285714E-3</v>
      </c>
      <c r="L133" s="77">
        <f t="shared" si="132"/>
        <v>-1.8166573504751259E-3</v>
      </c>
      <c r="M133" s="16">
        <f t="shared" si="119"/>
        <v>4.5657528931180285E-3</v>
      </c>
      <c r="N133" s="16" t="str">
        <f t="shared" si="119"/>
        <v>Low Volatility</v>
      </c>
      <c r="O133" s="14" t="str">
        <f t="shared" si="126"/>
        <v>Stable</v>
      </c>
      <c r="S133" s="78" t="s">
        <v>293</v>
      </c>
      <c r="T133" s="86" t="s">
        <v>43</v>
      </c>
      <c r="U133" s="87" t="s">
        <v>358</v>
      </c>
      <c r="V133" s="15">
        <f t="shared" si="57"/>
        <v>45883</v>
      </c>
      <c r="W133" s="60">
        <f t="shared" si="90"/>
        <v>50.65</v>
      </c>
      <c r="X133" s="61">
        <f t="shared" si="91"/>
        <v>-0.60000000000000142</v>
      </c>
      <c r="Y133" s="62">
        <f>((W133-MAX(W$16:W133))/MAX(W$16:W133))</f>
        <v>-2.5961538461538487E-2</v>
      </c>
      <c r="Z133" s="16">
        <f t="shared" si="92"/>
        <v>-1.1707317073170759E-2</v>
      </c>
      <c r="AA133" s="153"/>
      <c r="AC133" s="16">
        <f t="shared" si="128"/>
        <v>-2.1670606776989644E-3</v>
      </c>
      <c r="AD133" s="16">
        <f t="shared" ref="AD133" si="137">AD130</f>
        <v>-1.0245100776059331E-2</v>
      </c>
      <c r="AE133" s="16">
        <f t="shared" ref="AE133:AE136" si="138">AE132</f>
        <v>1.2016896702484146E-2</v>
      </c>
      <c r="AF133" s="16" t="str">
        <f t="shared" si="135"/>
        <v>Low Volatility</v>
      </c>
      <c r="AG133" s="14" t="str">
        <f t="shared" si="115"/>
        <v>Weak/Unconfirmed</v>
      </c>
      <c r="AI133" s="78" t="s">
        <v>293</v>
      </c>
      <c r="AJ133" s="90">
        <v>407840</v>
      </c>
      <c r="AK133" s="89">
        <v>408300</v>
      </c>
      <c r="AL133" s="15">
        <f t="shared" si="113"/>
        <v>45883</v>
      </c>
      <c r="AM133" s="60">
        <f t="shared" si="105"/>
        <v>40.83</v>
      </c>
      <c r="AN133" s="61">
        <f t="shared" si="106"/>
        <v>4.9999999999997158E-2</v>
      </c>
      <c r="AO133" s="62">
        <f>((AM133-MAX(AM$16:AM133))/MAX(AM$16:AM133))</f>
        <v>0</v>
      </c>
      <c r="AP133" s="16">
        <f t="shared" si="107"/>
        <v>1.2260912211867867E-3</v>
      </c>
      <c r="AQ133" s="153"/>
      <c r="AS133" s="16">
        <f t="shared" si="124"/>
        <v>4.6751968503936448E-3</v>
      </c>
      <c r="AT133" s="77">
        <f t="shared" ref="AT133:AU133" si="139">AT132</f>
        <v>4.7115080341759005E-3</v>
      </c>
      <c r="AU133" s="16">
        <f t="shared" si="139"/>
        <v>8.6237770991085829E-4</v>
      </c>
      <c r="AV133" s="16" t="str">
        <f t="shared" si="136"/>
        <v>Low Volatility</v>
      </c>
      <c r="AW133" s="14" t="str">
        <f t="shared" si="117"/>
        <v>Stable</v>
      </c>
    </row>
    <row r="134" spans="1:49" ht="39" hidden="1" thickBot="1">
      <c r="A134" s="104" t="s">
        <v>294</v>
      </c>
      <c r="B134" s="105" t="s">
        <v>495</v>
      </c>
      <c r="C134" s="105" t="s">
        <v>500</v>
      </c>
      <c r="D134" s="15">
        <f t="shared" si="54"/>
        <v>45884</v>
      </c>
      <c r="E134" s="60">
        <f t="shared" si="55"/>
        <v>4470</v>
      </c>
      <c r="F134" s="61">
        <f t="shared" si="131"/>
        <v>10</v>
      </c>
      <c r="G134" s="62">
        <f>((E134-MAX(E$16:E134))/MAX(E$16:E134))</f>
        <v>-6.6666666666666671E-3</v>
      </c>
      <c r="H134" s="16">
        <f t="shared" si="62"/>
        <v>2.242152466367713E-3</v>
      </c>
      <c r="I134" s="153"/>
      <c r="K134" s="16">
        <f t="shared" si="111"/>
        <v>-4.4543429844097994E-3</v>
      </c>
      <c r="L134" s="77">
        <f t="shared" si="132"/>
        <v>-1.8166573504751259E-3</v>
      </c>
      <c r="M134" s="16">
        <f t="shared" si="119"/>
        <v>4.5657528931180285E-3</v>
      </c>
      <c r="N134" s="16" t="str">
        <f t="shared" si="119"/>
        <v>Low Volatility</v>
      </c>
      <c r="O134" s="14" t="str">
        <f t="shared" si="126"/>
        <v>Stable</v>
      </c>
      <c r="S134" s="78" t="s">
        <v>294</v>
      </c>
      <c r="T134" s="86" t="s">
        <v>43</v>
      </c>
      <c r="U134" s="87" t="s">
        <v>359</v>
      </c>
      <c r="V134" s="15">
        <f t="shared" si="57"/>
        <v>45884</v>
      </c>
      <c r="W134" s="60">
        <f t="shared" si="90"/>
        <v>50.59</v>
      </c>
      <c r="X134" s="61">
        <f t="shared" si="91"/>
        <v>-5.9999999999995168E-2</v>
      </c>
      <c r="Y134" s="62">
        <f>((W134-MAX(W$16:W134))/MAX(W$16:W134))</f>
        <v>-2.7115384615384548E-2</v>
      </c>
      <c r="Z134" s="16">
        <f t="shared" si="92"/>
        <v>-1.184600197433271E-3</v>
      </c>
      <c r="AA134" s="153"/>
      <c r="AC134" s="16">
        <f t="shared" si="128"/>
        <v>-7.2605965463107816E-3</v>
      </c>
      <c r="AD134" s="16">
        <f t="shared" ref="AD134" si="140">AD130</f>
        <v>-1.0245100776059331E-2</v>
      </c>
      <c r="AE134" s="16">
        <f t="shared" si="138"/>
        <v>1.2016896702484146E-2</v>
      </c>
      <c r="AF134" s="16" t="str">
        <f t="shared" si="135"/>
        <v>Low Volatility</v>
      </c>
      <c r="AG134" s="14" t="str">
        <f t="shared" si="115"/>
        <v>Weak/Unconfirmed</v>
      </c>
      <c r="AI134" s="78" t="s">
        <v>294</v>
      </c>
      <c r="AJ134" s="88">
        <v>408200</v>
      </c>
      <c r="AK134" s="89">
        <v>409000</v>
      </c>
      <c r="AL134" s="15">
        <f t="shared" si="113"/>
        <v>45884</v>
      </c>
      <c r="AM134" s="60">
        <f t="shared" si="105"/>
        <v>40.9</v>
      </c>
      <c r="AN134" s="61">
        <f t="shared" si="106"/>
        <v>7.0000000000000284E-2</v>
      </c>
      <c r="AO134" s="62">
        <f>((AM134-MAX(AM$16:AM134))/MAX(AM$16:AM134))</f>
        <v>0</v>
      </c>
      <c r="AP134" s="16">
        <f t="shared" si="107"/>
        <v>1.7144256674014276E-3</v>
      </c>
      <c r="AQ134" s="153"/>
      <c r="AS134" s="16">
        <f t="shared" si="124"/>
        <v>5.9026069847516478E-3</v>
      </c>
      <c r="AT134" s="77">
        <f t="shared" ref="AT134:AU134" si="141">AT133</f>
        <v>4.7115080341759005E-3</v>
      </c>
      <c r="AU134" s="16">
        <f t="shared" si="141"/>
        <v>8.6237770991085829E-4</v>
      </c>
      <c r="AV134" s="16" t="str">
        <f t="shared" si="136"/>
        <v>Low Volatility</v>
      </c>
      <c r="AW134" s="14" t="str">
        <f t="shared" si="117"/>
        <v>Stable</v>
      </c>
    </row>
    <row r="135" spans="1:49" ht="39" hidden="1" thickBot="1">
      <c r="A135" s="104" t="s">
        <v>295</v>
      </c>
      <c r="B135" s="106" t="s">
        <v>495</v>
      </c>
      <c r="C135" s="106" t="s">
        <v>500</v>
      </c>
      <c r="D135" s="15">
        <f t="shared" si="54"/>
        <v>45885</v>
      </c>
      <c r="E135" s="60">
        <f t="shared" si="55"/>
        <v>4470</v>
      </c>
      <c r="F135" s="61">
        <f t="shared" si="131"/>
        <v>0</v>
      </c>
      <c r="G135" s="62">
        <f>((E135-MAX(E$16:E135))/MAX(E$16:E135))</f>
        <v>-6.6666666666666671E-3</v>
      </c>
      <c r="H135" s="16">
        <f t="shared" si="62"/>
        <v>0</v>
      </c>
      <c r="I135" s="153"/>
      <c r="K135" s="16">
        <f t="shared" si="111"/>
        <v>-4.4543429844097994E-3</v>
      </c>
      <c r="L135" s="77">
        <f t="shared" si="132"/>
        <v>-1.8166573504751259E-3</v>
      </c>
      <c r="M135" s="16">
        <f t="shared" si="119"/>
        <v>4.5657528931180285E-3</v>
      </c>
      <c r="N135" s="16" t="str">
        <f t="shared" si="119"/>
        <v>Low Volatility</v>
      </c>
      <c r="O135" s="14" t="str">
        <f t="shared" si="126"/>
        <v>Stable</v>
      </c>
      <c r="S135" s="78" t="s">
        <v>295</v>
      </c>
      <c r="T135" s="86" t="s">
        <v>43</v>
      </c>
      <c r="U135" s="87" t="s">
        <v>360</v>
      </c>
      <c r="V135" s="15">
        <f t="shared" si="57"/>
        <v>45885</v>
      </c>
      <c r="W135" s="60">
        <f t="shared" si="90"/>
        <v>50.75</v>
      </c>
      <c r="X135" s="61">
        <f t="shared" si="91"/>
        <v>0.15999999999999659</v>
      </c>
      <c r="Y135" s="62">
        <f>((W135-MAX(W$16:W135))/MAX(W$16:W135))</f>
        <v>-2.403846153846154E-2</v>
      </c>
      <c r="Z135" s="16">
        <f t="shared" si="92"/>
        <v>3.1626803716148762E-3</v>
      </c>
      <c r="AA135" s="153"/>
      <c r="AC135" s="16">
        <f t="shared" si="128"/>
        <v>-7.0436313832909301E-3</v>
      </c>
      <c r="AD135" s="16">
        <f t="shared" ref="AD135" si="142">AD130</f>
        <v>-1.0245100776059331E-2</v>
      </c>
      <c r="AE135" s="16">
        <f t="shared" si="138"/>
        <v>1.2016896702484146E-2</v>
      </c>
      <c r="AF135" s="16" t="str">
        <f t="shared" si="135"/>
        <v>Low Volatility</v>
      </c>
      <c r="AG135" s="14" t="str">
        <f t="shared" si="115"/>
        <v>Weak/Unconfirmed</v>
      </c>
      <c r="AI135" s="78" t="s">
        <v>295</v>
      </c>
      <c r="AJ135" s="88">
        <v>408900</v>
      </c>
      <c r="AK135" s="89">
        <v>408900</v>
      </c>
      <c r="AL135" s="15">
        <f t="shared" si="113"/>
        <v>45885</v>
      </c>
      <c r="AM135" s="60">
        <f t="shared" si="105"/>
        <v>40.89</v>
      </c>
      <c r="AN135" s="61">
        <f t="shared" si="106"/>
        <v>-9.9999999999980105E-3</v>
      </c>
      <c r="AO135" s="62">
        <f>((AM135-MAX(AM$16:AM135))/MAX(AM$16:AM135))</f>
        <v>-2.4449877750606382E-4</v>
      </c>
      <c r="AP135" s="16">
        <f t="shared" si="107"/>
        <v>-2.4449877750606382E-4</v>
      </c>
      <c r="AQ135" s="153"/>
      <c r="AS135" s="16">
        <f t="shared" si="124"/>
        <v>6.2753783684016875E-3</v>
      </c>
      <c r="AT135" s="77">
        <f t="shared" ref="AT135:AU135" si="143">AT134</f>
        <v>4.7115080341759005E-3</v>
      </c>
      <c r="AU135" s="16">
        <f t="shared" si="143"/>
        <v>8.6237770991085829E-4</v>
      </c>
      <c r="AV135" s="16" t="str">
        <f t="shared" si="136"/>
        <v>Low Volatility</v>
      </c>
      <c r="AW135" s="14" t="str">
        <f t="shared" si="117"/>
        <v>Stable</v>
      </c>
    </row>
    <row r="136" spans="1:49" ht="15.75" hidden="1" thickBot="1">
      <c r="A136" s="107" t="s">
        <v>296</v>
      </c>
      <c r="B136" s="106" t="s">
        <v>495</v>
      </c>
      <c r="C136" s="106" t="s">
        <v>500</v>
      </c>
      <c r="D136" s="15">
        <f t="shared" si="54"/>
        <v>45886</v>
      </c>
      <c r="E136" s="60">
        <f t="shared" si="55"/>
        <v>4470</v>
      </c>
      <c r="F136" s="61">
        <f t="shared" si="131"/>
        <v>0</v>
      </c>
      <c r="G136" s="62">
        <f>((E136-MAX(E$16:E136))/MAX(E$16:E136))</f>
        <v>-6.6666666666666671E-3</v>
      </c>
      <c r="H136" s="16">
        <f t="shared" si="62"/>
        <v>0</v>
      </c>
      <c r="I136" s="153"/>
      <c r="K136" s="16">
        <f t="shared" si="111"/>
        <v>-4.4543429844097994E-3</v>
      </c>
      <c r="L136" s="77">
        <f t="shared" si="132"/>
        <v>-1.8166573504751259E-3</v>
      </c>
      <c r="M136" s="16">
        <f t="shared" si="119"/>
        <v>4.5657528931180285E-3</v>
      </c>
      <c r="N136" s="16" t="str">
        <f t="shared" si="119"/>
        <v>Low Volatility</v>
      </c>
      <c r="O136" s="14" t="str">
        <f t="shared" si="126"/>
        <v>Stable</v>
      </c>
      <c r="S136" s="78" t="s">
        <v>296</v>
      </c>
      <c r="T136" s="86" t="s">
        <v>43</v>
      </c>
      <c r="U136" s="87" t="s">
        <v>360</v>
      </c>
      <c r="V136" s="15">
        <f t="shared" si="57"/>
        <v>45886</v>
      </c>
      <c r="W136" s="60">
        <f t="shared" si="90"/>
        <v>50.75</v>
      </c>
      <c r="X136" s="61">
        <f t="shared" si="91"/>
        <v>0</v>
      </c>
      <c r="Y136" s="62">
        <f>((W136-MAX(W$16:W136))/MAX(W$16:W136))</f>
        <v>-2.403846153846154E-2</v>
      </c>
      <c r="Z136" s="16">
        <f t="shared" si="92"/>
        <v>0</v>
      </c>
      <c r="AA136" s="153"/>
      <c r="AC136" s="16">
        <f t="shared" si="128"/>
        <v>-7.6261243644896474E-3</v>
      </c>
      <c r="AD136" s="16">
        <f t="shared" ref="AD136" si="144">AD130</f>
        <v>-1.0245100776059331E-2</v>
      </c>
      <c r="AE136" s="16">
        <f t="shared" si="138"/>
        <v>1.2016896702484146E-2</v>
      </c>
      <c r="AF136" s="16" t="str">
        <f t="shared" si="135"/>
        <v>Low Volatility</v>
      </c>
      <c r="AG136" s="14" t="str">
        <f t="shared" si="115"/>
        <v>Weak/Unconfirmed</v>
      </c>
      <c r="AJ136" s="88">
        <v>408900</v>
      </c>
      <c r="AK136" s="89">
        <v>408900</v>
      </c>
      <c r="AL136" s="15">
        <f t="shared" si="113"/>
        <v>45886</v>
      </c>
      <c r="AM136" s="60">
        <f t="shared" si="105"/>
        <v>40.89</v>
      </c>
      <c r="AN136" s="61">
        <f t="shared" si="106"/>
        <v>0</v>
      </c>
      <c r="AO136" s="62">
        <f>((AM136-MAX(AM$16:AM136))/MAX(AM$16:AM136))</f>
        <v>-2.4449877750606382E-4</v>
      </c>
      <c r="AP136" s="16">
        <f t="shared" si="107"/>
        <v>0</v>
      </c>
      <c r="AQ136" s="153"/>
      <c r="AS136" s="16">
        <f t="shared" si="124"/>
        <v>6.2753783684016875E-3</v>
      </c>
      <c r="AT136" s="77">
        <f t="shared" ref="AT136:AU136" si="145">AT135</f>
        <v>4.7115080341759005E-3</v>
      </c>
      <c r="AU136" s="16">
        <f t="shared" si="145"/>
        <v>8.6237770991085829E-4</v>
      </c>
      <c r="AV136" s="16" t="str">
        <f t="shared" si="136"/>
        <v>Low Volatility</v>
      </c>
      <c r="AW136" s="14" t="str">
        <f t="shared" si="117"/>
        <v>Stable</v>
      </c>
    </row>
    <row r="137" spans="1:49" ht="39" hidden="1" thickBot="1">
      <c r="A137" s="104" t="s">
        <v>297</v>
      </c>
      <c r="B137" s="105" t="s">
        <v>495</v>
      </c>
      <c r="C137" s="105" t="s">
        <v>500</v>
      </c>
      <c r="D137" s="15">
        <f t="shared" si="54"/>
        <v>45887</v>
      </c>
      <c r="E137" s="60">
        <f t="shared" si="55"/>
        <v>4470</v>
      </c>
      <c r="F137" s="61">
        <f t="shared" si="131"/>
        <v>0</v>
      </c>
      <c r="G137" s="62">
        <f>((E137-MAX(E$16:E137))/MAX(E$16:E137))</f>
        <v>-6.6666666666666671E-3</v>
      </c>
      <c r="H137" s="16">
        <f t="shared" si="62"/>
        <v>0</v>
      </c>
      <c r="I137" s="153">
        <f>AVERAGEIFS(E137:E144, E137:E144, "&gt;=0")</f>
        <v>4483.75</v>
      </c>
      <c r="K137" s="16">
        <f t="shared" si="111"/>
        <v>4.4943820224719105E-3</v>
      </c>
      <c r="L137" s="77">
        <f t="shared" ref="L137" si="146">(I137-I130)/I130</f>
        <v>4.3399132017359655E-3</v>
      </c>
      <c r="M137" s="16" cm="1">
        <f t="array" ref="M137">_xlfn.STDEV.S(_xlfn._xlws.FILTER(F137:F143, ISNUMBER(F137:F143))) / I137</f>
        <v>6.0543049443350467E-3</v>
      </c>
      <c r="N137" s="16" t="str">
        <f>IF(M137 &lt; 0.02, "Low Volatility",
 IF(M137 &gt; 0.1, "High Volatility", "Medium Volatility"))</f>
        <v>Low Volatility</v>
      </c>
      <c r="O137" s="14" t="str">
        <f t="shared" si="126"/>
        <v>Stable</v>
      </c>
      <c r="S137" s="78" t="s">
        <v>297</v>
      </c>
      <c r="T137" s="86" t="s">
        <v>43</v>
      </c>
      <c r="U137" s="87" t="s">
        <v>361</v>
      </c>
      <c r="V137" s="15">
        <f t="shared" si="57"/>
        <v>45887</v>
      </c>
      <c r="W137" s="60">
        <f t="shared" si="90"/>
        <v>50.73</v>
      </c>
      <c r="X137" s="61">
        <f t="shared" si="91"/>
        <v>-2.0000000000003126E-2</v>
      </c>
      <c r="Y137" s="62">
        <f>((W137-MAX(W$16:W137))/MAX(W$16:W137))</f>
        <v>-2.4423076923076985E-2</v>
      </c>
      <c r="Z137" s="16">
        <f t="shared" si="92"/>
        <v>-3.9408866995080052E-4</v>
      </c>
      <c r="AA137" s="153">
        <f t="shared" ref="AA137" si="147">AVERAGEIFS(W137:W143, W137:W143, "&gt;=0")</f>
        <v>51.148571428571422</v>
      </c>
      <c r="AC137" s="16">
        <f t="shared" si="128"/>
        <v>1.2777001397484396E-2</v>
      </c>
      <c r="AD137" s="66">
        <f t="shared" ref="AD137" si="148">(AA137-AA130)/AA130</f>
        <v>9.8434635453390675E-3</v>
      </c>
      <c r="AE137" s="16" cm="1">
        <f t="array" ref="AE137">_xlfn.STDEV.S(_xlfn._xlws.FILTER(X137:X143, ISNUMBER(X137:X143))) / AA137</f>
        <v>1.1278918834474442E-2</v>
      </c>
      <c r="AF137" s="17" t="str">
        <f>AF131</f>
        <v>Low Volatility</v>
      </c>
      <c r="AG137" s="14" t="str">
        <f t="shared" si="115"/>
        <v>Weak/Unconfirmed</v>
      </c>
      <c r="AI137" s="78" t="s">
        <v>297</v>
      </c>
      <c r="AJ137" s="88">
        <v>408800</v>
      </c>
      <c r="AK137" s="89">
        <v>409100</v>
      </c>
      <c r="AL137" s="15">
        <f t="shared" si="113"/>
        <v>45887</v>
      </c>
      <c r="AM137" s="60">
        <f t="shared" si="105"/>
        <v>40.909999999999997</v>
      </c>
      <c r="AN137" s="61">
        <f t="shared" si="106"/>
        <v>1.9999999999996021E-2</v>
      </c>
      <c r="AO137" s="62">
        <f>((AM137-MAX(AM$16:AM137))/MAX(AM$16:AM137))</f>
        <v>0</v>
      </c>
      <c r="AP137" s="16">
        <f t="shared" si="107"/>
        <v>4.891171435557843E-4</v>
      </c>
      <c r="AQ137" s="153">
        <f t="shared" ref="AQ137" si="149">AVERAGEIFS(AM137:AM143, AM137:AM143, "&gt;=0")</f>
        <v>40.995714285714293</v>
      </c>
      <c r="AS137" s="16">
        <f t="shared" si="124"/>
        <v>4.6660117878191973E-3</v>
      </c>
      <c r="AT137" s="77">
        <f>(AQ137-AQ130)/AQ130</f>
        <v>4.2694663167106312E-3</v>
      </c>
      <c r="AU137" s="16" cm="1">
        <f t="array" ref="AU137">_xlfn.STDEV.S(_xlfn._xlws.FILTER(AN137:AN143, ISNUMBER(AN137:AN143))) / AQ137</f>
        <v>7.8230979965307555E-4</v>
      </c>
      <c r="AV137" s="16" t="str">
        <f>IF(AU137 &lt; 0.02, "Low Volatility",
 IF(AU137 &gt; 0.1, "High Volatility", "Medium Volatility"))</f>
        <v>Low Volatility</v>
      </c>
      <c r="AW137" s="14" t="str">
        <f t="shared" si="117"/>
        <v>Stable</v>
      </c>
    </row>
    <row r="138" spans="1:49" ht="39" hidden="1" thickBot="1">
      <c r="A138" s="104" t="s">
        <v>298</v>
      </c>
      <c r="B138" s="105" t="s">
        <v>500</v>
      </c>
      <c r="C138" s="105" t="s">
        <v>496</v>
      </c>
      <c r="D138" s="15">
        <f t="shared" si="54"/>
        <v>45888</v>
      </c>
      <c r="E138" s="60">
        <f t="shared" si="55"/>
        <v>4455</v>
      </c>
      <c r="F138" s="61">
        <f t="shared" si="131"/>
        <v>-15</v>
      </c>
      <c r="G138" s="62">
        <f>((E138-MAX(E$16:E138))/MAX(E$16:E138))</f>
        <v>-0.01</v>
      </c>
      <c r="H138" s="16">
        <f t="shared" si="62"/>
        <v>-3.3557046979865771E-3</v>
      </c>
      <c r="I138" s="153"/>
      <c r="K138" s="16">
        <f t="shared" si="111"/>
        <v>1.1235955056179776E-3</v>
      </c>
      <c r="L138" s="77">
        <f t="shared" ref="L138:L143" si="150">L137</f>
        <v>4.3399132017359655E-3</v>
      </c>
      <c r="M138" s="16">
        <f t="shared" si="119"/>
        <v>6.0543049443350467E-3</v>
      </c>
      <c r="N138" s="16" t="str">
        <f t="shared" si="119"/>
        <v>Low Volatility</v>
      </c>
      <c r="O138" s="14" t="str">
        <f t="shared" si="126"/>
        <v>Stable</v>
      </c>
      <c r="S138" s="78" t="s">
        <v>298</v>
      </c>
      <c r="T138" s="86" t="s">
        <v>43</v>
      </c>
      <c r="U138" s="87" t="s">
        <v>362</v>
      </c>
      <c r="V138" s="15">
        <f t="shared" si="57"/>
        <v>45888</v>
      </c>
      <c r="W138" s="60">
        <f t="shared" si="90"/>
        <v>49.87</v>
      </c>
      <c r="X138" s="61">
        <f t="shared" si="91"/>
        <v>-0.85999999999999943</v>
      </c>
      <c r="Y138" s="62">
        <f>((W138-MAX(W$16:W138))/MAX(W$16:W138))</f>
        <v>-4.0961538461538508E-2</v>
      </c>
      <c r="Z138" s="16">
        <f t="shared" si="92"/>
        <v>-1.6952493593534387E-2</v>
      </c>
      <c r="AA138" s="153"/>
      <c r="AC138" s="16">
        <f t="shared" si="128"/>
        <v>-1.188825044580942E-2</v>
      </c>
      <c r="AD138" s="16">
        <f t="shared" ref="AD138" si="151">AD137</f>
        <v>9.8434635453390675E-3</v>
      </c>
      <c r="AE138" s="16" cm="1">
        <f t="array" ref="AE138">_xlfn.STDEV.S(_xlfn._xlws.FILTER(X137:X143, ISNUMBER(X137:X143))) / AA137</f>
        <v>1.1278918834474442E-2</v>
      </c>
      <c r="AF138" s="16" t="str">
        <f>IF(AE138 &lt; 0.02, "Low Volatility",
 IF(AE138 &gt; 0.1, "High Volatility", "Medium Volatility"))</f>
        <v>Low Volatility</v>
      </c>
      <c r="AG138" s="14" t="str">
        <f t="shared" si="115"/>
        <v>Weak/Unconfirmed</v>
      </c>
      <c r="AI138" s="78" t="s">
        <v>298</v>
      </c>
      <c r="AJ138" s="88">
        <v>409000</v>
      </c>
      <c r="AK138" s="89">
        <v>409300</v>
      </c>
      <c r="AL138" s="15">
        <f t="shared" si="113"/>
        <v>45888</v>
      </c>
      <c r="AM138" s="60">
        <f t="shared" si="105"/>
        <v>40.93</v>
      </c>
      <c r="AN138" s="61">
        <f t="shared" si="106"/>
        <v>2.0000000000003126E-2</v>
      </c>
      <c r="AO138" s="62">
        <f>((AM138-MAX(AM$16:AM138))/MAX(AM$16:AM138))</f>
        <v>0</v>
      </c>
      <c r="AP138" s="16">
        <f t="shared" si="107"/>
        <v>4.8887802493285568E-4</v>
      </c>
      <c r="AQ138" s="153"/>
      <c r="AS138" s="16">
        <f t="shared" si="124"/>
        <v>4.6637211585664629E-3</v>
      </c>
      <c r="AT138" s="77">
        <f>AT137</f>
        <v>4.2694663167106312E-3</v>
      </c>
      <c r="AU138" s="16">
        <f>AU137</f>
        <v>7.8230979965307555E-4</v>
      </c>
      <c r="AV138" s="16" t="str">
        <f>AV137</f>
        <v>Low Volatility</v>
      </c>
      <c r="AW138" s="14" t="str">
        <f t="shared" si="117"/>
        <v>Stable</v>
      </c>
    </row>
    <row r="139" spans="1:49" ht="39" hidden="1" thickBot="1">
      <c r="A139" s="104" t="s">
        <v>299</v>
      </c>
      <c r="B139" s="105" t="s">
        <v>496</v>
      </c>
      <c r="C139" s="105" t="s">
        <v>500</v>
      </c>
      <c r="D139" s="15">
        <f t="shared" si="54"/>
        <v>45889</v>
      </c>
      <c r="E139" s="60">
        <f t="shared" si="55"/>
        <v>4470</v>
      </c>
      <c r="F139" s="61">
        <f t="shared" si="131"/>
        <v>15</v>
      </c>
      <c r="G139" s="62">
        <f>((E139-MAX(E$16:E139))/MAX(E$16:E139))</f>
        <v>-6.6666666666666671E-3</v>
      </c>
      <c r="H139" s="16">
        <f t="shared" si="62"/>
        <v>3.3670033670033669E-3</v>
      </c>
      <c r="I139" s="153"/>
      <c r="K139" s="16">
        <f t="shared" si="111"/>
        <v>-1.1173184357541898E-3</v>
      </c>
      <c r="L139" s="77">
        <f t="shared" si="150"/>
        <v>4.3399132017359655E-3</v>
      </c>
      <c r="M139" s="16">
        <f t="shared" si="119"/>
        <v>6.0543049443350467E-3</v>
      </c>
      <c r="N139" s="16" t="str">
        <f t="shared" si="119"/>
        <v>Low Volatility</v>
      </c>
      <c r="O139" s="14" t="str">
        <f t="shared" si="126"/>
        <v>Stable</v>
      </c>
      <c r="S139" s="78" t="s">
        <v>299</v>
      </c>
      <c r="T139" s="86" t="s">
        <v>43</v>
      </c>
      <c r="U139" s="87" t="s">
        <v>363</v>
      </c>
      <c r="V139" s="15">
        <f t="shared" si="57"/>
        <v>45889</v>
      </c>
      <c r="W139" s="60">
        <f t="shared" si="90"/>
        <v>50.62</v>
      </c>
      <c r="X139" s="61">
        <f t="shared" si="91"/>
        <v>0.75</v>
      </c>
      <c r="Y139" s="62">
        <f>((W139-MAX(W$16:W139))/MAX(W$16:W139))</f>
        <v>-2.6538461538461587E-2</v>
      </c>
      <c r="Z139" s="16">
        <f t="shared" si="92"/>
        <v>1.5039101664327252E-2</v>
      </c>
      <c r="AA139" s="153"/>
      <c r="AC139" s="16">
        <f t="shared" si="128"/>
        <v>-1.2292682926829317E-2</v>
      </c>
      <c r="AD139" s="16">
        <f t="shared" ref="AD139" si="152">AD137</f>
        <v>9.8434635453390675E-3</v>
      </c>
      <c r="AE139" s="16">
        <f>AE138</f>
        <v>1.1278918834474442E-2</v>
      </c>
      <c r="AF139" s="16" t="str">
        <f t="shared" ref="AF139:AF143" si="153">AF138</f>
        <v>Low Volatility</v>
      </c>
      <c r="AG139" s="14" t="str">
        <f t="shared" si="115"/>
        <v>Weak/Unconfirmed</v>
      </c>
      <c r="AI139" s="78" t="s">
        <v>299</v>
      </c>
      <c r="AJ139" s="88">
        <v>409400</v>
      </c>
      <c r="AK139" s="89">
        <v>409600</v>
      </c>
      <c r="AL139" s="15">
        <f t="shared" si="113"/>
        <v>45889</v>
      </c>
      <c r="AM139" s="60">
        <f t="shared" si="105"/>
        <v>40.96</v>
      </c>
      <c r="AN139" s="61">
        <f t="shared" si="106"/>
        <v>3.0000000000001137E-2</v>
      </c>
      <c r="AO139" s="62">
        <f>((AM139-MAX(AM$16:AM139))/MAX(AM$16:AM139))</f>
        <v>0</v>
      </c>
      <c r="AP139" s="16">
        <f t="shared" si="107"/>
        <v>7.3295870999269823E-4</v>
      </c>
      <c r="AQ139" s="153"/>
      <c r="AS139" s="16">
        <f t="shared" si="124"/>
        <v>4.4139283962726754E-3</v>
      </c>
      <c r="AT139" s="77">
        <f t="shared" ref="AT139:AV143" si="154">AT138</f>
        <v>4.2694663167106312E-3</v>
      </c>
      <c r="AU139" s="16">
        <f t="shared" si="154"/>
        <v>7.8230979965307555E-4</v>
      </c>
      <c r="AV139" s="16" t="str">
        <f t="shared" si="154"/>
        <v>Low Volatility</v>
      </c>
      <c r="AW139" s="14" t="str">
        <f t="shared" si="117"/>
        <v>Stable</v>
      </c>
    </row>
    <row r="140" spans="1:49" ht="39" hidden="1" thickBot="1">
      <c r="A140" s="104" t="s">
        <v>300</v>
      </c>
      <c r="B140" s="105" t="s">
        <v>500</v>
      </c>
      <c r="C140" s="105" t="s">
        <v>495</v>
      </c>
      <c r="D140" s="15">
        <f t="shared" si="54"/>
        <v>45890</v>
      </c>
      <c r="E140" s="60">
        <f t="shared" si="55"/>
        <v>4460</v>
      </c>
      <c r="F140" s="61">
        <f t="shared" si="131"/>
        <v>-10</v>
      </c>
      <c r="G140" s="62">
        <f>((E140-MAX(E$16:E140))/MAX(E$16:E140))</f>
        <v>-8.8888888888888889E-3</v>
      </c>
      <c r="H140" s="16">
        <f t="shared" si="62"/>
        <v>-2.2371364653243847E-3</v>
      </c>
      <c r="I140" s="153"/>
      <c r="K140" s="16">
        <f t="shared" si="111"/>
        <v>0</v>
      </c>
      <c r="L140" s="77">
        <f t="shared" si="150"/>
        <v>4.3399132017359655E-3</v>
      </c>
      <c r="M140" s="16">
        <f t="shared" si="119"/>
        <v>6.0543049443350467E-3</v>
      </c>
      <c r="N140" s="16" t="str">
        <f t="shared" si="119"/>
        <v>Low Volatility</v>
      </c>
      <c r="O140" s="14" t="str">
        <f t="shared" si="126"/>
        <v>Stable</v>
      </c>
      <c r="S140" s="78" t="s">
        <v>300</v>
      </c>
      <c r="T140" s="86" t="s">
        <v>43</v>
      </c>
      <c r="U140" s="87" t="s">
        <v>364</v>
      </c>
      <c r="V140" s="15">
        <f t="shared" si="57"/>
        <v>45890</v>
      </c>
      <c r="W140" s="60">
        <f t="shared" si="90"/>
        <v>50.88</v>
      </c>
      <c r="X140" s="61">
        <f t="shared" si="91"/>
        <v>0.26000000000000512</v>
      </c>
      <c r="Y140" s="62">
        <f>((W140-MAX(W$16:W140))/MAX(W$16:W140))</f>
        <v>-2.1538461538461489E-2</v>
      </c>
      <c r="Z140" s="16">
        <f t="shared" si="92"/>
        <v>5.1363097589886431E-3</v>
      </c>
      <c r="AA140" s="153"/>
      <c r="AC140" s="16">
        <f t="shared" si="128"/>
        <v>4.540967423494649E-3</v>
      </c>
      <c r="AD140" s="16">
        <f t="shared" ref="AD140" si="155">AD137</f>
        <v>9.8434635453390675E-3</v>
      </c>
      <c r="AE140" s="16">
        <f t="shared" ref="AE140:AE143" si="156">AE139</f>
        <v>1.1278918834474442E-2</v>
      </c>
      <c r="AF140" s="16" t="str">
        <f t="shared" si="153"/>
        <v>Low Volatility</v>
      </c>
      <c r="AG140" s="14" t="str">
        <f t="shared" si="115"/>
        <v>Weak/Unconfirmed</v>
      </c>
      <c r="AI140" s="78" t="s">
        <v>300</v>
      </c>
      <c r="AJ140" s="88">
        <v>409700</v>
      </c>
      <c r="AK140" s="89">
        <v>409800</v>
      </c>
      <c r="AL140" s="15">
        <f t="shared" si="113"/>
        <v>45890</v>
      </c>
      <c r="AM140" s="60">
        <f t="shared" si="105"/>
        <v>40.98</v>
      </c>
      <c r="AN140" s="61">
        <f t="shared" si="106"/>
        <v>1.9999999999996021E-2</v>
      </c>
      <c r="AO140" s="62">
        <f>((AM140-MAX(AM$16:AM140))/MAX(AM$16:AM140))</f>
        <v>0</v>
      </c>
      <c r="AP140" s="16">
        <f t="shared" si="107"/>
        <v>4.8828124999990286E-4</v>
      </c>
      <c r="AQ140" s="153"/>
      <c r="AS140" s="16">
        <f t="shared" si="124"/>
        <v>3.6737692872887235E-3</v>
      </c>
      <c r="AT140" s="77">
        <f t="shared" ref="AT140:AU140" si="157">AT139</f>
        <v>4.2694663167106312E-3</v>
      </c>
      <c r="AU140" s="16">
        <f t="shared" si="157"/>
        <v>7.8230979965307555E-4</v>
      </c>
      <c r="AV140" s="16" t="str">
        <f t="shared" si="154"/>
        <v>Low Volatility</v>
      </c>
      <c r="AW140" s="14" t="str">
        <f t="shared" si="117"/>
        <v>Stable</v>
      </c>
    </row>
    <row r="141" spans="1:49" ht="39" hidden="1" thickBot="1">
      <c r="A141" s="104" t="s">
        <v>301</v>
      </c>
      <c r="B141" s="105" t="s">
        <v>495</v>
      </c>
      <c r="C141" s="105" t="s">
        <v>501</v>
      </c>
      <c r="D141" s="15">
        <f t="shared" si="54"/>
        <v>45891</v>
      </c>
      <c r="E141" s="60">
        <f t="shared" si="55"/>
        <v>4520</v>
      </c>
      <c r="F141" s="61">
        <f t="shared" si="131"/>
        <v>60</v>
      </c>
      <c r="G141" s="62">
        <f>((E141-MAX(E$16:E141))/MAX(E$16:E141))</f>
        <v>0</v>
      </c>
      <c r="H141" s="16">
        <f t="shared" si="62"/>
        <v>1.3452914798206279E-2</v>
      </c>
      <c r="I141" s="153"/>
      <c r="K141" s="16">
        <f t="shared" si="111"/>
        <v>1.1185682326621925E-2</v>
      </c>
      <c r="L141" s="77">
        <f t="shared" si="150"/>
        <v>4.3399132017359655E-3</v>
      </c>
      <c r="M141" s="16">
        <f t="shared" si="119"/>
        <v>6.0543049443350467E-3</v>
      </c>
      <c r="N141" s="16" t="str">
        <f t="shared" si="119"/>
        <v>Low Volatility</v>
      </c>
      <c r="O141" s="14" t="str">
        <f t="shared" si="126"/>
        <v>Stable</v>
      </c>
      <c r="S141" s="78" t="s">
        <v>301</v>
      </c>
      <c r="T141" s="86" t="s">
        <v>43</v>
      </c>
      <c r="U141" s="87" t="s">
        <v>365</v>
      </c>
      <c r="V141" s="15">
        <f t="shared" si="57"/>
        <v>45891</v>
      </c>
      <c r="W141" s="60">
        <f t="shared" si="90"/>
        <v>51.76</v>
      </c>
      <c r="X141" s="61">
        <f t="shared" si="91"/>
        <v>0.87999999999999545</v>
      </c>
      <c r="Y141" s="62">
        <f>((W141-MAX(W$16:W141))/MAX(W$16:W141))</f>
        <v>-4.615384615384654E-3</v>
      </c>
      <c r="Z141" s="16">
        <f t="shared" si="92"/>
        <v>1.7295597484276639E-2</v>
      </c>
      <c r="AA141" s="153"/>
      <c r="AC141" s="16">
        <f t="shared" si="128"/>
        <v>2.3127100217434166E-2</v>
      </c>
      <c r="AD141" s="16">
        <f t="shared" ref="AD141" si="158">AD137</f>
        <v>9.8434635453390675E-3</v>
      </c>
      <c r="AE141" s="16">
        <f t="shared" si="156"/>
        <v>1.1278918834474442E-2</v>
      </c>
      <c r="AF141" s="16" t="str">
        <f t="shared" si="153"/>
        <v>Low Volatility</v>
      </c>
      <c r="AG141" s="14" t="str">
        <f t="shared" si="115"/>
        <v>Weak/Unconfirmed</v>
      </c>
      <c r="AI141" s="78" t="s">
        <v>301</v>
      </c>
      <c r="AJ141" s="90">
        <v>409600</v>
      </c>
      <c r="AK141" s="89">
        <v>410700</v>
      </c>
      <c r="AL141" s="15">
        <f t="shared" si="113"/>
        <v>45891</v>
      </c>
      <c r="AM141" s="60">
        <f t="shared" si="105"/>
        <v>41.07</v>
      </c>
      <c r="AN141" s="61">
        <f t="shared" si="106"/>
        <v>9.0000000000003411E-2</v>
      </c>
      <c r="AO141" s="62">
        <f>((AM141-MAX(AM$16:AM141))/MAX(AM$16:AM141))</f>
        <v>0</v>
      </c>
      <c r="AP141" s="16">
        <f t="shared" si="107"/>
        <v>2.196193265007404E-3</v>
      </c>
      <c r="AQ141" s="153"/>
      <c r="AS141" s="16">
        <f t="shared" si="124"/>
        <v>4.1564792176039542E-3</v>
      </c>
      <c r="AT141" s="77">
        <f t="shared" ref="AT141:AU141" si="159">AT140</f>
        <v>4.2694663167106312E-3</v>
      </c>
      <c r="AU141" s="16">
        <f t="shared" si="159"/>
        <v>7.8230979965307555E-4</v>
      </c>
      <c r="AV141" s="16" t="str">
        <f t="shared" si="154"/>
        <v>Low Volatility</v>
      </c>
      <c r="AW141" s="14" t="str">
        <f t="shared" si="117"/>
        <v>Stable</v>
      </c>
    </row>
    <row r="142" spans="1:49" ht="39" hidden="1" thickBot="1">
      <c r="A142" s="104" t="s">
        <v>302</v>
      </c>
      <c r="B142" s="105" t="s">
        <v>495</v>
      </c>
      <c r="C142" s="105" t="s">
        <v>490</v>
      </c>
      <c r="D142" s="15">
        <f t="shared" si="54"/>
        <v>45892</v>
      </c>
      <c r="E142" s="60">
        <f t="shared" si="55"/>
        <v>4500</v>
      </c>
      <c r="F142" s="61">
        <f t="shared" si="131"/>
        <v>-20</v>
      </c>
      <c r="G142" s="62">
        <f>((E142-MAX(E$16:E142))/MAX(E$16:E142))</f>
        <v>-4.4247787610619468E-3</v>
      </c>
      <c r="H142" s="16">
        <f t="shared" si="62"/>
        <v>-4.4247787610619468E-3</v>
      </c>
      <c r="I142" s="153"/>
      <c r="K142" s="16">
        <f t="shared" si="111"/>
        <v>6.7114093959731542E-3</v>
      </c>
      <c r="L142" s="77">
        <f t="shared" si="150"/>
        <v>4.3399132017359655E-3</v>
      </c>
      <c r="M142" s="16">
        <f t="shared" si="119"/>
        <v>6.0543049443350467E-3</v>
      </c>
      <c r="N142" s="16" t="str">
        <f t="shared" si="119"/>
        <v>Low Volatility</v>
      </c>
      <c r="O142" s="14" t="str">
        <f t="shared" si="126"/>
        <v>Stable</v>
      </c>
      <c r="S142" s="78" t="s">
        <v>302</v>
      </c>
      <c r="T142" s="86" t="s">
        <v>43</v>
      </c>
      <c r="U142" s="87" t="s">
        <v>366</v>
      </c>
      <c r="V142" s="15">
        <f t="shared" si="57"/>
        <v>45892</v>
      </c>
      <c r="W142" s="60">
        <f t="shared" si="90"/>
        <v>52.09</v>
      </c>
      <c r="X142" s="61">
        <f t="shared" si="91"/>
        <v>0.3300000000000054</v>
      </c>
      <c r="Y142" s="62">
        <f>((W142-MAX(W$16:W142))/MAX(W$16:W142))</f>
        <v>0</v>
      </c>
      <c r="Z142" s="16">
        <f t="shared" si="92"/>
        <v>6.3755795981453901E-3</v>
      </c>
      <c r="AA142" s="153"/>
      <c r="AC142" s="16">
        <f t="shared" si="128"/>
        <v>2.6403940886699576E-2</v>
      </c>
      <c r="AD142" s="16">
        <f t="shared" ref="AD142" si="160">AD137</f>
        <v>9.8434635453390675E-3</v>
      </c>
      <c r="AE142" s="16">
        <f t="shared" si="156"/>
        <v>1.1278918834474442E-2</v>
      </c>
      <c r="AF142" s="16" t="str">
        <f t="shared" si="153"/>
        <v>Low Volatility</v>
      </c>
      <c r="AG142" s="14" t="str">
        <f t="shared" si="115"/>
        <v>Weak/Unconfirmed</v>
      </c>
      <c r="AI142" s="78" t="s">
        <v>302</v>
      </c>
      <c r="AJ142" s="88">
        <v>410600</v>
      </c>
      <c r="AK142" s="89">
        <v>410600</v>
      </c>
      <c r="AL142" s="15">
        <f t="shared" si="113"/>
        <v>45892</v>
      </c>
      <c r="AM142" s="60">
        <f t="shared" si="105"/>
        <v>41.06</v>
      </c>
      <c r="AN142" s="61">
        <f t="shared" si="106"/>
        <v>-9.9999999999980105E-3</v>
      </c>
      <c r="AO142" s="62">
        <f>((AM142-MAX(AM$16:AM142))/MAX(AM$16:AM142))</f>
        <v>-2.4348672997316802E-4</v>
      </c>
      <c r="AP142" s="16">
        <f t="shared" si="107"/>
        <v>-2.4348672997316802E-4</v>
      </c>
      <c r="AQ142" s="153"/>
      <c r="AS142" s="16">
        <f t="shared" si="124"/>
        <v>4.1574957202250356E-3</v>
      </c>
      <c r="AT142" s="77">
        <f t="shared" ref="AT142:AU142" si="161">AT141</f>
        <v>4.2694663167106312E-3</v>
      </c>
      <c r="AU142" s="16">
        <f t="shared" si="161"/>
        <v>7.8230979965307555E-4</v>
      </c>
      <c r="AV142" s="16" t="str">
        <f t="shared" si="154"/>
        <v>Low Volatility</v>
      </c>
      <c r="AW142" s="14" t="str">
        <f t="shared" si="117"/>
        <v>Stable</v>
      </c>
    </row>
    <row r="143" spans="1:49" ht="39" hidden="1" thickBot="1">
      <c r="A143" s="104" t="s">
        <v>303</v>
      </c>
      <c r="B143" s="105" t="s">
        <v>495</v>
      </c>
      <c r="C143" s="105" t="s">
        <v>490</v>
      </c>
      <c r="D143" s="15">
        <f t="shared" si="54"/>
        <v>45893</v>
      </c>
      <c r="E143" s="60">
        <f t="shared" si="55"/>
        <v>4500</v>
      </c>
      <c r="F143" s="61">
        <f t="shared" si="131"/>
        <v>0</v>
      </c>
      <c r="G143" s="62">
        <f>((E143-MAX(E$16:E143))/MAX(E$16:E143))</f>
        <v>-4.4247787610619468E-3</v>
      </c>
      <c r="H143" s="16">
        <f t="shared" si="62"/>
        <v>0</v>
      </c>
      <c r="I143" s="153"/>
      <c r="K143" s="16">
        <f t="shared" si="111"/>
        <v>6.7114093959731542E-3</v>
      </c>
      <c r="L143" s="77">
        <f t="shared" si="150"/>
        <v>4.3399132017359655E-3</v>
      </c>
      <c r="M143" s="16">
        <f t="shared" si="119"/>
        <v>6.0543049443350467E-3</v>
      </c>
      <c r="N143" s="16" t="str">
        <f t="shared" si="119"/>
        <v>Low Volatility</v>
      </c>
      <c r="O143" s="14" t="str">
        <f t="shared" si="126"/>
        <v>Stable</v>
      </c>
      <c r="S143" s="78" t="s">
        <v>303</v>
      </c>
      <c r="T143" s="86" t="s">
        <v>43</v>
      </c>
      <c r="U143" s="87" t="s">
        <v>366</v>
      </c>
      <c r="V143" s="15">
        <f t="shared" si="57"/>
        <v>45893</v>
      </c>
      <c r="W143" s="60">
        <f t="shared" si="90"/>
        <v>52.09</v>
      </c>
      <c r="X143" s="61">
        <f t="shared" si="91"/>
        <v>0</v>
      </c>
      <c r="Y143" s="62">
        <f>((W143-MAX(W$16:W143))/MAX(W$16:W143))</f>
        <v>0</v>
      </c>
      <c r="Z143" s="16">
        <f t="shared" si="92"/>
        <v>0</v>
      </c>
      <c r="AA143" s="153"/>
      <c r="AC143" s="16">
        <f t="shared" si="128"/>
        <v>2.6403940886699576E-2</v>
      </c>
      <c r="AD143" s="16">
        <f t="shared" ref="AD143" si="162">AD137</f>
        <v>9.8434635453390675E-3</v>
      </c>
      <c r="AE143" s="16">
        <f t="shared" si="156"/>
        <v>1.1278918834474442E-2</v>
      </c>
      <c r="AF143" s="16" t="str">
        <f t="shared" si="153"/>
        <v>Low Volatility</v>
      </c>
      <c r="AG143" s="14" t="str">
        <f t="shared" si="115"/>
        <v>Weak/Unconfirmed</v>
      </c>
      <c r="AJ143" s="88">
        <v>410600</v>
      </c>
      <c r="AK143" s="89">
        <v>410600</v>
      </c>
      <c r="AL143" s="15">
        <f t="shared" si="113"/>
        <v>45893</v>
      </c>
      <c r="AM143" s="60">
        <f t="shared" si="105"/>
        <v>41.06</v>
      </c>
      <c r="AN143" s="61">
        <f t="shared" si="106"/>
        <v>0</v>
      </c>
      <c r="AO143" s="62">
        <f>((AM143-MAX(AM$16:AM143))/MAX(AM$16:AM143))</f>
        <v>-2.4348672997316802E-4</v>
      </c>
      <c r="AP143" s="16">
        <f t="shared" si="107"/>
        <v>0</v>
      </c>
      <c r="AQ143" s="153"/>
      <c r="AS143" s="16">
        <f t="shared" si="124"/>
        <v>4.1574957202250356E-3</v>
      </c>
      <c r="AT143" s="77">
        <f t="shared" ref="AT143:AU143" si="163">AT142</f>
        <v>4.2694663167106312E-3</v>
      </c>
      <c r="AU143" s="16">
        <f t="shared" si="163"/>
        <v>7.8230979965307555E-4</v>
      </c>
      <c r="AV143" s="16" t="str">
        <f t="shared" si="154"/>
        <v>Low Volatility</v>
      </c>
      <c r="AW143" s="14" t="str">
        <f t="shared" si="117"/>
        <v>Stable</v>
      </c>
    </row>
    <row r="144" spans="1:49" ht="39" hidden="1" thickBot="1">
      <c r="A144" s="104" t="s">
        <v>304</v>
      </c>
      <c r="B144" s="105" t="s">
        <v>495</v>
      </c>
      <c r="C144" s="105" t="s">
        <v>502</v>
      </c>
      <c r="D144" s="15">
        <f t="shared" ref="D144:D207" si="164">DATEVALUE(
  SUBSTITUTE(SUBSTITUTE(SUBSTITUTE(SUBSTITUTE(SUBSTITUTE(SUBSTITUTE(SUBSTITUTE(SUBSTITUTE(SUBSTITUTE(SUBSTITUTE(SUBSTITUTE(SUBSTITUTE(A144, "Ocak", "January"), "Şubat", "February"), "Mart", "March"), "Nisan", "April"), "Mayıs", "May"), "Haziran", "June"), "Temmuz", "July"), "Ağustos", "August"), "Eylül", "September"), "Ekim", "October"), "Kasım", "November"), "Aralık", "December")
)</f>
        <v>45894</v>
      </c>
      <c r="E144" s="60">
        <f t="shared" ref="E144:E152" si="165">VALUE(SUBSTITUTE(SUBSTITUTE(C144, ".", ""), ",", "."))</f>
        <v>4495</v>
      </c>
      <c r="F144" s="61">
        <f t="shared" si="131"/>
        <v>-5</v>
      </c>
      <c r="G144" s="62">
        <f>((E144-MAX(E$16:E144))/MAX(E$16:E144))</f>
        <v>-5.5309734513274336E-3</v>
      </c>
      <c r="H144" s="16">
        <f t="shared" si="62"/>
        <v>-1.1111111111111111E-3</v>
      </c>
      <c r="I144" s="153">
        <f>AVERAGEIFS(E144:E151, E144:E151, "&gt;=0")</f>
        <v>4558.125</v>
      </c>
      <c r="K144" s="16">
        <f t="shared" si="111"/>
        <v>5.5928411633109623E-3</v>
      </c>
      <c r="L144" s="77">
        <f t="shared" ref="L144" si="166">(I144-I137)/I137</f>
        <v>1.6587677725118485E-2</v>
      </c>
      <c r="M144" s="16" cm="1">
        <f t="array" ref="M144">_xlfn.STDEV.S(_xlfn._xlws.FILTER(F144:F150, ISNUMBER(F144:F150))) / I144</f>
        <v>5.1617932160390526E-3</v>
      </c>
      <c r="N144" s="16" t="str">
        <f>IF(M144 &lt; 0.02, "Low Volatility",
 IF(M144 &gt; 0.1, "High Volatility", "Medium Volatility"))</f>
        <v>Low Volatility</v>
      </c>
      <c r="O144" s="14" t="str">
        <f t="shared" si="126"/>
        <v>Weak/Unconfirmed</v>
      </c>
      <c r="S144" s="78" t="s">
        <v>304</v>
      </c>
      <c r="T144" s="86" t="s">
        <v>43</v>
      </c>
      <c r="U144" s="87" t="s">
        <v>367</v>
      </c>
      <c r="V144" s="15">
        <f t="shared" ref="V144:V207" si="167">D144</f>
        <v>45894</v>
      </c>
      <c r="W144" s="60">
        <f t="shared" si="90"/>
        <v>51.61</v>
      </c>
      <c r="X144" s="61">
        <f t="shared" si="91"/>
        <v>-0.48000000000000398</v>
      </c>
      <c r="Y144" s="62">
        <f>((W144-MAX(W$16:W144))/MAX(W$16:W144))</f>
        <v>-9.2148205029756944E-3</v>
      </c>
      <c r="Z144" s="16">
        <f t="shared" si="92"/>
        <v>-9.2148205029756944E-3</v>
      </c>
      <c r="AA144" s="153">
        <f t="shared" ref="AA144" si="168">AVERAGEIFS(W144:W150, W144:W150, "&gt;=0")</f>
        <v>52.498571428571431</v>
      </c>
      <c r="AC144" s="16">
        <f t="shared" si="128"/>
        <v>1.7346737630593387E-2</v>
      </c>
      <c r="AD144" s="66">
        <f t="shared" ref="AD144" si="169">(AA144-AA137)/AA137</f>
        <v>2.6393699028041728E-2</v>
      </c>
      <c r="AE144" s="16" cm="1">
        <f t="array" ref="AE144">_xlfn.STDEV.S(_xlfn._xlws.FILTER(X144:X150, ISNUMBER(X144:X150))) / AA144</f>
        <v>8.8151245510901862E-3</v>
      </c>
      <c r="AF144" s="17" t="str">
        <f>AF138</f>
        <v>Low Volatility</v>
      </c>
      <c r="AG144" s="14" t="str">
        <f t="shared" si="115"/>
        <v>Strong Uptrend</v>
      </c>
      <c r="AI144" s="78" t="s">
        <v>304</v>
      </c>
      <c r="AJ144" s="88">
        <v>410200</v>
      </c>
      <c r="AK144" s="89">
        <v>409600</v>
      </c>
      <c r="AL144" s="15">
        <f t="shared" si="113"/>
        <v>45894</v>
      </c>
      <c r="AM144" s="60">
        <f t="shared" si="105"/>
        <v>40.96</v>
      </c>
      <c r="AN144" s="61">
        <f t="shared" si="106"/>
        <v>-0.10000000000000142</v>
      </c>
      <c r="AO144" s="62">
        <f>((AM144-MAX(AM$16:AM144))/MAX(AM$16:AM144))</f>
        <v>-2.6783540297053671E-3</v>
      </c>
      <c r="AP144" s="16">
        <f t="shared" si="107"/>
        <v>-2.4354603019971117E-3</v>
      </c>
      <c r="AQ144" s="153">
        <f t="shared" ref="AQ144" si="170">AVERAGEIFS(AM144:AM150, AM144:AM150, "&gt;=0")</f>
        <v>41.01</v>
      </c>
      <c r="AS144" s="16">
        <f t="shared" si="124"/>
        <v>1.2221950623320524E-3</v>
      </c>
      <c r="AT144" s="77">
        <f>(AQ144-AQ137)/AQ137</f>
        <v>3.4846848102567328E-4</v>
      </c>
      <c r="AU144" s="16" cm="1">
        <f t="array" ref="AU144">_xlfn.STDEV.S(_xlfn._xlws.FILTER(AN144:AN150, ISNUMBER(AN144:AN150))) / AQ144</f>
        <v>1.9994839929673527E-3</v>
      </c>
      <c r="AV144" s="16" t="str">
        <f>IF(AU144 &lt; 0.02, "Low Volatility",
 IF(AU144 &gt; 0.1, "High Volatility", "Medium Volatility"))</f>
        <v>Low Volatility</v>
      </c>
      <c r="AW144" s="14" t="str">
        <f t="shared" si="117"/>
        <v>Stable</v>
      </c>
    </row>
    <row r="145" spans="1:49" ht="39" hidden="1" thickBot="1">
      <c r="A145" s="104" t="s">
        <v>305</v>
      </c>
      <c r="B145" s="105" t="s">
        <v>502</v>
      </c>
      <c r="C145" s="105" t="s">
        <v>502</v>
      </c>
      <c r="D145" s="15">
        <f t="shared" si="164"/>
        <v>45895</v>
      </c>
      <c r="E145" s="60">
        <f t="shared" si="165"/>
        <v>4495</v>
      </c>
      <c r="F145" s="61">
        <f t="shared" si="131"/>
        <v>0</v>
      </c>
      <c r="G145" s="62">
        <f>((E145-MAX(E$16:E145))/MAX(E$16:E145))</f>
        <v>-5.5309734513274336E-3</v>
      </c>
      <c r="H145" s="16">
        <f t="shared" ref="H145:H208" si="171">F145/E144</f>
        <v>0</v>
      </c>
      <c r="I145" s="153"/>
      <c r="K145" s="16">
        <f t="shared" si="111"/>
        <v>8.9786756453423128E-3</v>
      </c>
      <c r="L145" s="77">
        <f t="shared" ref="L145:L150" si="172">L144</f>
        <v>1.6587677725118485E-2</v>
      </c>
      <c r="M145" s="16">
        <f t="shared" si="119"/>
        <v>5.1617932160390526E-3</v>
      </c>
      <c r="N145" s="16" t="str">
        <f t="shared" si="119"/>
        <v>Low Volatility</v>
      </c>
      <c r="O145" s="14" t="str">
        <f t="shared" si="126"/>
        <v>Weak/Unconfirmed</v>
      </c>
      <c r="S145" s="78" t="s">
        <v>305</v>
      </c>
      <c r="T145" s="86" t="s">
        <v>43</v>
      </c>
      <c r="U145" s="87" t="s">
        <v>368</v>
      </c>
      <c r="V145" s="15">
        <f t="shared" si="167"/>
        <v>45895</v>
      </c>
      <c r="W145" s="60">
        <f t="shared" si="90"/>
        <v>51.78</v>
      </c>
      <c r="X145" s="61">
        <f t="shared" si="91"/>
        <v>0.17000000000000171</v>
      </c>
      <c r="Y145" s="62">
        <f>((W145-MAX(W$16:W145))/MAX(W$16:W145))</f>
        <v>-5.9512382415051303E-3</v>
      </c>
      <c r="Z145" s="16">
        <f t="shared" si="92"/>
        <v>3.2939352838597504E-3</v>
      </c>
      <c r="AA145" s="153"/>
      <c r="AC145" s="16">
        <f t="shared" si="128"/>
        <v>3.8299578905153474E-2</v>
      </c>
      <c r="AD145" s="16">
        <f t="shared" ref="AD145" si="173">AD144</f>
        <v>2.6393699028041728E-2</v>
      </c>
      <c r="AE145" s="16" cm="1">
        <f t="array" ref="AE145">_xlfn.STDEV.S(_xlfn._xlws.FILTER(X144:X150, ISNUMBER(X144:X150))) / AA144</f>
        <v>8.8151245510901862E-3</v>
      </c>
      <c r="AF145" s="16" t="str">
        <f>IF(AE145 &lt; 0.02, "Low Volatility",
 IF(AE145 &gt; 0.1, "High Volatility", "Medium Volatility"))</f>
        <v>Low Volatility</v>
      </c>
      <c r="AG145" s="14" t="str">
        <f t="shared" si="115"/>
        <v>Strong Uptrend</v>
      </c>
      <c r="AI145" s="78" t="s">
        <v>305</v>
      </c>
      <c r="AJ145" s="88">
        <v>409800</v>
      </c>
      <c r="AK145" s="89">
        <v>410600</v>
      </c>
      <c r="AL145" s="15">
        <f t="shared" si="113"/>
        <v>45895</v>
      </c>
      <c r="AM145" s="60">
        <f t="shared" si="105"/>
        <v>41.06</v>
      </c>
      <c r="AN145" s="61">
        <f t="shared" si="106"/>
        <v>0.10000000000000142</v>
      </c>
      <c r="AO145" s="62">
        <f>((AM145-MAX(AM$16:AM145))/MAX(AM$16:AM145))</f>
        <v>-2.4348672997316802E-4</v>
      </c>
      <c r="AP145" s="16">
        <f t="shared" si="107"/>
        <v>2.4414062500000347E-3</v>
      </c>
      <c r="AQ145" s="153"/>
      <c r="AS145" s="16">
        <f t="shared" si="124"/>
        <v>3.1761544099683011E-3</v>
      </c>
      <c r="AT145" s="77">
        <f>AT144</f>
        <v>3.4846848102567328E-4</v>
      </c>
      <c r="AU145" s="16">
        <f>AU144</f>
        <v>1.9994839929673527E-3</v>
      </c>
      <c r="AV145" s="16" t="str">
        <f>AV144</f>
        <v>Low Volatility</v>
      </c>
      <c r="AW145" s="14" t="str">
        <f t="shared" si="117"/>
        <v>Stable</v>
      </c>
    </row>
    <row r="146" spans="1:49" ht="39" hidden="1" thickBot="1">
      <c r="A146" s="104" t="s">
        <v>306</v>
      </c>
      <c r="B146" s="105" t="s">
        <v>502</v>
      </c>
      <c r="C146" s="105" t="s">
        <v>503</v>
      </c>
      <c r="D146" s="15">
        <f t="shared" si="164"/>
        <v>45896</v>
      </c>
      <c r="E146" s="60">
        <f t="shared" si="165"/>
        <v>4510</v>
      </c>
      <c r="F146" s="61">
        <f t="shared" si="131"/>
        <v>15</v>
      </c>
      <c r="G146" s="62">
        <f>((E146-MAX(E$16:E146))/MAX(E$16:E146))</f>
        <v>-2.2123893805309734E-3</v>
      </c>
      <c r="H146" s="16">
        <f t="shared" si="171"/>
        <v>3.3370411568409346E-3</v>
      </c>
      <c r="I146" s="153"/>
      <c r="K146" s="16">
        <f t="shared" si="111"/>
        <v>8.948545861297539E-3</v>
      </c>
      <c r="L146" s="77">
        <f t="shared" si="172"/>
        <v>1.6587677725118485E-2</v>
      </c>
      <c r="M146" s="16">
        <f t="shared" si="119"/>
        <v>5.1617932160390526E-3</v>
      </c>
      <c r="N146" s="16" t="str">
        <f t="shared" si="119"/>
        <v>Low Volatility</v>
      </c>
      <c r="O146" s="14" t="str">
        <f t="shared" si="126"/>
        <v>Weak/Unconfirmed</v>
      </c>
      <c r="S146" s="78" t="s">
        <v>306</v>
      </c>
      <c r="T146" s="86" t="s">
        <v>43</v>
      </c>
      <c r="U146" s="87" t="s">
        <v>369</v>
      </c>
      <c r="V146" s="15">
        <f t="shared" si="167"/>
        <v>45896</v>
      </c>
      <c r="W146" s="60">
        <f t="shared" si="90"/>
        <v>51.68</v>
      </c>
      <c r="X146" s="61">
        <f t="shared" si="91"/>
        <v>-0.10000000000000142</v>
      </c>
      <c r="Y146" s="62">
        <f>((W146-MAX(W$16:W146))/MAX(W$16:W146))</f>
        <v>-7.8709925129584121E-3</v>
      </c>
      <c r="Z146" s="16">
        <f t="shared" si="92"/>
        <v>-1.9312475859405451E-3</v>
      </c>
      <c r="AA146" s="153"/>
      <c r="AC146" s="16">
        <f t="shared" si="128"/>
        <v>2.094033978664564E-2</v>
      </c>
      <c r="AD146" s="16">
        <f t="shared" ref="AD146" si="174">AD144</f>
        <v>2.6393699028041728E-2</v>
      </c>
      <c r="AE146" s="16">
        <f>AE145</f>
        <v>8.8151245510901862E-3</v>
      </c>
      <c r="AF146" s="16" t="str">
        <f t="shared" ref="AF146:AF150" si="175">AF145</f>
        <v>Low Volatility</v>
      </c>
      <c r="AG146" s="14" t="str">
        <f t="shared" si="115"/>
        <v>Strong Uptrend</v>
      </c>
      <c r="AI146" s="78" t="s">
        <v>306</v>
      </c>
      <c r="AJ146" s="88">
        <v>410500</v>
      </c>
      <c r="AK146" s="89">
        <v>410900</v>
      </c>
      <c r="AL146" s="15">
        <f t="shared" si="113"/>
        <v>45896</v>
      </c>
      <c r="AM146" s="60">
        <f t="shared" si="105"/>
        <v>41.09</v>
      </c>
      <c r="AN146" s="61">
        <f t="shared" si="106"/>
        <v>3.0000000000001137E-2</v>
      </c>
      <c r="AO146" s="62">
        <f>((AM146-MAX(AM$16:AM146))/MAX(AM$16:AM146))</f>
        <v>0</v>
      </c>
      <c r="AP146" s="16">
        <f t="shared" si="107"/>
        <v>7.3063809059915083E-4</v>
      </c>
      <c r="AQ146" s="153"/>
      <c r="AS146" s="16">
        <f t="shared" si="124"/>
        <v>3.1738281250000625E-3</v>
      </c>
      <c r="AT146" s="77">
        <f t="shared" ref="AT146:AV150" si="176">AT145</f>
        <v>3.4846848102567328E-4</v>
      </c>
      <c r="AU146" s="16">
        <f t="shared" si="176"/>
        <v>1.9994839929673527E-3</v>
      </c>
      <c r="AV146" s="16" t="str">
        <f t="shared" si="176"/>
        <v>Low Volatility</v>
      </c>
      <c r="AW146" s="14" t="str">
        <f t="shared" si="117"/>
        <v>Stable</v>
      </c>
    </row>
    <row r="147" spans="1:49" ht="39" hidden="1" thickBot="1">
      <c r="A147" s="104" t="s">
        <v>307</v>
      </c>
      <c r="B147" s="105" t="s">
        <v>503</v>
      </c>
      <c r="C147" s="105" t="s">
        <v>504</v>
      </c>
      <c r="D147" s="15">
        <f t="shared" si="164"/>
        <v>45897</v>
      </c>
      <c r="E147" s="60">
        <f t="shared" si="165"/>
        <v>4540</v>
      </c>
      <c r="F147" s="61">
        <f t="shared" si="131"/>
        <v>30</v>
      </c>
      <c r="G147" s="62">
        <f>((E147-MAX(E$16:E147))/MAX(E$16:E147))</f>
        <v>0</v>
      </c>
      <c r="H147" s="16">
        <f t="shared" si="171"/>
        <v>6.6518847006651885E-3</v>
      </c>
      <c r="I147" s="153"/>
      <c r="K147" s="16">
        <f t="shared" si="111"/>
        <v>1.7937219730941704E-2</v>
      </c>
      <c r="L147" s="77">
        <f t="shared" si="172"/>
        <v>1.6587677725118485E-2</v>
      </c>
      <c r="M147" s="16">
        <f t="shared" si="119"/>
        <v>5.1617932160390526E-3</v>
      </c>
      <c r="N147" s="16" t="str">
        <f t="shared" si="119"/>
        <v>Low Volatility</v>
      </c>
      <c r="O147" s="14" t="str">
        <f t="shared" si="126"/>
        <v>Strong Uptrend</v>
      </c>
      <c r="S147" s="78" t="s">
        <v>307</v>
      </c>
      <c r="T147" s="86" t="s">
        <v>43</v>
      </c>
      <c r="U147" s="87" t="s">
        <v>370</v>
      </c>
      <c r="V147" s="15">
        <f t="shared" si="167"/>
        <v>45897</v>
      </c>
      <c r="W147" s="60">
        <f t="shared" si="90"/>
        <v>52.47</v>
      </c>
      <c r="X147" s="61">
        <f t="shared" si="91"/>
        <v>0.78999999999999915</v>
      </c>
      <c r="Y147" s="62">
        <f>((W147-MAX(W$16:W147))/MAX(W$16:W147))</f>
        <v>0</v>
      </c>
      <c r="Z147" s="16">
        <f t="shared" si="92"/>
        <v>1.5286377708978312E-2</v>
      </c>
      <c r="AA147" s="153"/>
      <c r="AC147" s="16">
        <f t="shared" si="128"/>
        <v>3.1249999999999927E-2</v>
      </c>
      <c r="AD147" s="16">
        <f t="shared" ref="AD147" si="177">AD144</f>
        <v>2.6393699028041728E-2</v>
      </c>
      <c r="AE147" s="16">
        <f t="shared" ref="AE147:AE150" si="178">AE146</f>
        <v>8.8151245510901862E-3</v>
      </c>
      <c r="AF147" s="16" t="str">
        <f t="shared" si="175"/>
        <v>Low Volatility</v>
      </c>
      <c r="AG147" s="14" t="str">
        <f t="shared" si="115"/>
        <v>Strong Uptrend</v>
      </c>
      <c r="AI147" s="78" t="s">
        <v>307</v>
      </c>
      <c r="AJ147" s="88">
        <v>410600</v>
      </c>
      <c r="AK147" s="89">
        <v>409800</v>
      </c>
      <c r="AL147" s="15">
        <f t="shared" si="113"/>
        <v>45897</v>
      </c>
      <c r="AM147" s="60">
        <f t="shared" si="105"/>
        <v>40.98</v>
      </c>
      <c r="AN147" s="61">
        <f t="shared" si="106"/>
        <v>-0.11000000000000654</v>
      </c>
      <c r="AO147" s="62">
        <f>((AM147-MAX(AM$16:AM147))/MAX(AM$16:AM147))</f>
        <v>-2.6770503772208937E-3</v>
      </c>
      <c r="AP147" s="16">
        <f t="shared" si="107"/>
        <v>-2.6770503772208937E-3</v>
      </c>
      <c r="AQ147" s="153"/>
      <c r="AS147" s="16">
        <f t="shared" si="124"/>
        <v>0</v>
      </c>
      <c r="AT147" s="77">
        <f t="shared" ref="AT147:AU147" si="179">AT146</f>
        <v>3.4846848102567328E-4</v>
      </c>
      <c r="AU147" s="16">
        <f t="shared" si="179"/>
        <v>1.9994839929673527E-3</v>
      </c>
      <c r="AV147" s="16" t="str">
        <f t="shared" si="176"/>
        <v>Low Volatility</v>
      </c>
      <c r="AW147" s="14" t="str">
        <f t="shared" si="117"/>
        <v>Stable</v>
      </c>
    </row>
    <row r="148" spans="1:49" ht="39" hidden="1" thickBot="1">
      <c r="A148" s="104" t="s">
        <v>308</v>
      </c>
      <c r="B148" s="105" t="s">
        <v>504</v>
      </c>
      <c r="C148" s="105" t="s">
        <v>505</v>
      </c>
      <c r="D148" s="15">
        <f t="shared" si="164"/>
        <v>45898</v>
      </c>
      <c r="E148" s="60">
        <f t="shared" si="165"/>
        <v>4600</v>
      </c>
      <c r="F148" s="61">
        <f t="shared" si="131"/>
        <v>60</v>
      </c>
      <c r="G148" s="62">
        <f>((E148-MAX(E$16:E148))/MAX(E$16:E148))</f>
        <v>0</v>
      </c>
      <c r="H148" s="16">
        <f t="shared" si="171"/>
        <v>1.3215859030837005E-2</v>
      </c>
      <c r="I148" s="153"/>
      <c r="K148" s="16">
        <f t="shared" si="111"/>
        <v>1.7699115044247787E-2</v>
      </c>
      <c r="L148" s="77">
        <f t="shared" si="172"/>
        <v>1.6587677725118485E-2</v>
      </c>
      <c r="M148" s="16">
        <f t="shared" si="119"/>
        <v>5.1617932160390526E-3</v>
      </c>
      <c r="N148" s="16" t="str">
        <f t="shared" si="119"/>
        <v>Low Volatility</v>
      </c>
      <c r="O148" s="14" t="str">
        <f t="shared" si="126"/>
        <v>Strong Uptrend</v>
      </c>
      <c r="S148" s="78" t="s">
        <v>308</v>
      </c>
      <c r="T148" s="86" t="s">
        <v>43</v>
      </c>
      <c r="U148" s="87" t="s">
        <v>371</v>
      </c>
      <c r="V148" s="15">
        <f t="shared" si="167"/>
        <v>45898</v>
      </c>
      <c r="W148" s="60">
        <f t="shared" si="90"/>
        <v>53.25</v>
      </c>
      <c r="X148" s="61">
        <f t="shared" si="91"/>
        <v>0.78000000000000114</v>
      </c>
      <c r="Y148" s="62">
        <f>((W148-MAX(W$16:W148))/MAX(W$16:W148))</f>
        <v>0</v>
      </c>
      <c r="Z148" s="16">
        <f t="shared" si="92"/>
        <v>1.4865637507146963E-2</v>
      </c>
      <c r="AA148" s="153"/>
      <c r="AC148" s="16">
        <f t="shared" si="128"/>
        <v>2.8786707882534814E-2</v>
      </c>
      <c r="AD148" s="16">
        <f t="shared" ref="AD148" si="180">AD144</f>
        <v>2.6393699028041728E-2</v>
      </c>
      <c r="AE148" s="16">
        <f t="shared" si="178"/>
        <v>8.8151245510901862E-3</v>
      </c>
      <c r="AF148" s="16" t="str">
        <f t="shared" si="175"/>
        <v>Low Volatility</v>
      </c>
      <c r="AG148" s="14" t="str">
        <f t="shared" si="115"/>
        <v>Strong Uptrend</v>
      </c>
      <c r="AI148" s="78" t="s">
        <v>308</v>
      </c>
      <c r="AJ148" s="88">
        <v>410200</v>
      </c>
      <c r="AK148" s="89">
        <v>410400</v>
      </c>
      <c r="AL148" s="15">
        <f t="shared" si="113"/>
        <v>45898</v>
      </c>
      <c r="AM148" s="60">
        <f t="shared" si="105"/>
        <v>41.04</v>
      </c>
      <c r="AN148" s="61">
        <f t="shared" si="106"/>
        <v>6.0000000000002274E-2</v>
      </c>
      <c r="AO148" s="62">
        <f>((AM148-MAX(AM$16:AM148))/MAX(AM$16:AM148))</f>
        <v>-1.2168410805549832E-3</v>
      </c>
      <c r="AP148" s="16">
        <f t="shared" si="107"/>
        <v>1.4641288433382693E-3</v>
      </c>
      <c r="AQ148" s="153"/>
      <c r="AS148" s="16">
        <f t="shared" si="124"/>
        <v>-7.3046018991967704E-4</v>
      </c>
      <c r="AT148" s="77">
        <f t="shared" ref="AT148:AU148" si="181">AT147</f>
        <v>3.4846848102567328E-4</v>
      </c>
      <c r="AU148" s="16">
        <f t="shared" si="181"/>
        <v>1.9994839929673527E-3</v>
      </c>
      <c r="AV148" s="16" t="str">
        <f t="shared" si="176"/>
        <v>Low Volatility</v>
      </c>
      <c r="AW148" s="14" t="str">
        <f t="shared" si="117"/>
        <v>Stable</v>
      </c>
    </row>
    <row r="149" spans="1:49" ht="39" hidden="1" thickBot="1">
      <c r="A149" s="104" t="s">
        <v>309</v>
      </c>
      <c r="B149" s="106" t="s">
        <v>504</v>
      </c>
      <c r="C149" s="106" t="s">
        <v>505</v>
      </c>
      <c r="D149" s="15">
        <f t="shared" si="164"/>
        <v>45899</v>
      </c>
      <c r="E149" s="60">
        <f t="shared" si="165"/>
        <v>4600</v>
      </c>
      <c r="F149" s="61">
        <f t="shared" si="131"/>
        <v>0</v>
      </c>
      <c r="G149" s="62">
        <f>((E149-MAX(E$16:E149))/MAX(E$16:E149))</f>
        <v>0</v>
      </c>
      <c r="H149" s="16">
        <f t="shared" si="171"/>
        <v>0</v>
      </c>
      <c r="I149" s="153"/>
      <c r="K149" s="16">
        <f t="shared" si="111"/>
        <v>2.2222222222222223E-2</v>
      </c>
      <c r="L149" s="77">
        <f t="shared" si="172"/>
        <v>1.6587677725118485E-2</v>
      </c>
      <c r="M149" s="16">
        <f t="shared" si="119"/>
        <v>5.1617932160390526E-3</v>
      </c>
      <c r="N149" s="16" t="str">
        <f t="shared" si="119"/>
        <v>Low Volatility</v>
      </c>
      <c r="O149" s="14" t="str">
        <f t="shared" si="126"/>
        <v>Strong Uptrend</v>
      </c>
      <c r="S149" s="78" t="s">
        <v>309</v>
      </c>
      <c r="T149" s="86" t="s">
        <v>43</v>
      </c>
      <c r="U149" s="87" t="s">
        <v>372</v>
      </c>
      <c r="V149" s="15">
        <f t="shared" si="167"/>
        <v>45899</v>
      </c>
      <c r="W149" s="60">
        <f t="shared" si="90"/>
        <v>53.35</v>
      </c>
      <c r="X149" s="61">
        <f t="shared" si="91"/>
        <v>0.10000000000000142</v>
      </c>
      <c r="Y149" s="62">
        <f>((W149-MAX(W$16:W149))/MAX(W$16:W149))</f>
        <v>0</v>
      </c>
      <c r="Z149" s="16">
        <f t="shared" si="92"/>
        <v>1.8779342723004961E-3</v>
      </c>
      <c r="AA149" s="153"/>
      <c r="AC149" s="16">
        <f t="shared" si="128"/>
        <v>2.4188903820310959E-2</v>
      </c>
      <c r="AD149" s="16">
        <f t="shared" ref="AD149" si="182">AD144</f>
        <v>2.6393699028041728E-2</v>
      </c>
      <c r="AE149" s="16">
        <f t="shared" si="178"/>
        <v>8.8151245510901862E-3</v>
      </c>
      <c r="AF149" s="16" t="str">
        <f t="shared" si="175"/>
        <v>Low Volatility</v>
      </c>
      <c r="AG149" s="14" t="str">
        <f t="shared" si="115"/>
        <v>Strong Uptrend</v>
      </c>
      <c r="AI149" s="78" t="s">
        <v>309</v>
      </c>
      <c r="AJ149" s="90">
        <v>410200</v>
      </c>
      <c r="AK149" s="89">
        <v>409700</v>
      </c>
      <c r="AL149" s="15">
        <f t="shared" si="113"/>
        <v>45899</v>
      </c>
      <c r="AM149" s="60">
        <f t="shared" si="105"/>
        <v>40.97</v>
      </c>
      <c r="AN149" s="61">
        <f t="shared" si="106"/>
        <v>-7.0000000000000284E-2</v>
      </c>
      <c r="AO149" s="62">
        <f>((AM149-MAX(AM$16:AM149))/MAX(AM$16:AM149))</f>
        <v>-2.9204185933318213E-3</v>
      </c>
      <c r="AP149" s="16">
        <f t="shared" si="107"/>
        <v>-1.7056530214425022E-3</v>
      </c>
      <c r="AQ149" s="153"/>
      <c r="AS149" s="16">
        <f t="shared" si="124"/>
        <v>-2.1919142717974527E-3</v>
      </c>
      <c r="AT149" s="77">
        <f t="shared" ref="AT149:AU149" si="183">AT148</f>
        <v>3.4846848102567328E-4</v>
      </c>
      <c r="AU149" s="16">
        <f t="shared" si="183"/>
        <v>1.9994839929673527E-3</v>
      </c>
      <c r="AV149" s="16" t="str">
        <f t="shared" si="176"/>
        <v>Low Volatility</v>
      </c>
      <c r="AW149" s="14" t="str">
        <f t="shared" si="117"/>
        <v>Stable</v>
      </c>
    </row>
    <row r="150" spans="1:49" ht="15.75" hidden="1" thickBot="1">
      <c r="A150" s="107" t="s">
        <v>310</v>
      </c>
      <c r="B150" s="106" t="s">
        <v>504</v>
      </c>
      <c r="C150" s="106" t="s">
        <v>505</v>
      </c>
      <c r="D150" s="15">
        <f t="shared" si="164"/>
        <v>45900</v>
      </c>
      <c r="E150" s="60">
        <f t="shared" si="165"/>
        <v>4600</v>
      </c>
      <c r="F150" s="61">
        <f t="shared" si="131"/>
        <v>0</v>
      </c>
      <c r="G150" s="62">
        <f>((E150-MAX(E$16:E150))/MAX(E$16:E150))</f>
        <v>0</v>
      </c>
      <c r="H150" s="16">
        <f t="shared" si="171"/>
        <v>0</v>
      </c>
      <c r="I150" s="153"/>
      <c r="K150" s="16">
        <f t="shared" si="111"/>
        <v>2.2222222222222223E-2</v>
      </c>
      <c r="L150" s="77">
        <f t="shared" si="172"/>
        <v>1.6587677725118485E-2</v>
      </c>
      <c r="M150" s="16">
        <f t="shared" si="119"/>
        <v>5.1617932160390526E-3</v>
      </c>
      <c r="N150" s="16" t="str">
        <f t="shared" si="119"/>
        <v>Low Volatility</v>
      </c>
      <c r="O150" s="14" t="str">
        <f t="shared" si="126"/>
        <v>Strong Uptrend</v>
      </c>
      <c r="S150" s="78" t="s">
        <v>310</v>
      </c>
      <c r="T150" s="86" t="s">
        <v>43</v>
      </c>
      <c r="U150" s="87" t="s">
        <v>372</v>
      </c>
      <c r="V150" s="15">
        <f t="shared" si="167"/>
        <v>45900</v>
      </c>
      <c r="W150" s="60">
        <f t="shared" si="90"/>
        <v>53.35</v>
      </c>
      <c r="X150" s="61">
        <f t="shared" si="91"/>
        <v>0</v>
      </c>
      <c r="Y150" s="62">
        <f>((W150-MAX(W$16:W150))/MAX(W$16:W150))</f>
        <v>0</v>
      </c>
      <c r="Z150" s="16">
        <f t="shared" si="92"/>
        <v>0</v>
      </c>
      <c r="AA150" s="153"/>
      <c r="AC150" s="16">
        <f t="shared" si="128"/>
        <v>2.4188903820310959E-2</v>
      </c>
      <c r="AD150" s="16">
        <f t="shared" ref="AD150" si="184">AD144</f>
        <v>2.6393699028041728E-2</v>
      </c>
      <c r="AE150" s="16">
        <f t="shared" si="178"/>
        <v>8.8151245510901862E-3</v>
      </c>
      <c r="AF150" s="16" t="str">
        <f t="shared" si="175"/>
        <v>Low Volatility</v>
      </c>
      <c r="AG150" s="14" t="str">
        <f t="shared" si="115"/>
        <v>Strong Uptrend</v>
      </c>
      <c r="AJ150" s="90">
        <v>410200</v>
      </c>
      <c r="AK150" s="89">
        <v>409700</v>
      </c>
      <c r="AL150" s="15">
        <f t="shared" si="113"/>
        <v>45900</v>
      </c>
      <c r="AM150" s="60">
        <f t="shared" si="105"/>
        <v>40.97</v>
      </c>
      <c r="AN150" s="61">
        <f t="shared" si="106"/>
        <v>0</v>
      </c>
      <c r="AO150" s="62">
        <f>((AM150-MAX(AM$16:AM150))/MAX(AM$16:AM150))</f>
        <v>-2.9204185933318213E-3</v>
      </c>
      <c r="AP150" s="16">
        <f t="shared" si="107"/>
        <v>0</v>
      </c>
      <c r="AQ150" s="153"/>
      <c r="AS150" s="16">
        <f t="shared" si="124"/>
        <v>-2.1919142717974527E-3</v>
      </c>
      <c r="AT150" s="77">
        <f t="shared" ref="AT150:AU150" si="185">AT149</f>
        <v>3.4846848102567328E-4</v>
      </c>
      <c r="AU150" s="16">
        <f t="shared" si="185"/>
        <v>1.9994839929673527E-3</v>
      </c>
      <c r="AV150" s="16" t="str">
        <f t="shared" si="176"/>
        <v>Low Volatility</v>
      </c>
      <c r="AW150" s="14" t="str">
        <f t="shared" si="117"/>
        <v>Stable</v>
      </c>
    </row>
    <row r="151" spans="1:49" ht="26.25" hidden="1" thickBot="1">
      <c r="A151" s="104" t="s">
        <v>311</v>
      </c>
      <c r="B151" s="105" t="s">
        <v>504</v>
      </c>
      <c r="C151" s="105" t="s">
        <v>506</v>
      </c>
      <c r="D151" s="15">
        <f t="shared" si="164"/>
        <v>45901</v>
      </c>
      <c r="E151" s="60">
        <f t="shared" si="165"/>
        <v>4625</v>
      </c>
      <c r="F151" s="61">
        <f t="shared" si="131"/>
        <v>25</v>
      </c>
      <c r="G151" s="62">
        <f>((E151-MAX(E$16:E151))/MAX(E$16:E151))</f>
        <v>0</v>
      </c>
      <c r="H151" s="16">
        <f t="shared" si="171"/>
        <v>5.434782608695652E-3</v>
      </c>
      <c r="I151" s="153">
        <f>AVERAGEIFS(E151:E158, E151:E158, "&gt;=0")</f>
        <v>4792.5</v>
      </c>
      <c r="K151" s="16">
        <f t="shared" ref="K151:K182" si="186">(E151-E144)/E144</f>
        <v>2.8921023359288096E-2</v>
      </c>
      <c r="L151" s="77">
        <f t="shared" ref="L151" si="187">(I151-I144)/I144</f>
        <v>5.1419169066227892E-2</v>
      </c>
      <c r="M151" s="16" cm="1">
        <f t="array" ref="M151">_xlfn.STDEV.S(_xlfn._xlws.FILTER(F151:F157, ISNUMBER(F151:F157))) / I151</f>
        <v>8.9834373148041657E-3</v>
      </c>
      <c r="N151" s="16" t="str">
        <f>IF(M151 &lt; 0.02, "Low Volatility",
 IF(M151 &gt; 0.1, "High Volatility", "Medium Volatility"))</f>
        <v>Low Volatility</v>
      </c>
      <c r="O151" s="14" t="str">
        <f t="shared" si="126"/>
        <v>Strong Uptrend</v>
      </c>
      <c r="S151" s="78" t="s">
        <v>311</v>
      </c>
      <c r="T151" s="86" t="s">
        <v>43</v>
      </c>
      <c r="U151" s="87" t="s">
        <v>373</v>
      </c>
      <c r="V151" s="15">
        <f t="shared" si="167"/>
        <v>45901</v>
      </c>
      <c r="W151" s="60">
        <f t="shared" si="90"/>
        <v>54.64</v>
      </c>
      <c r="X151" s="61">
        <f t="shared" si="91"/>
        <v>1.2899999999999991</v>
      </c>
      <c r="Y151" s="62">
        <f>((W151-MAX(W$16:W151))/MAX(W$16:W151))</f>
        <v>0</v>
      </c>
      <c r="Z151" s="16">
        <f t="shared" si="92"/>
        <v>2.4179943767572615E-2</v>
      </c>
      <c r="AA151" s="153">
        <f t="shared" ref="AA151" si="188">AVERAGEIFS(W151:W157, W151:W157, "&gt;=0")</f>
        <v>55.034285714285708</v>
      </c>
      <c r="AC151" s="16">
        <f t="shared" si="128"/>
        <v>5.8709552412323215E-2</v>
      </c>
      <c r="AD151" s="66">
        <f t="shared" ref="AD151" si="189">(AA151-AA144)/AA144</f>
        <v>4.8300634030857825E-2</v>
      </c>
      <c r="AE151" s="16" cm="1">
        <f t="array" ref="AE151">_xlfn.STDEV.S(_xlfn._xlws.FILTER(X151:X157, ISNUMBER(X151:X157))) / AA151</f>
        <v>1.1140311305741959E-2</v>
      </c>
      <c r="AF151" s="17" t="str">
        <f>AF145</f>
        <v>Low Volatility</v>
      </c>
      <c r="AG151" s="14" t="str">
        <f t="shared" si="115"/>
        <v>Strong Uptrend</v>
      </c>
      <c r="AI151" s="78" t="s">
        <v>311</v>
      </c>
      <c r="AJ151" s="88">
        <v>409800</v>
      </c>
      <c r="AK151" s="89">
        <v>410400</v>
      </c>
      <c r="AL151" s="15">
        <f t="shared" si="113"/>
        <v>45901</v>
      </c>
      <c r="AM151" s="60">
        <f t="shared" si="105"/>
        <v>41.04</v>
      </c>
      <c r="AN151" s="61">
        <f t="shared" si="106"/>
        <v>7.0000000000000284E-2</v>
      </c>
      <c r="AO151" s="62">
        <f>((AM151-MAX(AM$16:AM151))/MAX(AM$16:AM151))</f>
        <v>-1.2168410805549832E-3</v>
      </c>
      <c r="AP151" s="16">
        <f t="shared" si="107"/>
        <v>1.7085672443251229E-3</v>
      </c>
      <c r="AQ151" s="153">
        <f t="shared" ref="AQ151" si="190">AVERAGEIFS(AM151:AM157, AM151:AM157, "&gt;=0")</f>
        <v>41.23571428571428</v>
      </c>
      <c r="AS151" s="16">
        <f t="shared" si="124"/>
        <v>1.9531249999999584E-3</v>
      </c>
      <c r="AT151" s="77">
        <f>(AQ151-AQ144)/AQ144</f>
        <v>5.5038840700873549E-3</v>
      </c>
      <c r="AU151" s="16" cm="1">
        <f t="array" ref="AU151">_xlfn.STDEV.S(_xlfn._xlws.FILTER(AN151:AN157, ISNUMBER(AN151:AN157))) / AQ151</f>
        <v>1.9371766696781175E-3</v>
      </c>
      <c r="AV151" s="16" t="str">
        <f>IF(AU151 &lt; 0.02, "Low Volatility",
 IF(AU151 &gt; 0.1, "High Volatility", "Medium Volatility"))</f>
        <v>Low Volatility</v>
      </c>
      <c r="AW151" s="14" t="str">
        <f t="shared" si="117"/>
        <v>Weak/Unconfirmed</v>
      </c>
    </row>
    <row r="152" spans="1:49" ht="26.25" hidden="1" thickBot="1">
      <c r="A152" s="104" t="s">
        <v>312</v>
      </c>
      <c r="B152" s="105" t="s">
        <v>506</v>
      </c>
      <c r="C152" s="105" t="s">
        <v>507</v>
      </c>
      <c r="D152" s="15">
        <f t="shared" si="164"/>
        <v>45902</v>
      </c>
      <c r="E152" s="60">
        <f t="shared" si="165"/>
        <v>4695</v>
      </c>
      <c r="F152" s="61">
        <f t="shared" si="131"/>
        <v>70</v>
      </c>
      <c r="G152" s="62">
        <f>((E152-MAX(E$16:E152))/MAX(E$16:E152))</f>
        <v>0</v>
      </c>
      <c r="H152" s="16">
        <f t="shared" si="171"/>
        <v>1.5135135135135135E-2</v>
      </c>
      <c r="I152" s="153"/>
      <c r="K152" s="16">
        <f t="shared" si="186"/>
        <v>4.449388209121246E-2</v>
      </c>
      <c r="L152" s="77">
        <f t="shared" ref="L152:L157" si="191">L151</f>
        <v>5.1419169066227892E-2</v>
      </c>
      <c r="M152" s="16">
        <f t="shared" si="119"/>
        <v>8.9834373148041657E-3</v>
      </c>
      <c r="N152" s="16" t="str">
        <f t="shared" si="119"/>
        <v>Low Volatility</v>
      </c>
      <c r="O152" s="14" t="str">
        <f t="shared" si="126"/>
        <v>Strong Uptrend</v>
      </c>
      <c r="S152" s="78" t="s">
        <v>312</v>
      </c>
      <c r="T152" s="86" t="s">
        <v>43</v>
      </c>
      <c r="U152" s="87" t="s">
        <v>374</v>
      </c>
      <c r="V152" s="15">
        <f t="shared" si="167"/>
        <v>45902</v>
      </c>
      <c r="W152" s="60">
        <f t="shared" si="90"/>
        <v>55.06</v>
      </c>
      <c r="X152" s="61">
        <f t="shared" si="91"/>
        <v>0.42000000000000171</v>
      </c>
      <c r="Y152" s="62">
        <f>((W152-MAX(W$16:W152))/MAX(W$16:W152))</f>
        <v>0</v>
      </c>
      <c r="Z152" s="16">
        <f t="shared" si="92"/>
        <v>7.6866764275256537E-3</v>
      </c>
      <c r="AA152" s="153"/>
      <c r="AC152" s="16">
        <f t="shared" si="128"/>
        <v>6.3344920818849001E-2</v>
      </c>
      <c r="AD152" s="16">
        <f t="shared" ref="AD152" si="192">AD151</f>
        <v>4.8300634030857825E-2</v>
      </c>
      <c r="AE152" s="16" cm="1">
        <f t="array" ref="AE152">_xlfn.STDEV.S(_xlfn._xlws.FILTER(X151:X157, ISNUMBER(X151:X157))) / AA151</f>
        <v>1.1140311305741959E-2</v>
      </c>
      <c r="AF152" s="16" t="str">
        <f>IF(AE152 &lt; 0.02, "Low Volatility",
 IF(AE152 &gt; 0.1, "High Volatility", "Medium Volatility"))</f>
        <v>Low Volatility</v>
      </c>
      <c r="AG152" s="14" t="str">
        <f t="shared" si="115"/>
        <v>Strong Uptrend</v>
      </c>
      <c r="AI152" s="78" t="s">
        <v>312</v>
      </c>
      <c r="AJ152" s="88">
        <v>411100</v>
      </c>
      <c r="AK152" s="89">
        <v>412500</v>
      </c>
      <c r="AL152" s="15">
        <f t="shared" si="113"/>
        <v>45902</v>
      </c>
      <c r="AM152" s="60">
        <f t="shared" si="105"/>
        <v>41.25</v>
      </c>
      <c r="AN152" s="61">
        <f t="shared" si="106"/>
        <v>0.21000000000000085</v>
      </c>
      <c r="AO152" s="62">
        <f>((AM152-MAX(AM$16:AM152))/MAX(AM$16:AM152))</f>
        <v>0</v>
      </c>
      <c r="AP152" s="16">
        <f t="shared" si="107"/>
        <v>5.1169590643275059E-3</v>
      </c>
      <c r="AQ152" s="153"/>
      <c r="AS152" s="16">
        <f t="shared" si="124"/>
        <v>4.6273745737943914E-3</v>
      </c>
      <c r="AT152" s="77">
        <f>AT151</f>
        <v>5.5038840700873549E-3</v>
      </c>
      <c r="AU152" s="16">
        <f>AU151</f>
        <v>1.9371766696781175E-3</v>
      </c>
      <c r="AV152" s="16" t="str">
        <f>AV151</f>
        <v>Low Volatility</v>
      </c>
      <c r="AW152" s="14" t="str">
        <f t="shared" si="117"/>
        <v>Weak/Unconfirmed</v>
      </c>
    </row>
    <row r="153" spans="1:49" ht="26.25" hidden="1" thickBot="1">
      <c r="A153" s="104" t="s">
        <v>313</v>
      </c>
      <c r="B153" s="105" t="s">
        <v>507</v>
      </c>
      <c r="C153" s="105" t="s">
        <v>508</v>
      </c>
      <c r="D153" s="15">
        <f t="shared" si="164"/>
        <v>45903</v>
      </c>
      <c r="E153" s="60">
        <f t="shared" ref="E153:E182" si="193">VALUE(SUBSTITUTE(SUBSTITUTE(C153, ".", ""), ",", "."))</f>
        <v>4780</v>
      </c>
      <c r="F153" s="61">
        <f t="shared" si="131"/>
        <v>85</v>
      </c>
      <c r="G153" s="62">
        <f>((E153-MAX(E$16:E153))/MAX(E$16:E153))</f>
        <v>0</v>
      </c>
      <c r="H153" s="16">
        <f t="shared" si="171"/>
        <v>1.8104366347177849E-2</v>
      </c>
      <c r="I153" s="153"/>
      <c r="K153" s="16">
        <f t="shared" si="186"/>
        <v>5.9866962305986697E-2</v>
      </c>
      <c r="L153" s="77">
        <f t="shared" si="191"/>
        <v>5.1419169066227892E-2</v>
      </c>
      <c r="M153" s="16">
        <f t="shared" si="119"/>
        <v>8.9834373148041657E-3</v>
      </c>
      <c r="N153" s="16" t="str">
        <f t="shared" si="119"/>
        <v>Low Volatility</v>
      </c>
      <c r="O153" s="14" t="str">
        <f t="shared" si="126"/>
        <v>Strong Uptrend</v>
      </c>
      <c r="S153" s="78" t="s">
        <v>313</v>
      </c>
      <c r="T153" s="86" t="s">
        <v>43</v>
      </c>
      <c r="U153" s="87" t="s">
        <v>375</v>
      </c>
      <c r="V153" s="15">
        <f t="shared" si="167"/>
        <v>45903</v>
      </c>
      <c r="W153" s="60">
        <f t="shared" si="90"/>
        <v>55.44</v>
      </c>
      <c r="X153" s="61">
        <f t="shared" si="91"/>
        <v>0.37999999999999545</v>
      </c>
      <c r="Y153" s="62">
        <f>((W153-MAX(W$16:W153))/MAX(W$16:W153))</f>
        <v>0</v>
      </c>
      <c r="Z153" s="16">
        <f t="shared" si="92"/>
        <v>6.9015619324372581E-3</v>
      </c>
      <c r="AA153" s="153"/>
      <c r="AC153" s="16">
        <f t="shared" si="128"/>
        <v>7.2755417956656313E-2</v>
      </c>
      <c r="AD153" s="16">
        <f t="shared" ref="AD153" si="194">AD151</f>
        <v>4.8300634030857825E-2</v>
      </c>
      <c r="AE153" s="16">
        <f>AE152</f>
        <v>1.1140311305741959E-2</v>
      </c>
      <c r="AF153" s="16" t="str">
        <f t="shared" ref="AF153:AF157" si="195">AF152</f>
        <v>Low Volatility</v>
      </c>
      <c r="AG153" s="14" t="str">
        <f t="shared" si="115"/>
        <v>Strong Uptrend</v>
      </c>
      <c r="AI153" s="78" t="s">
        <v>313</v>
      </c>
      <c r="AJ153" s="88">
        <v>412700</v>
      </c>
      <c r="AK153" s="89">
        <v>412600</v>
      </c>
      <c r="AL153" s="15">
        <f t="shared" si="113"/>
        <v>45903</v>
      </c>
      <c r="AM153" s="60">
        <f t="shared" si="105"/>
        <v>41.26</v>
      </c>
      <c r="AN153" s="61">
        <f t="shared" si="106"/>
        <v>9.9999999999980105E-3</v>
      </c>
      <c r="AO153" s="62">
        <f>((AM153-MAX(AM$16:AM153))/MAX(AM$16:AM153))</f>
        <v>0</v>
      </c>
      <c r="AP153" s="16">
        <f t="shared" si="107"/>
        <v>2.424242424241942E-4</v>
      </c>
      <c r="AQ153" s="153"/>
      <c r="AS153" s="16">
        <f t="shared" si="124"/>
        <v>4.1372596738864587E-3</v>
      </c>
      <c r="AT153" s="77">
        <f t="shared" ref="AT153:AV157" si="196">AT152</f>
        <v>5.5038840700873549E-3</v>
      </c>
      <c r="AU153" s="16">
        <f t="shared" si="196"/>
        <v>1.9371766696781175E-3</v>
      </c>
      <c r="AV153" s="16" t="str">
        <f t="shared" si="196"/>
        <v>Low Volatility</v>
      </c>
      <c r="AW153" s="14" t="str">
        <f t="shared" si="117"/>
        <v>Weak/Unconfirmed</v>
      </c>
    </row>
    <row r="154" spans="1:49" ht="26.25" hidden="1" thickBot="1">
      <c r="A154" s="104" t="s">
        <v>314</v>
      </c>
      <c r="B154" s="105" t="s">
        <v>508</v>
      </c>
      <c r="C154" s="105" t="s">
        <v>509</v>
      </c>
      <c r="D154" s="15">
        <f t="shared" si="164"/>
        <v>45904</v>
      </c>
      <c r="E154" s="60">
        <f t="shared" si="193"/>
        <v>4770</v>
      </c>
      <c r="F154" s="61">
        <f t="shared" si="131"/>
        <v>-10</v>
      </c>
      <c r="G154" s="62">
        <f>((E154-MAX(E$16:E154))/MAX(E$16:E154))</f>
        <v>-2.0920502092050207E-3</v>
      </c>
      <c r="H154" s="16">
        <f t="shared" si="171"/>
        <v>-2.0920502092050207E-3</v>
      </c>
      <c r="I154" s="153"/>
      <c r="K154" s="16">
        <f t="shared" si="186"/>
        <v>5.0660792951541848E-2</v>
      </c>
      <c r="L154" s="77">
        <f t="shared" si="191"/>
        <v>5.1419169066227892E-2</v>
      </c>
      <c r="M154" s="16">
        <f t="shared" si="119"/>
        <v>8.9834373148041657E-3</v>
      </c>
      <c r="N154" s="16" t="str">
        <f t="shared" si="119"/>
        <v>Low Volatility</v>
      </c>
      <c r="O154" s="14" t="str">
        <f t="shared" si="126"/>
        <v>Strong Uptrend</v>
      </c>
      <c r="S154" s="78" t="s">
        <v>314</v>
      </c>
      <c r="T154" s="86" t="s">
        <v>43</v>
      </c>
      <c r="U154" s="87" t="s">
        <v>376</v>
      </c>
      <c r="V154" s="15">
        <f t="shared" si="167"/>
        <v>45904</v>
      </c>
      <c r="W154" s="60">
        <f t="shared" si="90"/>
        <v>54.66</v>
      </c>
      <c r="X154" s="61">
        <f t="shared" si="91"/>
        <v>-0.78000000000000114</v>
      </c>
      <c r="Y154" s="62">
        <f>((W154-MAX(W$16:W154))/MAX(W$16:W154))</f>
        <v>-1.4069264069264091E-2</v>
      </c>
      <c r="Z154" s="16">
        <f t="shared" si="92"/>
        <v>-1.4069264069264091E-2</v>
      </c>
      <c r="AA154" s="153"/>
      <c r="AC154" s="16">
        <f t="shared" si="128"/>
        <v>4.1738136077758677E-2</v>
      </c>
      <c r="AD154" s="16">
        <f t="shared" ref="AD154" si="197">AD151</f>
        <v>4.8300634030857825E-2</v>
      </c>
      <c r="AE154" s="16">
        <f t="shared" ref="AE154:AE157" si="198">AE153</f>
        <v>1.1140311305741959E-2</v>
      </c>
      <c r="AF154" s="16" t="str">
        <f t="shared" si="195"/>
        <v>Low Volatility</v>
      </c>
      <c r="AG154" s="14" t="str">
        <f t="shared" si="115"/>
        <v>Strong Uptrend</v>
      </c>
      <c r="AI154" s="78" t="s">
        <v>314</v>
      </c>
      <c r="AJ154" s="88">
        <v>412400</v>
      </c>
      <c r="AK154" s="89">
        <v>412200</v>
      </c>
      <c r="AL154" s="15">
        <f t="shared" si="113"/>
        <v>45904</v>
      </c>
      <c r="AM154" s="60">
        <f t="shared" si="105"/>
        <v>41.22</v>
      </c>
      <c r="AN154" s="61">
        <f t="shared" si="106"/>
        <v>-3.9999999999999147E-2</v>
      </c>
      <c r="AO154" s="62">
        <f>((AM154-MAX(AM$16:AM154))/MAX(AM$16:AM154))</f>
        <v>-9.6946194861849606E-4</v>
      </c>
      <c r="AP154" s="16">
        <f t="shared" si="107"/>
        <v>-9.6946194861849606E-4</v>
      </c>
      <c r="AQ154" s="153"/>
      <c r="AS154" s="16">
        <f t="shared" si="124"/>
        <v>5.8565153733529038E-3</v>
      </c>
      <c r="AT154" s="77">
        <f t="shared" ref="AT154:AU154" si="199">AT153</f>
        <v>5.5038840700873549E-3</v>
      </c>
      <c r="AU154" s="16">
        <f t="shared" si="199"/>
        <v>1.9371766696781175E-3</v>
      </c>
      <c r="AV154" s="16" t="str">
        <f t="shared" si="196"/>
        <v>Low Volatility</v>
      </c>
      <c r="AW154" s="14" t="str">
        <f t="shared" si="117"/>
        <v>Weak/Unconfirmed</v>
      </c>
    </row>
    <row r="155" spans="1:49" ht="26.25" hidden="1" thickBot="1">
      <c r="A155" s="104" t="s">
        <v>315</v>
      </c>
      <c r="B155" s="105" t="s">
        <v>509</v>
      </c>
      <c r="C155" s="105" t="s">
        <v>510</v>
      </c>
      <c r="D155" s="15">
        <f t="shared" si="164"/>
        <v>45905</v>
      </c>
      <c r="E155" s="60">
        <f t="shared" si="193"/>
        <v>4850</v>
      </c>
      <c r="F155" s="61">
        <f t="shared" si="131"/>
        <v>80</v>
      </c>
      <c r="G155" s="62">
        <f>((E155-MAX(E$16:E155))/MAX(E$16:E155))</f>
        <v>0</v>
      </c>
      <c r="H155" s="16">
        <f t="shared" si="171"/>
        <v>1.6771488469601678E-2</v>
      </c>
      <c r="I155" s="153"/>
      <c r="K155" s="16">
        <f t="shared" si="186"/>
        <v>5.434782608695652E-2</v>
      </c>
      <c r="L155" s="77">
        <f t="shared" si="191"/>
        <v>5.1419169066227892E-2</v>
      </c>
      <c r="M155" s="16">
        <f t="shared" si="119"/>
        <v>8.9834373148041657E-3</v>
      </c>
      <c r="N155" s="16" t="str">
        <f t="shared" si="119"/>
        <v>Low Volatility</v>
      </c>
      <c r="O155" s="14" t="str">
        <f t="shared" si="126"/>
        <v>Strong Uptrend</v>
      </c>
      <c r="S155" s="78" t="s">
        <v>315</v>
      </c>
      <c r="T155" s="86" t="s">
        <v>43</v>
      </c>
      <c r="U155" s="87" t="s">
        <v>377</v>
      </c>
      <c r="V155" s="15">
        <f t="shared" si="167"/>
        <v>45905</v>
      </c>
      <c r="W155" s="60">
        <f t="shared" si="90"/>
        <v>54.92</v>
      </c>
      <c r="X155" s="61">
        <f t="shared" si="91"/>
        <v>0.26000000000000512</v>
      </c>
      <c r="Y155" s="62">
        <f>((W155-MAX(W$16:W155))/MAX(W$16:W155))</f>
        <v>-9.3795093795093088E-3</v>
      </c>
      <c r="Z155" s="16">
        <f t="shared" si="92"/>
        <v>4.7566776436151689E-3</v>
      </c>
      <c r="AA155" s="153"/>
      <c r="AC155" s="16">
        <f t="shared" si="128"/>
        <v>3.1361502347417872E-2</v>
      </c>
      <c r="AD155" s="16">
        <f t="shared" ref="AD155" si="200">AD151</f>
        <v>4.8300634030857825E-2</v>
      </c>
      <c r="AE155" s="16">
        <f t="shared" si="198"/>
        <v>1.1140311305741959E-2</v>
      </c>
      <c r="AF155" s="16" t="str">
        <f t="shared" si="195"/>
        <v>Low Volatility</v>
      </c>
      <c r="AG155" s="14" t="str">
        <f t="shared" si="115"/>
        <v>Strong Uptrend</v>
      </c>
      <c r="AI155" s="78" t="s">
        <v>315</v>
      </c>
      <c r="AJ155" s="88">
        <v>412200</v>
      </c>
      <c r="AK155" s="89">
        <v>412600</v>
      </c>
      <c r="AL155" s="15">
        <f t="shared" si="113"/>
        <v>45905</v>
      </c>
      <c r="AM155" s="60">
        <f t="shared" si="105"/>
        <v>41.26</v>
      </c>
      <c r="AN155" s="61">
        <f t="shared" si="106"/>
        <v>3.9999999999999147E-2</v>
      </c>
      <c r="AO155" s="62">
        <f>((AM155-MAX(AM$16:AM155))/MAX(AM$16:AM155))</f>
        <v>0</v>
      </c>
      <c r="AP155" s="16">
        <f t="shared" si="107"/>
        <v>9.7040271712758733E-4</v>
      </c>
      <c r="AQ155" s="153"/>
      <c r="AS155" s="16">
        <f t="shared" si="124"/>
        <v>5.3606237816763861E-3</v>
      </c>
      <c r="AT155" s="77">
        <f t="shared" ref="AT155:AU155" si="201">AT154</f>
        <v>5.5038840700873549E-3</v>
      </c>
      <c r="AU155" s="16">
        <f t="shared" si="201"/>
        <v>1.9371766696781175E-3</v>
      </c>
      <c r="AV155" s="16" t="str">
        <f t="shared" si="196"/>
        <v>Low Volatility</v>
      </c>
      <c r="AW155" s="14" t="str">
        <f t="shared" si="117"/>
        <v>Weak/Unconfirmed</v>
      </c>
    </row>
    <row r="156" spans="1:49" ht="26.25" hidden="1" thickBot="1">
      <c r="A156" s="104" t="s">
        <v>316</v>
      </c>
      <c r="B156" s="106" t="s">
        <v>509</v>
      </c>
      <c r="C156" s="106" t="s">
        <v>511</v>
      </c>
      <c r="D156" s="15">
        <f t="shared" si="164"/>
        <v>45906</v>
      </c>
      <c r="E156" s="60">
        <f t="shared" si="193"/>
        <v>4840</v>
      </c>
      <c r="F156" s="61">
        <f t="shared" si="131"/>
        <v>-10</v>
      </c>
      <c r="G156" s="62">
        <f>((E156-MAX(E$16:E156))/MAX(E$16:E156))</f>
        <v>-2.0618556701030928E-3</v>
      </c>
      <c r="H156" s="16">
        <f t="shared" si="171"/>
        <v>-2.0618556701030928E-3</v>
      </c>
      <c r="I156" s="153"/>
      <c r="K156" s="16">
        <f t="shared" si="186"/>
        <v>5.2173913043478258E-2</v>
      </c>
      <c r="L156" s="77">
        <f t="shared" si="191"/>
        <v>5.1419169066227892E-2</v>
      </c>
      <c r="M156" s="16">
        <f t="shared" si="119"/>
        <v>8.9834373148041657E-3</v>
      </c>
      <c r="N156" s="16" t="str">
        <f t="shared" si="119"/>
        <v>Low Volatility</v>
      </c>
      <c r="O156" s="14" t="str">
        <f t="shared" si="126"/>
        <v>Strong Uptrend</v>
      </c>
      <c r="S156" s="78" t="s">
        <v>316</v>
      </c>
      <c r="T156" s="86" t="s">
        <v>43</v>
      </c>
      <c r="U156" s="87" t="s">
        <v>378</v>
      </c>
      <c r="V156" s="15">
        <f t="shared" si="167"/>
        <v>45906</v>
      </c>
      <c r="W156" s="60">
        <f t="shared" si="90"/>
        <v>55.26</v>
      </c>
      <c r="X156" s="61">
        <f t="shared" si="91"/>
        <v>0.33999999999999631</v>
      </c>
      <c r="Y156" s="62">
        <f>((W156-MAX(W$16:W156))/MAX(W$16:W156))</f>
        <v>-3.2467532467532418E-3</v>
      </c>
      <c r="Z156" s="16">
        <f t="shared" si="92"/>
        <v>6.1908230152949066E-3</v>
      </c>
      <c r="AA156" s="153"/>
      <c r="AC156" s="16">
        <f t="shared" si="128"/>
        <v>3.5801312089971817E-2</v>
      </c>
      <c r="AD156" s="16">
        <f t="shared" ref="AD156" si="202">AD151</f>
        <v>4.8300634030857825E-2</v>
      </c>
      <c r="AE156" s="16">
        <f t="shared" si="198"/>
        <v>1.1140311305741959E-2</v>
      </c>
      <c r="AF156" s="16" t="str">
        <f t="shared" si="195"/>
        <v>Low Volatility</v>
      </c>
      <c r="AG156" s="14" t="str">
        <f t="shared" si="115"/>
        <v>Strong Uptrend</v>
      </c>
      <c r="AI156" s="78" t="s">
        <v>316</v>
      </c>
      <c r="AJ156" s="90">
        <v>412800</v>
      </c>
      <c r="AK156" s="89">
        <v>413100</v>
      </c>
      <c r="AL156" s="15">
        <f t="shared" si="113"/>
        <v>45906</v>
      </c>
      <c r="AM156" s="60">
        <f t="shared" si="105"/>
        <v>41.31</v>
      </c>
      <c r="AN156" s="61">
        <f t="shared" si="106"/>
        <v>5.0000000000004263E-2</v>
      </c>
      <c r="AO156" s="62">
        <f>((AM156-MAX(AM$16:AM156))/MAX(AM$16:AM156))</f>
        <v>0</v>
      </c>
      <c r="AP156" s="16">
        <f t="shared" si="107"/>
        <v>1.2118274357732493E-3</v>
      </c>
      <c r="AQ156" s="153"/>
      <c r="AS156" s="16">
        <f t="shared" si="124"/>
        <v>8.298755186722075E-3</v>
      </c>
      <c r="AT156" s="77">
        <f t="shared" ref="AT156:AU156" si="203">AT155</f>
        <v>5.5038840700873549E-3</v>
      </c>
      <c r="AU156" s="16">
        <f t="shared" si="203"/>
        <v>1.9371766696781175E-3</v>
      </c>
      <c r="AV156" s="16" t="str">
        <f t="shared" si="196"/>
        <v>Low Volatility</v>
      </c>
      <c r="AW156" s="14" t="str">
        <f t="shared" si="117"/>
        <v>Weak/Unconfirmed</v>
      </c>
    </row>
    <row r="157" spans="1:49" ht="26.25" hidden="1" thickBot="1">
      <c r="A157" s="104" t="s">
        <v>317</v>
      </c>
      <c r="B157" s="106" t="s">
        <v>509</v>
      </c>
      <c r="C157" s="106" t="s">
        <v>511</v>
      </c>
      <c r="D157" s="15">
        <f t="shared" si="164"/>
        <v>45907</v>
      </c>
      <c r="E157" s="60">
        <f t="shared" si="193"/>
        <v>4840</v>
      </c>
      <c r="F157" s="61">
        <f t="shared" si="131"/>
        <v>0</v>
      </c>
      <c r="G157" s="62">
        <f>((E157-MAX(E$16:E157))/MAX(E$16:E157))</f>
        <v>-2.0618556701030928E-3</v>
      </c>
      <c r="H157" s="16">
        <f t="shared" si="171"/>
        <v>0</v>
      </c>
      <c r="I157" s="153"/>
      <c r="K157" s="16">
        <f t="shared" si="186"/>
        <v>5.2173913043478258E-2</v>
      </c>
      <c r="L157" s="77">
        <f t="shared" si="191"/>
        <v>5.1419169066227892E-2</v>
      </c>
      <c r="M157" s="16">
        <f t="shared" si="119"/>
        <v>8.9834373148041657E-3</v>
      </c>
      <c r="N157" s="16" t="str">
        <f t="shared" si="119"/>
        <v>Low Volatility</v>
      </c>
      <c r="O157" s="14" t="str">
        <f t="shared" si="126"/>
        <v>Strong Uptrend</v>
      </c>
      <c r="S157" s="78" t="s">
        <v>317</v>
      </c>
      <c r="T157" s="86" t="s">
        <v>43</v>
      </c>
      <c r="U157" s="87" t="s">
        <v>378</v>
      </c>
      <c r="V157" s="15">
        <f t="shared" si="167"/>
        <v>45907</v>
      </c>
      <c r="W157" s="60">
        <f t="shared" si="90"/>
        <v>55.26</v>
      </c>
      <c r="X157" s="61">
        <f t="shared" si="91"/>
        <v>0</v>
      </c>
      <c r="Y157" s="62">
        <f>((W157-MAX(W$16:W157))/MAX(W$16:W157))</f>
        <v>-3.2467532467532418E-3</v>
      </c>
      <c r="Z157" s="16">
        <f t="shared" si="92"/>
        <v>0</v>
      </c>
      <c r="AA157" s="153"/>
      <c r="AC157" s="16">
        <f t="shared" si="128"/>
        <v>3.5801312089971817E-2</v>
      </c>
      <c r="AD157" s="16">
        <f t="shared" ref="AD157" si="204">AD151</f>
        <v>4.8300634030857825E-2</v>
      </c>
      <c r="AE157" s="16">
        <f t="shared" si="198"/>
        <v>1.1140311305741959E-2</v>
      </c>
      <c r="AF157" s="16" t="str">
        <f t="shared" si="195"/>
        <v>Low Volatility</v>
      </c>
      <c r="AG157" s="14" t="str">
        <f t="shared" si="115"/>
        <v>Strong Uptrend</v>
      </c>
      <c r="AJ157" s="90">
        <v>412800</v>
      </c>
      <c r="AK157" s="89">
        <v>413100</v>
      </c>
      <c r="AL157" s="15">
        <f t="shared" si="113"/>
        <v>45907</v>
      </c>
      <c r="AM157" s="60">
        <f t="shared" si="105"/>
        <v>41.31</v>
      </c>
      <c r="AN157" s="61">
        <f t="shared" si="106"/>
        <v>0</v>
      </c>
      <c r="AO157" s="62">
        <f>((AM157-MAX(AM$16:AM157))/MAX(AM$16:AM157))</f>
        <v>0</v>
      </c>
      <c r="AP157" s="16">
        <f t="shared" si="107"/>
        <v>0</v>
      </c>
      <c r="AQ157" s="153"/>
      <c r="AS157" s="16">
        <f t="shared" si="124"/>
        <v>8.298755186722075E-3</v>
      </c>
      <c r="AT157" s="77">
        <f t="shared" ref="AT157:AU157" si="205">AT156</f>
        <v>5.5038840700873549E-3</v>
      </c>
      <c r="AU157" s="16">
        <f t="shared" si="205"/>
        <v>1.9371766696781175E-3</v>
      </c>
      <c r="AV157" s="16" t="str">
        <f t="shared" si="196"/>
        <v>Low Volatility</v>
      </c>
      <c r="AW157" s="14" t="str">
        <f t="shared" si="117"/>
        <v>Weak/Unconfirmed</v>
      </c>
    </row>
    <row r="158" spans="1:49" ht="26.25" hidden="1" thickBot="1">
      <c r="A158" s="104" t="s">
        <v>318</v>
      </c>
      <c r="B158" s="105" t="s">
        <v>509</v>
      </c>
      <c r="C158" s="105" t="s">
        <v>512</v>
      </c>
      <c r="D158" s="15">
        <f t="shared" si="164"/>
        <v>45908</v>
      </c>
      <c r="E158" s="60">
        <f t="shared" si="193"/>
        <v>4940</v>
      </c>
      <c r="F158" s="61">
        <f t="shared" si="131"/>
        <v>100</v>
      </c>
      <c r="G158" s="62">
        <f>((E158-MAX(E$16:E158))/MAX(E$16:E158))</f>
        <v>0</v>
      </c>
      <c r="H158" s="16">
        <f t="shared" si="171"/>
        <v>2.0661157024793389E-2</v>
      </c>
      <c r="I158" s="153">
        <f>AVERAGEIFS(E158:E165, E158:E165, "&gt;=0")</f>
        <v>4972.125</v>
      </c>
      <c r="K158" s="16">
        <f t="shared" si="186"/>
        <v>6.8108108108108106E-2</v>
      </c>
      <c r="L158" s="77">
        <f t="shared" ref="L158" si="206">(I158-I151)/I151</f>
        <v>3.7480438184663539E-2</v>
      </c>
      <c r="M158" s="16" cm="1">
        <f t="array" ref="M158">_xlfn.STDEV.S(_xlfn._xlws.FILTER(F158:F164, ISNUMBER(F158:F164))) / I158</f>
        <v>7.565220065326758E-3</v>
      </c>
      <c r="N158" s="16" t="str">
        <f>IF(M158 &lt; 0.02, "Low Volatility",
 IF(M158 &gt; 0.1, "High Volatility", "Medium Volatility"))</f>
        <v>Low Volatility</v>
      </c>
      <c r="O158" s="14" t="str">
        <f t="shared" si="126"/>
        <v>Strong Uptrend</v>
      </c>
      <c r="S158" s="78" t="s">
        <v>318</v>
      </c>
      <c r="T158" s="86" t="s">
        <v>43</v>
      </c>
      <c r="U158" s="87" t="s">
        <v>379</v>
      </c>
      <c r="V158" s="15">
        <f t="shared" si="167"/>
        <v>45908</v>
      </c>
      <c r="W158" s="60">
        <f t="shared" si="90"/>
        <v>55.78</v>
      </c>
      <c r="X158" s="61">
        <f t="shared" si="91"/>
        <v>0.52000000000000313</v>
      </c>
      <c r="Y158" s="62">
        <f>((W158-MAX(W$16:W158))/MAX(W$16:W158))</f>
        <v>0</v>
      </c>
      <c r="Z158" s="16">
        <f t="shared" si="92"/>
        <v>9.4100615273254272E-3</v>
      </c>
      <c r="AA158" s="153">
        <f t="shared" ref="AA158" si="207">AVERAGEIFS(W158:W164, W158:W164, "&gt;=0")</f>
        <v>56.18</v>
      </c>
      <c r="AC158" s="16">
        <f t="shared" si="128"/>
        <v>2.0863836017569557E-2</v>
      </c>
      <c r="AD158" s="66">
        <f t="shared" ref="AD158" si="208">(AA158-AA151)/AA151</f>
        <v>2.0818191257398089E-2</v>
      </c>
      <c r="AE158" s="16" cm="1">
        <f t="array" ref="AE158">_xlfn.STDEV.S(_xlfn._xlws.FILTER(X158:X164, ISNUMBER(X158:X164))) / AA158</f>
        <v>8.4535161869139803E-3</v>
      </c>
      <c r="AF158" s="17" t="str">
        <f>AF152</f>
        <v>Low Volatility</v>
      </c>
      <c r="AG158" s="14" t="str">
        <f t="shared" si="115"/>
        <v>Strong Uptrend</v>
      </c>
      <c r="AI158" s="78" t="s">
        <v>318</v>
      </c>
      <c r="AJ158" s="88">
        <v>413200</v>
      </c>
      <c r="AK158" s="89">
        <v>414200</v>
      </c>
      <c r="AL158" s="15">
        <f t="shared" si="113"/>
        <v>45908</v>
      </c>
      <c r="AM158" s="60">
        <f t="shared" si="105"/>
        <v>41.42</v>
      </c>
      <c r="AN158" s="61">
        <f t="shared" si="106"/>
        <v>0.10999999999999943</v>
      </c>
      <c r="AO158" s="62">
        <f>((AM158-MAX(AM$16:AM158))/MAX(AM$16:AM158))</f>
        <v>0</v>
      </c>
      <c r="AP158" s="16">
        <f t="shared" si="107"/>
        <v>2.6627935124667011E-3</v>
      </c>
      <c r="AQ158" s="153">
        <f t="shared" ref="AQ158" si="209">AVERAGEIFS(AM158:AM164, AM158:AM164, "&gt;=0")</f>
        <v>41.46</v>
      </c>
      <c r="AS158" s="16">
        <f t="shared" si="124"/>
        <v>9.2592592592593212E-3</v>
      </c>
      <c r="AT158" s="77">
        <f>(AQ158-AQ151)/AQ151</f>
        <v>5.4391131127664756E-3</v>
      </c>
      <c r="AU158" s="16" cm="1">
        <f t="array" ref="AU158">_xlfn.STDEV.S(_xlfn._xlws.FILTER(AN158:AN164, ISNUMBER(AN158:AN164))) / AQ158</f>
        <v>1.0014178772764354E-3</v>
      </c>
      <c r="AV158" s="16" t="str">
        <f>IF(AU158 &lt; 0.02, "Low Volatility",
 IF(AU158 &gt; 0.1, "High Volatility", "Medium Volatility"))</f>
        <v>Low Volatility</v>
      </c>
      <c r="AW158" s="14" t="str">
        <f t="shared" si="117"/>
        <v>Weak/Unconfirmed</v>
      </c>
    </row>
    <row r="159" spans="1:49" ht="26.25" hidden="1" thickBot="1">
      <c r="A159" s="104" t="s">
        <v>319</v>
      </c>
      <c r="B159" s="105" t="s">
        <v>512</v>
      </c>
      <c r="C159" s="105" t="s">
        <v>513</v>
      </c>
      <c r="D159" s="15">
        <f t="shared" si="164"/>
        <v>45909</v>
      </c>
      <c r="E159" s="60">
        <f t="shared" si="193"/>
        <v>4970</v>
      </c>
      <c r="F159" s="61">
        <f t="shared" si="131"/>
        <v>30</v>
      </c>
      <c r="G159" s="62">
        <f>((E159-MAX(E$16:E159))/MAX(E$16:E159))</f>
        <v>0</v>
      </c>
      <c r="H159" s="16">
        <f t="shared" si="171"/>
        <v>6.0728744939271256E-3</v>
      </c>
      <c r="I159" s="153"/>
      <c r="K159" s="16">
        <f t="shared" si="186"/>
        <v>5.8572949946751864E-2</v>
      </c>
      <c r="L159" s="77">
        <f t="shared" ref="L159:L164" si="210">L158</f>
        <v>3.7480438184663539E-2</v>
      </c>
      <c r="M159" s="16">
        <f t="shared" si="119"/>
        <v>7.565220065326758E-3</v>
      </c>
      <c r="N159" s="16" t="str">
        <f t="shared" si="119"/>
        <v>Low Volatility</v>
      </c>
      <c r="O159" s="14" t="str">
        <f t="shared" si="126"/>
        <v>Strong Uptrend</v>
      </c>
      <c r="S159" s="78" t="s">
        <v>319</v>
      </c>
      <c r="T159" s="86" t="s">
        <v>43</v>
      </c>
      <c r="U159" s="87" t="s">
        <v>380</v>
      </c>
      <c r="V159" s="15">
        <f t="shared" si="167"/>
        <v>45909</v>
      </c>
      <c r="W159" s="60">
        <f t="shared" si="90"/>
        <v>55.09</v>
      </c>
      <c r="X159" s="61">
        <f t="shared" si="91"/>
        <v>-0.68999999999999773</v>
      </c>
      <c r="Y159" s="62">
        <f>((W159-MAX(W$16:W159))/MAX(W$16:W159))</f>
        <v>-1.2370025098601608E-2</v>
      </c>
      <c r="Z159" s="16">
        <f t="shared" si="92"/>
        <v>-1.2370025098601608E-2</v>
      </c>
      <c r="AA159" s="153"/>
      <c r="AC159" s="16">
        <f t="shared" si="128"/>
        <v>5.4486015256086334E-4</v>
      </c>
      <c r="AD159" s="16">
        <f t="shared" ref="AD159" si="211">AD158</f>
        <v>2.0818191257398089E-2</v>
      </c>
      <c r="AE159" s="16" cm="1">
        <f t="array" ref="AE159">_xlfn.STDEV.S(_xlfn._xlws.FILTER(X158:X164, ISNUMBER(X158:X164))) / AA158</f>
        <v>8.4535161869139803E-3</v>
      </c>
      <c r="AF159" s="16" t="str">
        <f>IF(AE159 &lt; 0.02, "Low Volatility",
 IF(AE159 &gt; 0.1, "High Volatility", "Medium Volatility"))</f>
        <v>Low Volatility</v>
      </c>
      <c r="AG159" s="14" t="str">
        <f t="shared" si="115"/>
        <v>Weak/Unconfirmed</v>
      </c>
      <c r="AI159" s="78" t="s">
        <v>319</v>
      </c>
      <c r="AJ159" s="88">
        <v>413700</v>
      </c>
      <c r="AK159" s="89">
        <v>414500</v>
      </c>
      <c r="AL159" s="15">
        <f t="shared" si="113"/>
        <v>45909</v>
      </c>
      <c r="AM159" s="60">
        <f t="shared" si="105"/>
        <v>41.45</v>
      </c>
      <c r="AN159" s="61">
        <f t="shared" si="106"/>
        <v>3.0000000000001137E-2</v>
      </c>
      <c r="AO159" s="62">
        <f>((AM159-MAX(AM$16:AM159))/MAX(AM$16:AM159))</f>
        <v>0</v>
      </c>
      <c r="AP159" s="16">
        <f t="shared" si="107"/>
        <v>7.2428778367940934E-4</v>
      </c>
      <c r="AQ159" s="153"/>
      <c r="AS159" s="16">
        <f t="shared" si="124"/>
        <v>4.848484848484917E-3</v>
      </c>
      <c r="AT159" s="77">
        <f>AT158</f>
        <v>5.4391131127664756E-3</v>
      </c>
      <c r="AU159" s="16">
        <f>AU158</f>
        <v>1.0014178772764354E-3</v>
      </c>
      <c r="AV159" s="16" t="str">
        <f>AV158</f>
        <v>Low Volatility</v>
      </c>
      <c r="AW159" s="14" t="str">
        <f t="shared" si="117"/>
        <v>Weak/Unconfirmed</v>
      </c>
    </row>
    <row r="160" spans="1:49" ht="26.25" hidden="1" thickBot="1">
      <c r="A160" s="104" t="s">
        <v>320</v>
      </c>
      <c r="B160" s="105" t="s">
        <v>513</v>
      </c>
      <c r="C160" s="105" t="s">
        <v>513</v>
      </c>
      <c r="D160" s="15">
        <f t="shared" si="164"/>
        <v>45910</v>
      </c>
      <c r="E160" s="60">
        <f t="shared" si="193"/>
        <v>4970</v>
      </c>
      <c r="F160" s="61">
        <f t="shared" si="131"/>
        <v>0</v>
      </c>
      <c r="G160" s="62">
        <f>((E160-MAX(E$16:E160))/MAX(E$16:E160))</f>
        <v>0</v>
      </c>
      <c r="H160" s="16">
        <f t="shared" si="171"/>
        <v>0</v>
      </c>
      <c r="I160" s="153"/>
      <c r="K160" s="16">
        <f t="shared" si="186"/>
        <v>3.9748953974895397E-2</v>
      </c>
      <c r="L160" s="77">
        <f t="shared" si="210"/>
        <v>3.7480438184663539E-2</v>
      </c>
      <c r="M160" s="16">
        <f t="shared" si="119"/>
        <v>7.565220065326758E-3</v>
      </c>
      <c r="N160" s="16" t="str">
        <f t="shared" si="119"/>
        <v>Low Volatility</v>
      </c>
      <c r="O160" s="14" t="str">
        <f t="shared" si="126"/>
        <v>Strong Uptrend</v>
      </c>
      <c r="S160" s="78" t="s">
        <v>320</v>
      </c>
      <c r="T160" s="86" t="s">
        <v>43</v>
      </c>
      <c r="U160" s="87" t="s">
        <v>381</v>
      </c>
      <c r="V160" s="15">
        <f t="shared" si="167"/>
        <v>45910</v>
      </c>
      <c r="W160" s="60">
        <f t="shared" si="90"/>
        <v>55.42</v>
      </c>
      <c r="X160" s="61">
        <f t="shared" si="91"/>
        <v>0.32999999999999829</v>
      </c>
      <c r="Y160" s="62">
        <f>((W160-MAX(W$16:W160))/MAX(W$16:W160))</f>
        <v>-6.4539261384008503E-3</v>
      </c>
      <c r="Z160" s="16">
        <f t="shared" si="92"/>
        <v>5.990197858050432E-3</v>
      </c>
      <c r="AA160" s="153"/>
      <c r="AC160" s="16">
        <f t="shared" si="128"/>
        <v>-3.6075036075028898E-4</v>
      </c>
      <c r="AD160" s="16">
        <f t="shared" ref="AD160" si="212">AD158</f>
        <v>2.0818191257398089E-2</v>
      </c>
      <c r="AE160" s="16">
        <f>AE159</f>
        <v>8.4535161869139803E-3</v>
      </c>
      <c r="AF160" s="16" t="str">
        <f t="shared" ref="AF160:AF164" si="213">AF159</f>
        <v>Low Volatility</v>
      </c>
      <c r="AG160" s="14" t="str">
        <f t="shared" si="115"/>
        <v>Weak/Unconfirmed</v>
      </c>
      <c r="AI160" s="78" t="s">
        <v>320</v>
      </c>
      <c r="AJ160" s="88">
        <v>414300</v>
      </c>
      <c r="AK160" s="89">
        <v>414300</v>
      </c>
      <c r="AL160" s="15">
        <f t="shared" si="113"/>
        <v>45910</v>
      </c>
      <c r="AM160" s="60">
        <f t="shared" si="105"/>
        <v>41.43</v>
      </c>
      <c r="AN160" s="61">
        <f t="shared" si="106"/>
        <v>-2.0000000000003126E-2</v>
      </c>
      <c r="AO160" s="62">
        <f>((AM160-MAX(AM$16:AM160))/MAX(AM$16:AM160))</f>
        <v>-4.8250904704470748E-4</v>
      </c>
      <c r="AP160" s="16">
        <f t="shared" si="107"/>
        <v>-4.8250904704470748E-4</v>
      </c>
      <c r="AQ160" s="153"/>
      <c r="AS160" s="16">
        <f t="shared" si="124"/>
        <v>4.1202132816287379E-3</v>
      </c>
      <c r="AT160" s="77">
        <f t="shared" ref="AT160:AV164" si="214">AT159</f>
        <v>5.4391131127664756E-3</v>
      </c>
      <c r="AU160" s="16">
        <f t="shared" si="214"/>
        <v>1.0014178772764354E-3</v>
      </c>
      <c r="AV160" s="16" t="str">
        <f t="shared" si="214"/>
        <v>Low Volatility</v>
      </c>
      <c r="AW160" s="14" t="str">
        <f t="shared" si="117"/>
        <v>Weak/Unconfirmed</v>
      </c>
    </row>
    <row r="161" spans="1:49" ht="26.25" hidden="1" thickBot="1">
      <c r="A161" s="104" t="s">
        <v>321</v>
      </c>
      <c r="B161" s="105" t="s">
        <v>513</v>
      </c>
      <c r="C161" s="105" t="s">
        <v>513</v>
      </c>
      <c r="D161" s="15">
        <f t="shared" si="164"/>
        <v>45911</v>
      </c>
      <c r="E161" s="60">
        <f t="shared" si="193"/>
        <v>4970</v>
      </c>
      <c r="F161" s="61">
        <f t="shared" si="131"/>
        <v>0</v>
      </c>
      <c r="G161" s="62">
        <f>((E161-MAX(E$16:E161))/MAX(E$16:E161))</f>
        <v>0</v>
      </c>
      <c r="H161" s="16">
        <f t="shared" si="171"/>
        <v>0</v>
      </c>
      <c r="I161" s="153"/>
      <c r="K161" s="16">
        <f t="shared" si="186"/>
        <v>4.1928721174004195E-2</v>
      </c>
      <c r="L161" s="77">
        <f t="shared" si="210"/>
        <v>3.7480438184663539E-2</v>
      </c>
      <c r="M161" s="16">
        <f t="shared" si="119"/>
        <v>7.565220065326758E-3</v>
      </c>
      <c r="N161" s="16" t="str">
        <f t="shared" si="119"/>
        <v>Low Volatility</v>
      </c>
      <c r="O161" s="14" t="str">
        <f t="shared" si="126"/>
        <v>Strong Uptrend</v>
      </c>
      <c r="S161" s="78" t="s">
        <v>321</v>
      </c>
      <c r="T161" s="86" t="s">
        <v>43</v>
      </c>
      <c r="U161" s="87" t="s">
        <v>382</v>
      </c>
      <c r="V161" s="15">
        <f t="shared" si="167"/>
        <v>45911</v>
      </c>
      <c r="W161" s="60">
        <f t="shared" si="90"/>
        <v>56.13</v>
      </c>
      <c r="X161" s="61">
        <f t="shared" si="91"/>
        <v>0.71000000000000085</v>
      </c>
      <c r="Y161" s="62">
        <f>((W161-MAX(W$16:W161))/MAX(W$16:W161))</f>
        <v>0</v>
      </c>
      <c r="Z161" s="16">
        <f t="shared" si="92"/>
        <v>1.2811259473114414E-2</v>
      </c>
      <c r="AA161" s="153"/>
      <c r="AC161" s="16">
        <f t="shared" si="128"/>
        <v>2.689352360043919E-2</v>
      </c>
      <c r="AD161" s="16">
        <f t="shared" ref="AD161" si="215">AD158</f>
        <v>2.0818191257398089E-2</v>
      </c>
      <c r="AE161" s="16">
        <f t="shared" ref="AE161:AE164" si="216">AE160</f>
        <v>8.4535161869139803E-3</v>
      </c>
      <c r="AF161" s="16" t="str">
        <f t="shared" si="213"/>
        <v>Low Volatility</v>
      </c>
      <c r="AG161" s="14" t="str">
        <f t="shared" si="115"/>
        <v>Strong Uptrend</v>
      </c>
      <c r="AI161" s="78" t="s">
        <v>321</v>
      </c>
      <c r="AJ161" s="88">
        <v>414100</v>
      </c>
      <c r="AK161" s="89">
        <v>414400</v>
      </c>
      <c r="AL161" s="15">
        <f t="shared" si="113"/>
        <v>45911</v>
      </c>
      <c r="AM161" s="60">
        <f t="shared" si="105"/>
        <v>41.44</v>
      </c>
      <c r="AN161" s="61">
        <f t="shared" si="106"/>
        <v>9.9999999999980105E-3</v>
      </c>
      <c r="AO161" s="62">
        <f>((AM161-MAX(AM$16:AM161))/MAX(AM$16:AM161))</f>
        <v>-2.4125452352243945E-4</v>
      </c>
      <c r="AP161" s="16">
        <f t="shared" si="107"/>
        <v>2.4137098720728966E-4</v>
      </c>
      <c r="AQ161" s="153"/>
      <c r="AS161" s="16">
        <f t="shared" si="124"/>
        <v>5.3372149442018164E-3</v>
      </c>
      <c r="AT161" s="77">
        <f t="shared" ref="AT161:AU161" si="217">AT160</f>
        <v>5.4391131127664756E-3</v>
      </c>
      <c r="AU161" s="16">
        <f t="shared" si="217"/>
        <v>1.0014178772764354E-3</v>
      </c>
      <c r="AV161" s="16" t="str">
        <f t="shared" si="214"/>
        <v>Low Volatility</v>
      </c>
      <c r="AW161" s="14" t="str">
        <f t="shared" si="117"/>
        <v>Weak/Unconfirmed</v>
      </c>
    </row>
    <row r="162" spans="1:49" ht="26.25" hidden="1" thickBot="1">
      <c r="A162" s="104" t="s">
        <v>322</v>
      </c>
      <c r="B162" s="105" t="s">
        <v>513</v>
      </c>
      <c r="C162" s="105" t="s">
        <v>514</v>
      </c>
      <c r="D162" s="15">
        <f t="shared" si="164"/>
        <v>45912</v>
      </c>
      <c r="E162" s="60">
        <f t="shared" si="193"/>
        <v>4982</v>
      </c>
      <c r="F162" s="61">
        <f t="shared" si="131"/>
        <v>12</v>
      </c>
      <c r="G162" s="62">
        <f>((E162-MAX(E$16:E162))/MAX(E$16:E162))</f>
        <v>0</v>
      </c>
      <c r="H162" s="16">
        <f t="shared" si="171"/>
        <v>2.414486921529175E-3</v>
      </c>
      <c r="I162" s="153"/>
      <c r="K162" s="16">
        <f t="shared" si="186"/>
        <v>2.7216494845360824E-2</v>
      </c>
      <c r="L162" s="77">
        <f t="shared" si="210"/>
        <v>3.7480438184663539E-2</v>
      </c>
      <c r="M162" s="16">
        <f t="shared" si="119"/>
        <v>7.565220065326758E-3</v>
      </c>
      <c r="N162" s="16" t="str">
        <f t="shared" si="119"/>
        <v>Low Volatility</v>
      </c>
      <c r="O162" s="14" t="str">
        <f t="shared" si="126"/>
        <v>Strong Uptrend</v>
      </c>
      <c r="S162" s="78" t="s">
        <v>322</v>
      </c>
      <c r="T162" s="86" t="s">
        <v>43</v>
      </c>
      <c r="U162" s="87" t="s">
        <v>383</v>
      </c>
      <c r="V162" s="15">
        <f t="shared" si="167"/>
        <v>45912</v>
      </c>
      <c r="W162" s="60">
        <f t="shared" si="90"/>
        <v>56.7</v>
      </c>
      <c r="X162" s="61">
        <f t="shared" si="91"/>
        <v>0.57000000000000028</v>
      </c>
      <c r="Y162" s="62">
        <f>((W162-MAX(W$16:W162))/MAX(W$16:W162))</f>
        <v>0</v>
      </c>
      <c r="Z162" s="16">
        <f t="shared" si="92"/>
        <v>1.0154997327632287E-2</v>
      </c>
      <c r="AA162" s="153"/>
      <c r="AC162" s="16">
        <f t="shared" si="128"/>
        <v>3.241077931536783E-2</v>
      </c>
      <c r="AD162" s="16">
        <f t="shared" ref="AD162" si="218">AD158</f>
        <v>2.0818191257398089E-2</v>
      </c>
      <c r="AE162" s="16">
        <f t="shared" si="216"/>
        <v>8.4535161869139803E-3</v>
      </c>
      <c r="AF162" s="16" t="str">
        <f t="shared" si="213"/>
        <v>Low Volatility</v>
      </c>
      <c r="AG162" s="14" t="str">
        <f t="shared" si="115"/>
        <v>Strong Uptrend</v>
      </c>
      <c r="AI162" s="78" t="s">
        <v>322</v>
      </c>
      <c r="AJ162" s="88">
        <v>413900</v>
      </c>
      <c r="AK162" s="89">
        <v>414800</v>
      </c>
      <c r="AL162" s="15">
        <f t="shared" si="113"/>
        <v>45912</v>
      </c>
      <c r="AM162" s="60">
        <f t="shared" si="105"/>
        <v>41.48</v>
      </c>
      <c r="AN162" s="61">
        <f t="shared" si="106"/>
        <v>3.9999999999999147E-2</v>
      </c>
      <c r="AO162" s="62">
        <f>((AM162-MAX(AM$16:AM162))/MAX(AM$16:AM162))</f>
        <v>0</v>
      </c>
      <c r="AP162" s="16">
        <f t="shared" si="107"/>
        <v>9.6525096525094478E-4</v>
      </c>
      <c r="AQ162" s="153"/>
      <c r="AS162" s="16">
        <f t="shared" si="124"/>
        <v>5.3320407174018147E-3</v>
      </c>
      <c r="AT162" s="77">
        <f t="shared" ref="AT162:AU162" si="219">AT161</f>
        <v>5.4391131127664756E-3</v>
      </c>
      <c r="AU162" s="16">
        <f t="shared" si="219"/>
        <v>1.0014178772764354E-3</v>
      </c>
      <c r="AV162" s="16" t="str">
        <f t="shared" si="214"/>
        <v>Low Volatility</v>
      </c>
      <c r="AW162" s="14" t="str">
        <f t="shared" si="117"/>
        <v>Weak/Unconfirmed</v>
      </c>
    </row>
    <row r="163" spans="1:49" ht="26.25" hidden="1" thickBot="1">
      <c r="A163" s="104" t="s">
        <v>323</v>
      </c>
      <c r="B163" s="106" t="s">
        <v>513</v>
      </c>
      <c r="C163" s="106" t="s">
        <v>515</v>
      </c>
      <c r="D163" s="15">
        <f t="shared" si="164"/>
        <v>45913</v>
      </c>
      <c r="E163" s="60">
        <f t="shared" si="193"/>
        <v>4975</v>
      </c>
      <c r="F163" s="61">
        <f t="shared" si="131"/>
        <v>-7</v>
      </c>
      <c r="G163" s="62">
        <f>((E163-MAX(E$16:E163))/MAX(E$16:E163))</f>
        <v>-1.4050582095543958E-3</v>
      </c>
      <c r="H163" s="16">
        <f t="shared" si="171"/>
        <v>-1.4050582095543958E-3</v>
      </c>
      <c r="I163" s="153"/>
      <c r="K163" s="16">
        <f t="shared" si="186"/>
        <v>2.7892561983471075E-2</v>
      </c>
      <c r="L163" s="77">
        <f t="shared" si="210"/>
        <v>3.7480438184663539E-2</v>
      </c>
      <c r="M163" s="16">
        <f t="shared" si="119"/>
        <v>7.565220065326758E-3</v>
      </c>
      <c r="N163" s="16" t="str">
        <f t="shared" si="119"/>
        <v>Low Volatility</v>
      </c>
      <c r="O163" s="14" t="str">
        <f t="shared" si="126"/>
        <v>Strong Uptrend</v>
      </c>
      <c r="S163" s="78" t="s">
        <v>323</v>
      </c>
      <c r="T163" s="86" t="s">
        <v>43</v>
      </c>
      <c r="U163" s="87" t="s">
        <v>384</v>
      </c>
      <c r="V163" s="15">
        <f t="shared" si="167"/>
        <v>45913</v>
      </c>
      <c r="W163" s="60">
        <f t="shared" si="90"/>
        <v>57.07</v>
      </c>
      <c r="X163" s="61">
        <f t="shared" si="91"/>
        <v>0.36999999999999744</v>
      </c>
      <c r="Y163" s="62">
        <f>((W163-MAX(W$16:W163))/MAX(W$16:W163))</f>
        <v>0</v>
      </c>
      <c r="Z163" s="16">
        <f t="shared" si="92"/>
        <v>6.5255731922398133E-3</v>
      </c>
      <c r="AA163" s="153"/>
      <c r="AC163" s="16">
        <f t="shared" si="128"/>
        <v>3.2754252623959507E-2</v>
      </c>
      <c r="AD163" s="16">
        <f t="shared" ref="AD163" si="220">AD158</f>
        <v>2.0818191257398089E-2</v>
      </c>
      <c r="AE163" s="16">
        <f t="shared" si="216"/>
        <v>8.4535161869139803E-3</v>
      </c>
      <c r="AF163" s="16" t="str">
        <f t="shared" si="213"/>
        <v>Low Volatility</v>
      </c>
      <c r="AG163" s="14" t="str">
        <f t="shared" si="115"/>
        <v>Strong Uptrend</v>
      </c>
      <c r="AI163" s="78" t="s">
        <v>323</v>
      </c>
      <c r="AJ163" s="90">
        <v>414900</v>
      </c>
      <c r="AK163" s="89">
        <v>415000</v>
      </c>
      <c r="AL163" s="15">
        <f t="shared" si="113"/>
        <v>45913</v>
      </c>
      <c r="AM163" s="60">
        <f t="shared" si="105"/>
        <v>41.5</v>
      </c>
      <c r="AN163" s="61">
        <f t="shared" si="106"/>
        <v>2.0000000000003126E-2</v>
      </c>
      <c r="AO163" s="62">
        <f>((AM163-MAX(AM$16:AM163))/MAX(AM$16:AM163))</f>
        <v>0</v>
      </c>
      <c r="AP163" s="16">
        <f t="shared" si="107"/>
        <v>4.8216007714568777E-4</v>
      </c>
      <c r="AQ163" s="153"/>
      <c r="AS163" s="16">
        <f t="shared" si="124"/>
        <v>4.5993706124424528E-3</v>
      </c>
      <c r="AT163" s="77">
        <f t="shared" ref="AT163:AU163" si="221">AT162</f>
        <v>5.4391131127664756E-3</v>
      </c>
      <c r="AU163" s="16">
        <f t="shared" si="221"/>
        <v>1.0014178772764354E-3</v>
      </c>
      <c r="AV163" s="16" t="str">
        <f t="shared" si="214"/>
        <v>Low Volatility</v>
      </c>
      <c r="AW163" s="14" t="str">
        <f t="shared" si="117"/>
        <v>Weak/Unconfirmed</v>
      </c>
    </row>
    <row r="164" spans="1:49" ht="26.25" hidden="1" thickBot="1">
      <c r="A164" s="104" t="s">
        <v>324</v>
      </c>
      <c r="B164" s="106" t="s">
        <v>513</v>
      </c>
      <c r="C164" s="106" t="s">
        <v>515</v>
      </c>
      <c r="D164" s="15">
        <f t="shared" si="164"/>
        <v>45914</v>
      </c>
      <c r="E164" s="60">
        <f t="shared" si="193"/>
        <v>4975</v>
      </c>
      <c r="F164" s="61">
        <f t="shared" si="131"/>
        <v>0</v>
      </c>
      <c r="G164" s="62">
        <f>((E164-MAX(E$16:E164))/MAX(E$16:E164))</f>
        <v>-1.4050582095543958E-3</v>
      </c>
      <c r="H164" s="16">
        <f t="shared" si="171"/>
        <v>0</v>
      </c>
      <c r="I164" s="153"/>
      <c r="K164" s="16">
        <f t="shared" si="186"/>
        <v>2.7892561983471075E-2</v>
      </c>
      <c r="L164" s="77">
        <f t="shared" si="210"/>
        <v>3.7480438184663539E-2</v>
      </c>
      <c r="M164" s="16">
        <f t="shared" si="119"/>
        <v>7.565220065326758E-3</v>
      </c>
      <c r="N164" s="16" t="str">
        <f t="shared" si="119"/>
        <v>Low Volatility</v>
      </c>
      <c r="O164" s="14" t="str">
        <f t="shared" si="126"/>
        <v>Strong Uptrend</v>
      </c>
      <c r="S164" s="78" t="s">
        <v>324</v>
      </c>
      <c r="T164" s="86" t="s">
        <v>43</v>
      </c>
      <c r="U164" s="87" t="s">
        <v>384</v>
      </c>
      <c r="V164" s="15">
        <f t="shared" si="167"/>
        <v>45914</v>
      </c>
      <c r="W164" s="60">
        <f t="shared" si="90"/>
        <v>57.07</v>
      </c>
      <c r="X164" s="61">
        <f t="shared" si="91"/>
        <v>0</v>
      </c>
      <c r="Y164" s="62">
        <f>((W164-MAX(W$16:W164))/MAX(W$16:W164))</f>
        <v>0</v>
      </c>
      <c r="Z164" s="16">
        <f t="shared" si="92"/>
        <v>0</v>
      </c>
      <c r="AA164" s="153"/>
      <c r="AC164" s="16">
        <f t="shared" si="128"/>
        <v>3.2754252623959507E-2</v>
      </c>
      <c r="AD164" s="16">
        <f t="shared" ref="AD164" si="222">AD158</f>
        <v>2.0818191257398089E-2</v>
      </c>
      <c r="AE164" s="16">
        <f t="shared" si="216"/>
        <v>8.4535161869139803E-3</v>
      </c>
      <c r="AF164" s="16" t="str">
        <f t="shared" si="213"/>
        <v>Low Volatility</v>
      </c>
      <c r="AG164" s="14" t="str">
        <f t="shared" si="115"/>
        <v>Strong Uptrend</v>
      </c>
      <c r="AJ164" s="90">
        <v>414900</v>
      </c>
      <c r="AK164" s="89">
        <v>415000</v>
      </c>
      <c r="AL164" s="15">
        <f t="shared" si="113"/>
        <v>45914</v>
      </c>
      <c r="AM164" s="60">
        <f t="shared" si="105"/>
        <v>41.5</v>
      </c>
      <c r="AN164" s="61">
        <f t="shared" si="106"/>
        <v>0</v>
      </c>
      <c r="AO164" s="62">
        <f>((AM164-MAX(AM$16:AM164))/MAX(AM$16:AM164))</f>
        <v>0</v>
      </c>
      <c r="AP164" s="16">
        <f t="shared" si="107"/>
        <v>0</v>
      </c>
      <c r="AQ164" s="153"/>
      <c r="AS164" s="16">
        <f t="shared" si="124"/>
        <v>4.5993706124424528E-3</v>
      </c>
      <c r="AT164" s="77">
        <f t="shared" ref="AT164:AU164" si="223">AT163</f>
        <v>5.4391131127664756E-3</v>
      </c>
      <c r="AU164" s="16">
        <f t="shared" si="223"/>
        <v>1.0014178772764354E-3</v>
      </c>
      <c r="AV164" s="16" t="str">
        <f t="shared" si="214"/>
        <v>Low Volatility</v>
      </c>
      <c r="AW164" s="14" t="str">
        <f t="shared" si="117"/>
        <v>Weak/Unconfirmed</v>
      </c>
    </row>
    <row r="165" spans="1:49" ht="26.25" hidden="1" thickBot="1">
      <c r="A165" s="104" t="s">
        <v>325</v>
      </c>
      <c r="B165" s="105" t="s">
        <v>513</v>
      </c>
      <c r="C165" s="105" t="s">
        <v>516</v>
      </c>
      <c r="D165" s="15">
        <f t="shared" si="164"/>
        <v>45915</v>
      </c>
      <c r="E165" s="60">
        <f t="shared" si="193"/>
        <v>4995</v>
      </c>
      <c r="F165" s="61">
        <f t="shared" si="131"/>
        <v>20</v>
      </c>
      <c r="G165" s="62">
        <f>((E165-MAX(E$16:E165))/MAX(E$16:E165))</f>
        <v>0</v>
      </c>
      <c r="H165" s="16">
        <f t="shared" si="171"/>
        <v>4.0201005025125632E-3</v>
      </c>
      <c r="I165" s="153">
        <f>AVERAGEIFS(E165:E172, E165:E172, "&gt;=0")</f>
        <v>5055</v>
      </c>
      <c r="K165" s="16">
        <f t="shared" si="186"/>
        <v>1.1133603238866396E-2</v>
      </c>
      <c r="L165" s="77">
        <f t="shared" ref="L165" si="224">(I165-I158)/I158</f>
        <v>1.6667923674485257E-2</v>
      </c>
      <c r="M165" s="16" cm="1">
        <f t="array" ref="M165">_xlfn.STDEV.S(_xlfn._xlws.FILTER(F165:F171, ISNUMBER(F165:F171))) / I165</f>
        <v>6.4065932415236964E-3</v>
      </c>
      <c r="N165" s="16" t="str">
        <f>IF(M165 &lt; 0.02, "Low Volatility",
 IF(M165 &gt; 0.1, "High Volatility", "Medium Volatility"))</f>
        <v>Low Volatility</v>
      </c>
      <c r="O165" s="14" t="str">
        <f t="shared" si="126"/>
        <v>Strong Uptrend</v>
      </c>
      <c r="S165" s="78" t="s">
        <v>325</v>
      </c>
      <c r="T165" s="86" t="s">
        <v>43</v>
      </c>
      <c r="U165" s="87" t="s">
        <v>385</v>
      </c>
      <c r="V165" s="15">
        <f t="shared" si="167"/>
        <v>45915</v>
      </c>
      <c r="W165" s="60">
        <f t="shared" si="90"/>
        <v>57.73</v>
      </c>
      <c r="X165" s="61">
        <f t="shared" si="91"/>
        <v>0.65999999999999659</v>
      </c>
      <c r="Y165" s="62">
        <f>((W165-MAX(W$16:W165))/MAX(W$16:W165))</f>
        <v>0</v>
      </c>
      <c r="Z165" s="16">
        <f t="shared" si="92"/>
        <v>1.1564745049938612E-2</v>
      </c>
      <c r="AA165" s="153">
        <f t="shared" ref="AA165" si="225">AVERAGEIFS(W165:W171, W165:W171, "&gt;=0")</f>
        <v>57.471428571428582</v>
      </c>
      <c r="AC165" s="16">
        <f t="shared" si="128"/>
        <v>3.4958766583004584E-2</v>
      </c>
      <c r="AD165" s="66">
        <f t="shared" ref="AD165" si="226">(AA165-AA158)/AA158</f>
        <v>2.2987336622082279E-2</v>
      </c>
      <c r="AE165" s="16" cm="1">
        <f t="array" ref="AE165">_xlfn.STDEV.S(_xlfn._xlws.FILTER(X165:X171, ISNUMBER(X165:X171))) / AA165</f>
        <v>1.5660231444522259E-2</v>
      </c>
      <c r="AF165" s="17" t="str">
        <f>AF159</f>
        <v>Low Volatility</v>
      </c>
      <c r="AG165" s="14" t="str">
        <f t="shared" si="115"/>
        <v>Strong Uptrend</v>
      </c>
      <c r="AI165" s="78" t="s">
        <v>325</v>
      </c>
      <c r="AJ165" s="88">
        <v>414700</v>
      </c>
      <c r="AK165" s="89">
        <v>413300</v>
      </c>
      <c r="AL165" s="15">
        <f t="shared" si="113"/>
        <v>45915</v>
      </c>
      <c r="AM165" s="60">
        <f t="shared" si="105"/>
        <v>41.33</v>
      </c>
      <c r="AN165" s="61">
        <f t="shared" si="106"/>
        <v>-0.17000000000000171</v>
      </c>
      <c r="AO165" s="62">
        <f>((AM165-MAX(AM$16:AM165))/MAX(AM$16:AM165))</f>
        <v>-4.0963855421687154E-3</v>
      </c>
      <c r="AP165" s="16">
        <f t="shared" si="107"/>
        <v>-4.0963855421687154E-3</v>
      </c>
      <c r="AQ165" s="153">
        <f t="shared" ref="AQ165" si="227">AVERAGEIFS(AM165:AM171, AM165:AM171, "&gt;=0")</f>
        <v>41.42285714285714</v>
      </c>
      <c r="AS165" s="16">
        <f t="shared" si="124"/>
        <v>-2.1728633510382281E-3</v>
      </c>
      <c r="AT165" s="77">
        <f>(AQ165-AQ158)/AQ158</f>
        <v>-8.9587209702993045E-4</v>
      </c>
      <c r="AU165" s="16" cm="1">
        <f t="array" ref="AU165">_xlfn.STDEV.S(_xlfn._xlws.FILTER(AN165:AN171, ISNUMBER(AN165:AN171))) / AQ165</f>
        <v>1.949892124285304E-3</v>
      </c>
      <c r="AV165" s="16" t="str">
        <f>IF(AU165 &lt; 0.02, "Low Volatility",
 IF(AU165 &gt; 0.1, "High Volatility", "Medium Volatility"))</f>
        <v>Low Volatility</v>
      </c>
      <c r="AW165" s="14" t="str">
        <f t="shared" si="117"/>
        <v>Stable</v>
      </c>
    </row>
    <row r="166" spans="1:49" ht="26.25" hidden="1" thickBot="1">
      <c r="A166" s="104" t="s">
        <v>326</v>
      </c>
      <c r="B166" s="105" t="s">
        <v>516</v>
      </c>
      <c r="C166" s="105" t="s">
        <v>517</v>
      </c>
      <c r="D166" s="15">
        <f t="shared" si="164"/>
        <v>45916</v>
      </c>
      <c r="E166" s="60">
        <f t="shared" si="193"/>
        <v>5070</v>
      </c>
      <c r="F166" s="61">
        <f t="shared" si="131"/>
        <v>75</v>
      </c>
      <c r="G166" s="62">
        <f>((E166-MAX(E$16:E166))/MAX(E$16:E166))</f>
        <v>0</v>
      </c>
      <c r="H166" s="16">
        <f t="shared" si="171"/>
        <v>1.5015015015015015E-2</v>
      </c>
      <c r="I166" s="153"/>
      <c r="K166" s="16">
        <f t="shared" si="186"/>
        <v>2.0120724346076459E-2</v>
      </c>
      <c r="L166" s="77">
        <f t="shared" ref="L166:L171" si="228">L165</f>
        <v>1.6667923674485257E-2</v>
      </c>
      <c r="M166" s="16">
        <f t="shared" si="119"/>
        <v>6.4065932415236964E-3</v>
      </c>
      <c r="N166" s="16" t="str">
        <f t="shared" si="119"/>
        <v>Low Volatility</v>
      </c>
      <c r="O166" s="14" t="str">
        <f t="shared" si="126"/>
        <v>Strong Uptrend</v>
      </c>
      <c r="S166" s="78" t="s">
        <v>326</v>
      </c>
      <c r="T166" s="86" t="s">
        <v>43</v>
      </c>
      <c r="U166" s="87" t="s">
        <v>386</v>
      </c>
      <c r="V166" s="15">
        <f t="shared" si="167"/>
        <v>45916</v>
      </c>
      <c r="W166" s="60">
        <f t="shared" si="90"/>
        <v>57.5</v>
      </c>
      <c r="X166" s="61">
        <f t="shared" si="91"/>
        <v>-0.22999999999999687</v>
      </c>
      <c r="Y166" s="62">
        <f>((W166-MAX(W$16:W166))/MAX(W$16:W166))</f>
        <v>-3.9840637450198665E-3</v>
      </c>
      <c r="Z166" s="16">
        <f t="shared" si="92"/>
        <v>-3.9840637450198665E-3</v>
      </c>
      <c r="AA166" s="153"/>
      <c r="AC166" s="16">
        <f t="shared" si="128"/>
        <v>4.3746596478489677E-2</v>
      </c>
      <c r="AD166" s="16">
        <f t="shared" ref="AD166" si="229">AD165</f>
        <v>2.2987336622082279E-2</v>
      </c>
      <c r="AE166" s="16" cm="1">
        <f t="array" ref="AE166">_xlfn.STDEV.S(_xlfn._xlws.FILTER(X165:X171, ISNUMBER(X165:X171))) / AA165</f>
        <v>1.5660231444522259E-2</v>
      </c>
      <c r="AF166" s="16" t="str">
        <f>IF(AE166 &lt; 0.02, "Low Volatility",
 IF(AE166 &gt; 0.1, "High Volatility", "Medium Volatility"))</f>
        <v>Low Volatility</v>
      </c>
      <c r="AG166" s="14" t="str">
        <f t="shared" si="115"/>
        <v>Strong Uptrend</v>
      </c>
      <c r="AI166" s="78" t="s">
        <v>326</v>
      </c>
      <c r="AJ166" s="88">
        <v>413500</v>
      </c>
      <c r="AK166" s="89">
        <v>414300</v>
      </c>
      <c r="AL166" s="15">
        <f t="shared" si="113"/>
        <v>45916</v>
      </c>
      <c r="AM166" s="60">
        <f t="shared" si="105"/>
        <v>41.43</v>
      </c>
      <c r="AN166" s="61">
        <f t="shared" si="106"/>
        <v>0.10000000000000142</v>
      </c>
      <c r="AO166" s="62">
        <f>((AM166-MAX(AM$16:AM166))/MAX(AM$16:AM166))</f>
        <v>-1.6867469879518141E-3</v>
      </c>
      <c r="AP166" s="16">
        <f t="shared" si="107"/>
        <v>2.419549963706785E-3</v>
      </c>
      <c r="AQ166" s="153"/>
      <c r="AS166" s="16">
        <f t="shared" si="124"/>
        <v>-4.8250904704470748E-4</v>
      </c>
      <c r="AT166" s="77">
        <f>AT165</f>
        <v>-8.9587209702993045E-4</v>
      </c>
      <c r="AU166" s="16">
        <f>AU165</f>
        <v>1.949892124285304E-3</v>
      </c>
      <c r="AV166" s="16" t="str">
        <f>AV165</f>
        <v>Low Volatility</v>
      </c>
      <c r="AW166" s="14" t="str">
        <f t="shared" si="117"/>
        <v>Stable</v>
      </c>
    </row>
    <row r="167" spans="1:49" ht="26.25" hidden="1" thickBot="1">
      <c r="A167" s="104" t="s">
        <v>327</v>
      </c>
      <c r="B167" s="105" t="s">
        <v>517</v>
      </c>
      <c r="C167" s="105" t="s">
        <v>518</v>
      </c>
      <c r="D167" s="15">
        <f t="shared" si="164"/>
        <v>45917</v>
      </c>
      <c r="E167" s="60">
        <f t="shared" si="193"/>
        <v>5050</v>
      </c>
      <c r="F167" s="61">
        <f t="shared" si="131"/>
        <v>-20</v>
      </c>
      <c r="G167" s="62">
        <f>((E167-MAX(E$16:E167))/MAX(E$16:E167))</f>
        <v>-3.9447731755424065E-3</v>
      </c>
      <c r="H167" s="16">
        <f t="shared" si="171"/>
        <v>-3.9447731755424065E-3</v>
      </c>
      <c r="I167" s="153"/>
      <c r="K167" s="16">
        <f t="shared" si="186"/>
        <v>1.6096579476861168E-2</v>
      </c>
      <c r="L167" s="77">
        <f t="shared" si="228"/>
        <v>1.6667923674485257E-2</v>
      </c>
      <c r="M167" s="16">
        <f t="shared" si="119"/>
        <v>6.4065932415236964E-3</v>
      </c>
      <c r="N167" s="16" t="str">
        <f t="shared" si="119"/>
        <v>Low Volatility</v>
      </c>
      <c r="O167" s="14" t="str">
        <f t="shared" si="126"/>
        <v>Strong Uptrend</v>
      </c>
      <c r="S167" s="78" t="s">
        <v>327</v>
      </c>
      <c r="T167" s="86" t="s">
        <v>43</v>
      </c>
      <c r="U167" s="87" t="s">
        <v>387</v>
      </c>
      <c r="V167" s="15">
        <f t="shared" si="167"/>
        <v>45917</v>
      </c>
      <c r="W167" s="60">
        <f t="shared" si="90"/>
        <v>56.14</v>
      </c>
      <c r="X167" s="61">
        <f t="shared" si="91"/>
        <v>-1.3599999999999994</v>
      </c>
      <c r="Y167" s="62">
        <f>((W167-MAX(W$16:W167))/MAX(W$16:W167))</f>
        <v>-2.7542005889485473E-2</v>
      </c>
      <c r="Z167" s="16">
        <f t="shared" si="92"/>
        <v>-2.3652173913043469E-2</v>
      </c>
      <c r="AA167" s="153"/>
      <c r="AC167" s="16">
        <f t="shared" si="128"/>
        <v>1.2991699747383595E-2</v>
      </c>
      <c r="AD167" s="16">
        <f t="shared" ref="AD167" si="230">AD165</f>
        <v>2.2987336622082279E-2</v>
      </c>
      <c r="AE167" s="16">
        <f>AE166</f>
        <v>1.5660231444522259E-2</v>
      </c>
      <c r="AF167" s="16" t="str">
        <f t="shared" ref="AF167:AF171" si="231">AF166</f>
        <v>Low Volatility</v>
      </c>
      <c r="AG167" s="14" t="str">
        <f t="shared" si="115"/>
        <v>Strong Uptrend</v>
      </c>
      <c r="AI167" s="78" t="s">
        <v>327</v>
      </c>
      <c r="AJ167" s="88">
        <v>414100</v>
      </c>
      <c r="AK167" s="89">
        <v>414300</v>
      </c>
      <c r="AL167" s="15">
        <f t="shared" si="113"/>
        <v>45917</v>
      </c>
      <c r="AM167" s="60">
        <f t="shared" si="105"/>
        <v>41.43</v>
      </c>
      <c r="AN167" s="61">
        <f t="shared" si="106"/>
        <v>0</v>
      </c>
      <c r="AO167" s="62">
        <f>((AM167-MAX(AM$16:AM167))/MAX(AM$16:AM167))</f>
        <v>-1.6867469879518141E-3</v>
      </c>
      <c r="AP167" s="16">
        <f t="shared" si="107"/>
        <v>0</v>
      </c>
      <c r="AQ167" s="153"/>
      <c r="AS167" s="16">
        <f t="shared" si="124"/>
        <v>0</v>
      </c>
      <c r="AT167" s="77">
        <f t="shared" ref="AT167:AV171" si="232">AT166</f>
        <v>-8.9587209702993045E-4</v>
      </c>
      <c r="AU167" s="16">
        <f t="shared" si="232"/>
        <v>1.949892124285304E-3</v>
      </c>
      <c r="AV167" s="16" t="str">
        <f t="shared" si="232"/>
        <v>Low Volatility</v>
      </c>
      <c r="AW167" s="14" t="str">
        <f t="shared" si="117"/>
        <v>Stable</v>
      </c>
    </row>
    <row r="168" spans="1:49" ht="26.25" hidden="1" thickBot="1">
      <c r="A168" s="104" t="s">
        <v>328</v>
      </c>
      <c r="B168" s="105" t="s">
        <v>518</v>
      </c>
      <c r="C168" s="105" t="s">
        <v>519</v>
      </c>
      <c r="D168" s="15">
        <f t="shared" si="164"/>
        <v>45918</v>
      </c>
      <c r="E168" s="60">
        <f t="shared" si="193"/>
        <v>5030</v>
      </c>
      <c r="F168" s="61">
        <f t="shared" si="131"/>
        <v>-20</v>
      </c>
      <c r="G168" s="62">
        <f>((E168-MAX(E$16:E168))/MAX(E$16:E168))</f>
        <v>-7.889546351084813E-3</v>
      </c>
      <c r="H168" s="16">
        <f t="shared" si="171"/>
        <v>-3.9603960396039604E-3</v>
      </c>
      <c r="I168" s="153"/>
      <c r="K168" s="16">
        <f t="shared" si="186"/>
        <v>1.2072434607645875E-2</v>
      </c>
      <c r="L168" s="77">
        <f t="shared" si="228"/>
        <v>1.6667923674485257E-2</v>
      </c>
      <c r="M168" s="16">
        <f t="shared" si="119"/>
        <v>6.4065932415236964E-3</v>
      </c>
      <c r="N168" s="16" t="str">
        <f t="shared" si="119"/>
        <v>Low Volatility</v>
      </c>
      <c r="O168" s="14" t="str">
        <f t="shared" si="126"/>
        <v>Strong Uptrend</v>
      </c>
      <c r="S168" s="78" t="s">
        <v>328</v>
      </c>
      <c r="T168" s="86" t="s">
        <v>43</v>
      </c>
      <c r="U168" s="87" t="s">
        <v>388</v>
      </c>
      <c r="V168" s="15">
        <f t="shared" si="167"/>
        <v>45918</v>
      </c>
      <c r="W168" s="60">
        <f t="shared" si="90"/>
        <v>56.44</v>
      </c>
      <c r="X168" s="61">
        <f t="shared" si="91"/>
        <v>0.29999999999999716</v>
      </c>
      <c r="Y168" s="62">
        <f>((W168-MAX(W$16:W168))/MAX(W$16:W168))</f>
        <v>-2.234540100467693E-2</v>
      </c>
      <c r="Z168" s="16">
        <f t="shared" si="92"/>
        <v>5.3437833986461911E-3</v>
      </c>
      <c r="AA168" s="153"/>
      <c r="AC168" s="16">
        <f t="shared" si="128"/>
        <v>5.5228932834490499E-3</v>
      </c>
      <c r="AD168" s="16">
        <f t="shared" ref="AD168" si="233">AD165</f>
        <v>2.2987336622082279E-2</v>
      </c>
      <c r="AE168" s="16">
        <f t="shared" ref="AE168:AE171" si="234">AE167</f>
        <v>1.5660231444522259E-2</v>
      </c>
      <c r="AF168" s="16" t="str">
        <f t="shared" si="231"/>
        <v>Low Volatility</v>
      </c>
      <c r="AG168" s="14" t="str">
        <f t="shared" si="115"/>
        <v>Weak/Unconfirmed</v>
      </c>
      <c r="AI168" s="78" t="s">
        <v>328</v>
      </c>
      <c r="AJ168" s="88">
        <v>414300</v>
      </c>
      <c r="AK168" s="89">
        <v>414400</v>
      </c>
      <c r="AL168" s="15">
        <f t="shared" si="113"/>
        <v>45918</v>
      </c>
      <c r="AM168" s="60">
        <f t="shared" si="105"/>
        <v>41.44</v>
      </c>
      <c r="AN168" s="61">
        <f t="shared" si="106"/>
        <v>9.9999999999980105E-3</v>
      </c>
      <c r="AO168" s="62">
        <f>((AM168-MAX(AM$16:AM168))/MAX(AM$16:AM168))</f>
        <v>-1.4457831325301752E-3</v>
      </c>
      <c r="AP168" s="16">
        <f t="shared" si="107"/>
        <v>2.4137098720728966E-4</v>
      </c>
      <c r="AQ168" s="153"/>
      <c r="AS168" s="16">
        <f t="shared" si="124"/>
        <v>0</v>
      </c>
      <c r="AT168" s="77">
        <f t="shared" ref="AT168:AU168" si="235">AT167</f>
        <v>-8.9587209702993045E-4</v>
      </c>
      <c r="AU168" s="16">
        <f t="shared" si="235"/>
        <v>1.949892124285304E-3</v>
      </c>
      <c r="AV168" s="16" t="str">
        <f t="shared" si="232"/>
        <v>Low Volatility</v>
      </c>
      <c r="AW168" s="14" t="str">
        <f t="shared" si="117"/>
        <v>Stable</v>
      </c>
    </row>
    <row r="169" spans="1:49" ht="26.25" hidden="1" thickBot="1">
      <c r="A169" s="104" t="s">
        <v>329</v>
      </c>
      <c r="B169" s="105" t="s">
        <v>519</v>
      </c>
      <c r="C169" s="105" t="s">
        <v>518</v>
      </c>
      <c r="D169" s="15">
        <f t="shared" si="164"/>
        <v>45919</v>
      </c>
      <c r="E169" s="60">
        <f t="shared" si="193"/>
        <v>5050</v>
      </c>
      <c r="F169" s="61">
        <f t="shared" si="131"/>
        <v>20</v>
      </c>
      <c r="G169" s="62">
        <f>((E169-MAX(E$16:E169))/MAX(E$16:E169))</f>
        <v>-3.9447731755424065E-3</v>
      </c>
      <c r="H169" s="16">
        <f t="shared" si="171"/>
        <v>3.9761431411530811E-3</v>
      </c>
      <c r="I169" s="153"/>
      <c r="K169" s="16">
        <f t="shared" si="186"/>
        <v>1.3649136892814131E-2</v>
      </c>
      <c r="L169" s="77">
        <f t="shared" si="228"/>
        <v>1.6667923674485257E-2</v>
      </c>
      <c r="M169" s="16">
        <f t="shared" si="119"/>
        <v>6.4065932415236964E-3</v>
      </c>
      <c r="N169" s="16" t="str">
        <f t="shared" si="119"/>
        <v>Low Volatility</v>
      </c>
      <c r="O169" s="14" t="str">
        <f t="shared" si="126"/>
        <v>Strong Uptrend</v>
      </c>
      <c r="S169" s="78" t="s">
        <v>329</v>
      </c>
      <c r="T169" s="86" t="s">
        <v>43</v>
      </c>
      <c r="U169" s="87" t="s">
        <v>389</v>
      </c>
      <c r="V169" s="15">
        <f t="shared" si="167"/>
        <v>45919</v>
      </c>
      <c r="W169" s="60">
        <f t="shared" si="90"/>
        <v>58.05</v>
      </c>
      <c r="X169" s="61">
        <f t="shared" si="91"/>
        <v>1.6099999999999994</v>
      </c>
      <c r="Y169" s="62">
        <f>((W169-MAX(W$16:W169))/MAX(W$16:W169))</f>
        <v>0</v>
      </c>
      <c r="Z169" s="16">
        <f t="shared" si="92"/>
        <v>2.8525868178596731E-2</v>
      </c>
      <c r="AA169" s="153"/>
      <c r="AC169" s="16">
        <f t="shared" si="128"/>
        <v>2.3809523809523708E-2</v>
      </c>
      <c r="AD169" s="16">
        <f t="shared" ref="AD169" si="236">AD165</f>
        <v>2.2987336622082279E-2</v>
      </c>
      <c r="AE169" s="16">
        <f t="shared" si="234"/>
        <v>1.5660231444522259E-2</v>
      </c>
      <c r="AF169" s="16" t="str">
        <f t="shared" si="231"/>
        <v>Low Volatility</v>
      </c>
      <c r="AG169" s="14" t="str">
        <f t="shared" si="115"/>
        <v>Strong Uptrend</v>
      </c>
      <c r="AI169" s="78" t="s">
        <v>329</v>
      </c>
      <c r="AJ169" s="88">
        <v>414100</v>
      </c>
      <c r="AK169" s="89">
        <v>414300</v>
      </c>
      <c r="AL169" s="15">
        <f t="shared" si="113"/>
        <v>45919</v>
      </c>
      <c r="AM169" s="60">
        <f t="shared" si="105"/>
        <v>41.43</v>
      </c>
      <c r="AN169" s="61">
        <f t="shared" si="106"/>
        <v>-9.9999999999980105E-3</v>
      </c>
      <c r="AO169" s="62">
        <f>((AM169-MAX(AM$16:AM169))/MAX(AM$16:AM169))</f>
        <v>-1.6867469879518141E-3</v>
      </c>
      <c r="AP169" s="16">
        <f t="shared" si="107"/>
        <v>-2.4131274131269332E-4</v>
      </c>
      <c r="AQ169" s="153"/>
      <c r="AS169" s="16">
        <f t="shared" si="124"/>
        <v>-1.2054001928639623E-3</v>
      </c>
      <c r="AT169" s="77">
        <f t="shared" ref="AT169:AU169" si="237">AT168</f>
        <v>-8.9587209702993045E-4</v>
      </c>
      <c r="AU169" s="16">
        <f t="shared" si="237"/>
        <v>1.949892124285304E-3</v>
      </c>
      <c r="AV169" s="16" t="str">
        <f t="shared" si="232"/>
        <v>Low Volatility</v>
      </c>
      <c r="AW169" s="14" t="str">
        <f t="shared" si="117"/>
        <v>Stable</v>
      </c>
    </row>
    <row r="170" spans="1:49" ht="26.25" hidden="1" thickBot="1">
      <c r="A170" s="104" t="s">
        <v>330</v>
      </c>
      <c r="B170" s="106" t="s">
        <v>519</v>
      </c>
      <c r="C170" s="106" t="s">
        <v>520</v>
      </c>
      <c r="D170" s="15">
        <f t="shared" si="164"/>
        <v>45920</v>
      </c>
      <c r="E170" s="60">
        <f t="shared" si="193"/>
        <v>5060</v>
      </c>
      <c r="F170" s="61">
        <f t="shared" si="131"/>
        <v>10</v>
      </c>
      <c r="G170" s="62">
        <f>((E170-MAX(E$16:E170))/MAX(E$16:E170))</f>
        <v>-1.9723865877712033E-3</v>
      </c>
      <c r="H170" s="16">
        <f t="shared" si="171"/>
        <v>1.9801980198019802E-3</v>
      </c>
      <c r="I170" s="153"/>
      <c r="K170" s="16">
        <f t="shared" si="186"/>
        <v>1.7085427135678392E-2</v>
      </c>
      <c r="L170" s="77">
        <f t="shared" si="228"/>
        <v>1.6667923674485257E-2</v>
      </c>
      <c r="M170" s="16">
        <f t="shared" si="119"/>
        <v>6.4065932415236964E-3</v>
      </c>
      <c r="N170" s="16" t="str">
        <f t="shared" si="119"/>
        <v>Low Volatility</v>
      </c>
      <c r="O170" s="14" t="str">
        <f t="shared" si="126"/>
        <v>Strong Uptrend</v>
      </c>
      <c r="S170" s="78" t="s">
        <v>330</v>
      </c>
      <c r="T170" s="86" t="s">
        <v>43</v>
      </c>
      <c r="U170" s="87" t="s">
        <v>390</v>
      </c>
      <c r="V170" s="15">
        <f t="shared" si="167"/>
        <v>45920</v>
      </c>
      <c r="W170" s="60">
        <f t="shared" si="90"/>
        <v>58.22</v>
      </c>
      <c r="X170" s="61">
        <f t="shared" si="91"/>
        <v>0.17000000000000171</v>
      </c>
      <c r="Y170" s="62">
        <f>((W170-MAX(W$16:W170))/MAX(W$16:W170))</f>
        <v>0</v>
      </c>
      <c r="Z170" s="16">
        <f t="shared" si="92"/>
        <v>2.9285099052541209E-3</v>
      </c>
      <c r="AA170" s="153"/>
      <c r="AC170" s="16">
        <f t="shared" si="128"/>
        <v>2.0150692132468874E-2</v>
      </c>
      <c r="AD170" s="16">
        <f t="shared" ref="AD170" si="238">AD165</f>
        <v>2.2987336622082279E-2</v>
      </c>
      <c r="AE170" s="16">
        <f t="shared" si="234"/>
        <v>1.5660231444522259E-2</v>
      </c>
      <c r="AF170" s="16" t="str">
        <f t="shared" si="231"/>
        <v>Low Volatility</v>
      </c>
      <c r="AG170" s="14" t="str">
        <f t="shared" si="115"/>
        <v>Strong Uptrend</v>
      </c>
      <c r="AI170" s="78" t="s">
        <v>330</v>
      </c>
      <c r="AJ170" s="90">
        <v>414500</v>
      </c>
      <c r="AK170" s="89">
        <v>414500</v>
      </c>
      <c r="AL170" s="15">
        <f t="shared" si="113"/>
        <v>45920</v>
      </c>
      <c r="AM170" s="60">
        <f t="shared" si="105"/>
        <v>41.45</v>
      </c>
      <c r="AN170" s="61">
        <f t="shared" si="106"/>
        <v>2.0000000000003126E-2</v>
      </c>
      <c r="AO170" s="62">
        <f>((AM170-MAX(AM$16:AM170))/MAX(AM$16:AM170))</f>
        <v>-1.2048192771083653E-3</v>
      </c>
      <c r="AP170" s="16">
        <f t="shared" si="107"/>
        <v>4.8274197441475084E-4</v>
      </c>
      <c r="AQ170" s="153"/>
      <c r="AS170" s="16">
        <f t="shared" si="124"/>
        <v>-1.2048192771083653E-3</v>
      </c>
      <c r="AT170" s="77">
        <f t="shared" ref="AT170:AU170" si="239">AT169</f>
        <v>-8.9587209702993045E-4</v>
      </c>
      <c r="AU170" s="16">
        <f t="shared" si="239"/>
        <v>1.949892124285304E-3</v>
      </c>
      <c r="AV170" s="16" t="str">
        <f t="shared" si="232"/>
        <v>Low Volatility</v>
      </c>
      <c r="AW170" s="14" t="str">
        <f t="shared" si="117"/>
        <v>Stable</v>
      </c>
    </row>
    <row r="171" spans="1:49" ht="26.25" hidden="1" thickBot="1">
      <c r="A171" s="104" t="s">
        <v>331</v>
      </c>
      <c r="B171" s="106" t="s">
        <v>519</v>
      </c>
      <c r="C171" s="106" t="s">
        <v>520</v>
      </c>
      <c r="D171" s="15">
        <f t="shared" si="164"/>
        <v>45921</v>
      </c>
      <c r="E171" s="60">
        <f t="shared" si="193"/>
        <v>5060</v>
      </c>
      <c r="F171" s="61">
        <f t="shared" si="131"/>
        <v>0</v>
      </c>
      <c r="G171" s="62">
        <f>((E171-MAX(E$16:E171))/MAX(E$16:E171))</f>
        <v>-1.9723865877712033E-3</v>
      </c>
      <c r="H171" s="16">
        <f t="shared" si="171"/>
        <v>0</v>
      </c>
      <c r="I171" s="153"/>
      <c r="K171" s="16">
        <f t="shared" si="186"/>
        <v>1.7085427135678392E-2</v>
      </c>
      <c r="L171" s="77">
        <f t="shared" si="228"/>
        <v>1.6667923674485257E-2</v>
      </c>
      <c r="M171" s="16">
        <f t="shared" si="119"/>
        <v>6.4065932415236964E-3</v>
      </c>
      <c r="N171" s="16" t="str">
        <f t="shared" si="119"/>
        <v>Low Volatility</v>
      </c>
      <c r="O171" s="14" t="str">
        <f t="shared" si="126"/>
        <v>Strong Uptrend</v>
      </c>
      <c r="S171" s="78" t="s">
        <v>331</v>
      </c>
      <c r="T171" s="86" t="s">
        <v>43</v>
      </c>
      <c r="U171" s="87" t="s">
        <v>390</v>
      </c>
      <c r="V171" s="15">
        <f t="shared" si="167"/>
        <v>45921</v>
      </c>
      <c r="W171" s="60">
        <f t="shared" si="90"/>
        <v>58.22</v>
      </c>
      <c r="X171" s="61">
        <f t="shared" si="91"/>
        <v>0</v>
      </c>
      <c r="Y171" s="62">
        <f>((W171-MAX(W$16:W171))/MAX(W$16:W171))</f>
        <v>0</v>
      </c>
      <c r="Z171" s="16">
        <f t="shared" si="92"/>
        <v>0</v>
      </c>
      <c r="AA171" s="153"/>
      <c r="AC171" s="16">
        <f t="shared" si="128"/>
        <v>2.0150692132468874E-2</v>
      </c>
      <c r="AD171" s="16">
        <f t="shared" ref="AD171" si="240">AD165</f>
        <v>2.2987336622082279E-2</v>
      </c>
      <c r="AE171" s="16">
        <f t="shared" si="234"/>
        <v>1.5660231444522259E-2</v>
      </c>
      <c r="AF171" s="16" t="str">
        <f t="shared" si="231"/>
        <v>Low Volatility</v>
      </c>
      <c r="AG171" s="14" t="str">
        <f t="shared" si="115"/>
        <v>Strong Uptrend</v>
      </c>
      <c r="AJ171" s="90">
        <v>414500</v>
      </c>
      <c r="AK171" s="89">
        <v>414500</v>
      </c>
      <c r="AL171" s="15">
        <f t="shared" si="113"/>
        <v>45921</v>
      </c>
      <c r="AM171" s="60">
        <f t="shared" si="105"/>
        <v>41.45</v>
      </c>
      <c r="AN171" s="61">
        <f t="shared" si="106"/>
        <v>0</v>
      </c>
      <c r="AO171" s="62">
        <f>((AM171-MAX(AM$16:AM171))/MAX(AM$16:AM171))</f>
        <v>-1.2048192771083653E-3</v>
      </c>
      <c r="AP171" s="16">
        <f t="shared" si="107"/>
        <v>0</v>
      </c>
      <c r="AQ171" s="153"/>
      <c r="AS171" s="16">
        <f t="shared" si="124"/>
        <v>-1.2048192771083653E-3</v>
      </c>
      <c r="AT171" s="77">
        <f t="shared" ref="AT171:AU171" si="241">AT170</f>
        <v>-8.9587209702993045E-4</v>
      </c>
      <c r="AU171" s="16">
        <f t="shared" si="241"/>
        <v>1.949892124285304E-3</v>
      </c>
      <c r="AV171" s="16" t="str">
        <f t="shared" si="232"/>
        <v>Low Volatility</v>
      </c>
      <c r="AW171" s="14" t="str">
        <f t="shared" si="117"/>
        <v>Stable</v>
      </c>
    </row>
    <row r="172" spans="1:49" ht="26.25" hidden="1" thickBot="1">
      <c r="A172" s="104" t="s">
        <v>332</v>
      </c>
      <c r="B172" s="105" t="s">
        <v>519</v>
      </c>
      <c r="C172" s="105" t="s">
        <v>521</v>
      </c>
      <c r="D172" s="15">
        <f t="shared" si="164"/>
        <v>45922</v>
      </c>
      <c r="E172" s="60">
        <f t="shared" si="193"/>
        <v>5125</v>
      </c>
      <c r="F172" s="61">
        <f t="shared" si="131"/>
        <v>65</v>
      </c>
      <c r="G172" s="62">
        <f>((E172-MAX(E$16:E172))/MAX(E$16:E172))</f>
        <v>0</v>
      </c>
      <c r="H172" s="16">
        <f t="shared" si="171"/>
        <v>1.2845849802371542E-2</v>
      </c>
      <c r="I172" s="153">
        <f>AVERAGEIFS(E172:E179, E172:E179, "&gt;=0")</f>
        <v>5223.75</v>
      </c>
      <c r="K172" s="16">
        <f t="shared" si="186"/>
        <v>2.6026026026026026E-2</v>
      </c>
      <c r="L172" s="77">
        <f t="shared" ref="L172" si="242">(I172-I165)/I165</f>
        <v>3.3382789317507419E-2</v>
      </c>
      <c r="M172" s="16" cm="1">
        <f t="array" ref="M172">_xlfn.STDEV.S(_xlfn._xlws.FILTER(F172:F178, ISNUMBER(F172:F178))) / I172</f>
        <v>9.8213761421286211E-3</v>
      </c>
      <c r="N172" s="16" t="str">
        <f>IF(M172 &lt; 0.02, "Low Volatility",
 IF(M172 &gt; 0.1, "High Volatility", "Medium Volatility"))</f>
        <v>Low Volatility</v>
      </c>
      <c r="O172" s="14" t="str">
        <f t="shared" si="126"/>
        <v>Strong Uptrend</v>
      </c>
      <c r="S172" s="78" t="s">
        <v>332</v>
      </c>
      <c r="T172" s="86" t="s">
        <v>43</v>
      </c>
      <c r="U172" s="87" t="s">
        <v>391</v>
      </c>
      <c r="V172" s="15">
        <f t="shared" si="167"/>
        <v>45922</v>
      </c>
      <c r="W172" s="60">
        <f t="shared" ref="W172:W235" si="243">VALUE(SUBSTITUTE(SUBSTITUTE(U172, ".", ""), ",", "."))</f>
        <v>59.47</v>
      </c>
      <c r="X172" s="61">
        <f t="shared" ref="X172:X235" si="244">W172-W171</f>
        <v>1.25</v>
      </c>
      <c r="Y172" s="62">
        <f>((W172-MAX(W$16:W172))/MAX(W$16:W172))</f>
        <v>0</v>
      </c>
      <c r="Z172" s="16">
        <f t="shared" ref="Z172:Z235" si="245">(W172-W171)/W171</f>
        <v>2.1470285125386467E-2</v>
      </c>
      <c r="AA172" s="153">
        <f t="shared" ref="AA172" si="246">AVERAGEIFS(W172:W178, W172:W178, "&gt;=0")</f>
        <v>61.02571428571428</v>
      </c>
      <c r="AC172" s="16">
        <f t="shared" si="128"/>
        <v>3.0140308331889867E-2</v>
      </c>
      <c r="AD172" s="66">
        <f t="shared" ref="AD172" si="247">(AA172-AA165)/AA165</f>
        <v>6.1844394730300463E-2</v>
      </c>
      <c r="AE172" s="16" cm="1">
        <f t="array" ref="AE172">_xlfn.STDEV.S(_xlfn._xlws.FILTER(X172:X178, ISNUMBER(X172:X178))) / AA172</f>
        <v>1.3456737361761974E-2</v>
      </c>
      <c r="AF172" s="17" t="str">
        <f>AF166</f>
        <v>Low Volatility</v>
      </c>
      <c r="AG172" s="14" t="str">
        <f t="shared" si="115"/>
        <v>Strong Uptrend</v>
      </c>
      <c r="AI172" s="78" t="s">
        <v>312</v>
      </c>
      <c r="AJ172" s="88">
        <v>414100</v>
      </c>
      <c r="AK172" s="89">
        <v>414100</v>
      </c>
      <c r="AL172" s="15">
        <f t="shared" si="113"/>
        <v>45922</v>
      </c>
      <c r="AM172" s="60">
        <f t="shared" si="105"/>
        <v>41.41</v>
      </c>
      <c r="AN172" s="61">
        <f t="shared" si="106"/>
        <v>-4.0000000000006253E-2</v>
      </c>
      <c r="AO172" s="62">
        <f>((AM172-MAX(AM$16:AM172))/MAX(AM$16:AM172))</f>
        <v>-2.1686746987952627E-3</v>
      </c>
      <c r="AP172" s="16">
        <f t="shared" si="107"/>
        <v>-9.6501809408941497E-4</v>
      </c>
      <c r="AQ172" s="153">
        <f t="shared" ref="AQ172" si="248">AVERAGEIFS(AM172:AM178, AM172:AM178, "&gt;=0")</f>
        <v>41.510000000000005</v>
      </c>
      <c r="AS172" s="16">
        <f t="shared" si="124"/>
        <v>1.9356399709653592E-3</v>
      </c>
      <c r="AT172" s="77">
        <f>(AQ172-AQ165)/AQ165</f>
        <v>2.1037384466824952E-3</v>
      </c>
      <c r="AU172" s="16" cm="1">
        <f t="array" ref="AU172">_xlfn.STDEV.S(_xlfn._xlws.FILTER(AN172:AN178, ISNUMBER(AN172:AN178))) / AQ172</f>
        <v>1.242920992603765E-3</v>
      </c>
      <c r="AV172" s="16" t="str">
        <f>IF(AU172 &lt; 0.02, "Low Volatility",
 IF(AU172 &gt; 0.1, "High Volatility", "Medium Volatility"))</f>
        <v>Low Volatility</v>
      </c>
      <c r="AW172" s="14" t="str">
        <f t="shared" si="117"/>
        <v>Stable</v>
      </c>
    </row>
    <row r="173" spans="1:49" ht="26.25" hidden="1" thickBot="1">
      <c r="A173" s="104" t="s">
        <v>333</v>
      </c>
      <c r="B173" s="105" t="s">
        <v>521</v>
      </c>
      <c r="C173" s="105" t="s">
        <v>522</v>
      </c>
      <c r="D173" s="15">
        <f t="shared" si="164"/>
        <v>45923</v>
      </c>
      <c r="E173" s="60">
        <f t="shared" si="193"/>
        <v>5240</v>
      </c>
      <c r="F173" s="61">
        <f t="shared" si="131"/>
        <v>115</v>
      </c>
      <c r="G173" s="62">
        <f>((E173-MAX(E$16:E173))/MAX(E$16:E173))</f>
        <v>0</v>
      </c>
      <c r="H173" s="16">
        <f t="shared" si="171"/>
        <v>2.2439024390243902E-2</v>
      </c>
      <c r="I173" s="153"/>
      <c r="K173" s="16">
        <f t="shared" si="186"/>
        <v>3.3530571992110451E-2</v>
      </c>
      <c r="L173" s="77">
        <f t="shared" ref="L173:L178" si="249">L172</f>
        <v>3.3382789317507419E-2</v>
      </c>
      <c r="M173" s="16">
        <f t="shared" si="119"/>
        <v>9.8213761421286211E-3</v>
      </c>
      <c r="N173" s="16" t="str">
        <f t="shared" si="119"/>
        <v>Low Volatility</v>
      </c>
      <c r="O173" s="14" t="str">
        <f t="shared" si="126"/>
        <v>Strong Uptrend</v>
      </c>
      <c r="S173" s="78" t="s">
        <v>333</v>
      </c>
      <c r="T173" s="86" t="s">
        <v>43</v>
      </c>
      <c r="U173" s="87" t="s">
        <v>392</v>
      </c>
      <c r="V173" s="15">
        <f t="shared" si="167"/>
        <v>45923</v>
      </c>
      <c r="W173" s="60">
        <f t="shared" si="243"/>
        <v>59.52</v>
      </c>
      <c r="X173" s="61">
        <f t="shared" si="244"/>
        <v>5.0000000000004263E-2</v>
      </c>
      <c r="Y173" s="62">
        <f>((W173-MAX(W$16:W173))/MAX(W$16:W173))</f>
        <v>0</v>
      </c>
      <c r="Z173" s="16">
        <f t="shared" si="245"/>
        <v>8.4076004708263431E-4</v>
      </c>
      <c r="AA173" s="153"/>
      <c r="AC173" s="16">
        <f t="shared" si="128"/>
        <v>3.5130434782608751E-2</v>
      </c>
      <c r="AD173" s="16">
        <f t="shared" ref="AD173" si="250">AD172</f>
        <v>6.1844394730300463E-2</v>
      </c>
      <c r="AE173" s="16" cm="1">
        <f t="array" ref="AE173">_xlfn.STDEV.S(_xlfn._xlws.FILTER(X172:X178, ISNUMBER(X172:X178))) / AA172</f>
        <v>1.3456737361761974E-2</v>
      </c>
      <c r="AF173" s="16" t="str">
        <f>IF(AE173 &lt; 0.02, "Low Volatility",
 IF(AE173 &gt; 0.1, "High Volatility", "Medium Volatility"))</f>
        <v>Low Volatility</v>
      </c>
      <c r="AG173" s="14" t="str">
        <f t="shared" si="115"/>
        <v>Strong Uptrend</v>
      </c>
      <c r="AI173" s="78" t="s">
        <v>333</v>
      </c>
      <c r="AJ173" s="88">
        <v>414000</v>
      </c>
      <c r="AK173" s="89">
        <v>415200</v>
      </c>
      <c r="AL173" s="15">
        <f t="shared" si="113"/>
        <v>45923</v>
      </c>
      <c r="AM173" s="60">
        <f t="shared" si="105"/>
        <v>41.52</v>
      </c>
      <c r="AN173" s="61">
        <f t="shared" si="106"/>
        <v>0.11000000000000654</v>
      </c>
      <c r="AO173" s="62">
        <f>((AM173-MAX(AM$16:AM173))/MAX(AM$16:AM173))</f>
        <v>0</v>
      </c>
      <c r="AP173" s="16">
        <f t="shared" si="107"/>
        <v>2.6563631972954973E-3</v>
      </c>
      <c r="AQ173" s="153"/>
      <c r="AS173" s="16">
        <f t="shared" si="124"/>
        <v>2.1723388848661216E-3</v>
      </c>
      <c r="AT173" s="77">
        <f>AT172</f>
        <v>2.1037384466824952E-3</v>
      </c>
      <c r="AU173" s="16">
        <f>AU172</f>
        <v>1.242920992603765E-3</v>
      </c>
      <c r="AV173" s="16" t="str">
        <f>AV172</f>
        <v>Low Volatility</v>
      </c>
      <c r="AW173" s="14" t="str">
        <f t="shared" si="117"/>
        <v>Stable</v>
      </c>
    </row>
    <row r="174" spans="1:49" ht="26.25" hidden="1" thickBot="1">
      <c r="A174" s="104" t="s">
        <v>334</v>
      </c>
      <c r="B174" s="105" t="s">
        <v>522</v>
      </c>
      <c r="C174" s="105" t="s">
        <v>523</v>
      </c>
      <c r="D174" s="15">
        <f t="shared" si="164"/>
        <v>45924</v>
      </c>
      <c r="E174" s="60">
        <f t="shared" si="193"/>
        <v>5210</v>
      </c>
      <c r="F174" s="61">
        <f t="shared" si="131"/>
        <v>-30</v>
      </c>
      <c r="G174" s="62">
        <f>((E174-MAX(E$16:E174))/MAX(E$16:E174))</f>
        <v>-5.7251908396946565E-3</v>
      </c>
      <c r="H174" s="16">
        <f t="shared" si="171"/>
        <v>-5.7251908396946565E-3</v>
      </c>
      <c r="I174" s="153"/>
      <c r="K174" s="16">
        <f t="shared" si="186"/>
        <v>3.1683168316831684E-2</v>
      </c>
      <c r="L174" s="77">
        <f t="shared" si="249"/>
        <v>3.3382789317507419E-2</v>
      </c>
      <c r="M174" s="16">
        <f t="shared" si="119"/>
        <v>9.8213761421286211E-3</v>
      </c>
      <c r="N174" s="16" t="str">
        <f t="shared" si="119"/>
        <v>Low Volatility</v>
      </c>
      <c r="O174" s="14" t="str">
        <f t="shared" si="126"/>
        <v>Strong Uptrend</v>
      </c>
      <c r="S174" s="78" t="s">
        <v>334</v>
      </c>
      <c r="T174" s="86" t="s">
        <v>43</v>
      </c>
      <c r="U174" s="87" t="s">
        <v>393</v>
      </c>
      <c r="V174" s="15">
        <f t="shared" si="167"/>
        <v>45924</v>
      </c>
      <c r="W174" s="60">
        <f t="shared" si="243"/>
        <v>59.29</v>
      </c>
      <c r="X174" s="61">
        <f t="shared" si="244"/>
        <v>-0.23000000000000398</v>
      </c>
      <c r="Y174" s="62">
        <f>((W174-MAX(W$16:W174))/MAX(W$16:W174))</f>
        <v>-3.8642473118280238E-3</v>
      </c>
      <c r="Z174" s="16">
        <f t="shared" si="245"/>
        <v>-3.8642473118280238E-3</v>
      </c>
      <c r="AA174" s="153"/>
      <c r="AC174" s="16">
        <f t="shared" si="128"/>
        <v>5.6109725685785511E-2</v>
      </c>
      <c r="AD174" s="16">
        <f t="shared" ref="AD174" si="251">AD172</f>
        <v>6.1844394730300463E-2</v>
      </c>
      <c r="AE174" s="16">
        <f>AE173</f>
        <v>1.3456737361761974E-2</v>
      </c>
      <c r="AF174" s="16" t="str">
        <f t="shared" ref="AF174:AF178" si="252">AF173</f>
        <v>Low Volatility</v>
      </c>
      <c r="AG174" s="14" t="str">
        <f t="shared" si="115"/>
        <v>Strong Uptrend</v>
      </c>
      <c r="AI174" s="78" t="s">
        <v>334</v>
      </c>
      <c r="AJ174" s="88">
        <v>415100</v>
      </c>
      <c r="AK174" s="89">
        <v>415200</v>
      </c>
      <c r="AL174" s="15">
        <f t="shared" si="113"/>
        <v>45924</v>
      </c>
      <c r="AM174" s="60">
        <f t="shared" si="105"/>
        <v>41.52</v>
      </c>
      <c r="AN174" s="61">
        <f t="shared" si="106"/>
        <v>0</v>
      </c>
      <c r="AO174" s="62">
        <f>((AM174-MAX(AM$16:AM174))/MAX(AM$16:AM174))</f>
        <v>0</v>
      </c>
      <c r="AP174" s="16">
        <f t="shared" si="107"/>
        <v>0</v>
      </c>
      <c r="AQ174" s="153"/>
      <c r="AS174" s="16">
        <f t="shared" si="124"/>
        <v>2.1723388848661216E-3</v>
      </c>
      <c r="AT174" s="77">
        <f t="shared" ref="AT174:AV178" si="253">AT173</f>
        <v>2.1037384466824952E-3</v>
      </c>
      <c r="AU174" s="16">
        <f t="shared" si="253"/>
        <v>1.242920992603765E-3</v>
      </c>
      <c r="AV174" s="16" t="str">
        <f t="shared" si="253"/>
        <v>Low Volatility</v>
      </c>
      <c r="AW174" s="14" t="str">
        <f t="shared" si="117"/>
        <v>Stable</v>
      </c>
    </row>
    <row r="175" spans="1:49" ht="26.25" hidden="1" thickBot="1">
      <c r="A175" s="104" t="s">
        <v>335</v>
      </c>
      <c r="B175" s="105" t="s">
        <v>523</v>
      </c>
      <c r="C175" s="105" t="s">
        <v>524</v>
      </c>
      <c r="D175" s="15">
        <f t="shared" si="164"/>
        <v>45925</v>
      </c>
      <c r="E175" s="60">
        <f t="shared" si="193"/>
        <v>5200</v>
      </c>
      <c r="F175" s="61">
        <f t="shared" si="131"/>
        <v>-10</v>
      </c>
      <c r="G175" s="62">
        <f>((E175-MAX(E$16:E175))/MAX(E$16:E175))</f>
        <v>-7.6335877862595417E-3</v>
      </c>
      <c r="H175" s="16">
        <f t="shared" si="171"/>
        <v>-1.9193857965451055E-3</v>
      </c>
      <c r="I175" s="153"/>
      <c r="K175" s="16">
        <f t="shared" si="186"/>
        <v>3.3797216699801194E-2</v>
      </c>
      <c r="L175" s="77">
        <f t="shared" si="249"/>
        <v>3.3382789317507419E-2</v>
      </c>
      <c r="M175" s="16">
        <f t="shared" si="119"/>
        <v>9.8213761421286211E-3</v>
      </c>
      <c r="N175" s="16" t="str">
        <f t="shared" si="119"/>
        <v>Low Volatility</v>
      </c>
      <c r="O175" s="14" t="str">
        <f t="shared" si="126"/>
        <v>Strong Uptrend</v>
      </c>
      <c r="S175" s="78" t="s">
        <v>335</v>
      </c>
      <c r="T175" s="86" t="s">
        <v>43</v>
      </c>
      <c r="U175" s="87" t="s">
        <v>394</v>
      </c>
      <c r="V175" s="15">
        <f t="shared" si="167"/>
        <v>45925</v>
      </c>
      <c r="W175" s="60">
        <f t="shared" si="243"/>
        <v>61.16</v>
      </c>
      <c r="X175" s="61">
        <f t="shared" si="244"/>
        <v>1.8699999999999974</v>
      </c>
      <c r="Y175" s="62">
        <f>((W175-MAX(W$16:W175))/MAX(W$16:W175))</f>
        <v>0</v>
      </c>
      <c r="Z175" s="16">
        <f t="shared" si="245"/>
        <v>3.1539888682745786E-2</v>
      </c>
      <c r="AA175" s="153"/>
      <c r="AC175" s="16">
        <f t="shared" si="128"/>
        <v>8.3628632175761858E-2</v>
      </c>
      <c r="AD175" s="16">
        <f t="shared" ref="AD175" si="254">AD172</f>
        <v>6.1844394730300463E-2</v>
      </c>
      <c r="AE175" s="16">
        <f t="shared" ref="AE175:AE178" si="255">AE174</f>
        <v>1.3456737361761974E-2</v>
      </c>
      <c r="AF175" s="16" t="str">
        <f t="shared" si="252"/>
        <v>Low Volatility</v>
      </c>
      <c r="AG175" s="14" t="str">
        <f t="shared" si="115"/>
        <v>Strong Uptrend</v>
      </c>
      <c r="AI175" s="78" t="s">
        <v>335</v>
      </c>
      <c r="AJ175" s="88">
        <v>415000</v>
      </c>
      <c r="AK175" s="89">
        <v>415000</v>
      </c>
      <c r="AL175" s="15">
        <f t="shared" si="113"/>
        <v>45925</v>
      </c>
      <c r="AM175" s="60">
        <f t="shared" si="105"/>
        <v>41.5</v>
      </c>
      <c r="AN175" s="61">
        <f t="shared" si="106"/>
        <v>-2.0000000000003126E-2</v>
      </c>
      <c r="AO175" s="62">
        <f>((AM175-MAX(AM$16:AM175))/MAX(AM$16:AM175))</f>
        <v>-4.8169556840084595E-4</v>
      </c>
      <c r="AP175" s="16">
        <f t="shared" si="107"/>
        <v>-4.8169556840084595E-4</v>
      </c>
      <c r="AQ175" s="153"/>
      <c r="AS175" s="16">
        <f t="shared" si="124"/>
        <v>1.4478764478765029E-3</v>
      </c>
      <c r="AT175" s="77">
        <f t="shared" ref="AT175:AU175" si="256">AT174</f>
        <v>2.1037384466824952E-3</v>
      </c>
      <c r="AU175" s="16">
        <f t="shared" si="256"/>
        <v>1.242920992603765E-3</v>
      </c>
      <c r="AV175" s="16" t="str">
        <f t="shared" si="253"/>
        <v>Low Volatility</v>
      </c>
      <c r="AW175" s="14" t="str">
        <f t="shared" si="117"/>
        <v>Stable</v>
      </c>
    </row>
    <row r="176" spans="1:49" ht="26.25" hidden="1" thickBot="1">
      <c r="A176" s="104" t="s">
        <v>336</v>
      </c>
      <c r="B176" s="105" t="s">
        <v>524</v>
      </c>
      <c r="C176" s="105" t="s">
        <v>525</v>
      </c>
      <c r="D176" s="15">
        <f t="shared" si="164"/>
        <v>45926</v>
      </c>
      <c r="E176" s="60">
        <f t="shared" si="193"/>
        <v>5250</v>
      </c>
      <c r="F176" s="61">
        <f t="shared" si="131"/>
        <v>50</v>
      </c>
      <c r="G176" s="62">
        <f>((E176-MAX(E$16:E176))/MAX(E$16:E176))</f>
        <v>0</v>
      </c>
      <c r="H176" s="16">
        <f t="shared" si="171"/>
        <v>9.6153846153846159E-3</v>
      </c>
      <c r="I176" s="153"/>
      <c r="K176" s="16">
        <f t="shared" si="186"/>
        <v>3.9603960396039604E-2</v>
      </c>
      <c r="L176" s="77">
        <f t="shared" si="249"/>
        <v>3.3382789317507419E-2</v>
      </c>
      <c r="M176" s="16">
        <f t="shared" si="119"/>
        <v>9.8213761421286211E-3</v>
      </c>
      <c r="N176" s="16" t="str">
        <f t="shared" si="119"/>
        <v>Low Volatility</v>
      </c>
      <c r="O176" s="14" t="str">
        <f t="shared" si="126"/>
        <v>Strong Uptrend</v>
      </c>
      <c r="S176" s="78" t="s">
        <v>336</v>
      </c>
      <c r="T176" s="86" t="s">
        <v>43</v>
      </c>
      <c r="U176" s="87" t="s">
        <v>395</v>
      </c>
      <c r="V176" s="15">
        <f t="shared" si="167"/>
        <v>45926</v>
      </c>
      <c r="W176" s="60">
        <f t="shared" si="243"/>
        <v>62.46</v>
      </c>
      <c r="X176" s="61">
        <f t="shared" si="244"/>
        <v>1.3000000000000043</v>
      </c>
      <c r="Y176" s="62">
        <f>((W176-MAX(W$16:W176))/MAX(W$16:W176))</f>
        <v>0</v>
      </c>
      <c r="Z176" s="16">
        <f t="shared" si="245"/>
        <v>2.1255722694571686E-2</v>
      </c>
      <c r="AA176" s="153"/>
      <c r="AC176" s="16">
        <f t="shared" si="128"/>
        <v>7.5968992248062084E-2</v>
      </c>
      <c r="AD176" s="16">
        <f t="shared" ref="AD176" si="257">AD172</f>
        <v>6.1844394730300463E-2</v>
      </c>
      <c r="AE176" s="16">
        <f t="shared" si="255"/>
        <v>1.3456737361761974E-2</v>
      </c>
      <c r="AF176" s="16" t="str">
        <f t="shared" si="252"/>
        <v>Low Volatility</v>
      </c>
      <c r="AG176" s="14" t="str">
        <f t="shared" si="115"/>
        <v>Strong Uptrend</v>
      </c>
      <c r="AI176" s="78" t="s">
        <v>336</v>
      </c>
      <c r="AJ176" s="88">
        <v>414800</v>
      </c>
      <c r="AK176" s="89">
        <v>415000</v>
      </c>
      <c r="AL176" s="15">
        <f t="shared" si="113"/>
        <v>45926</v>
      </c>
      <c r="AM176" s="60">
        <f t="shared" si="105"/>
        <v>41.5</v>
      </c>
      <c r="AN176" s="61">
        <f t="shared" si="106"/>
        <v>0</v>
      </c>
      <c r="AO176" s="62">
        <f>((AM176-MAX(AM$16:AM176))/MAX(AM$16:AM176))</f>
        <v>-4.8169556840084595E-4</v>
      </c>
      <c r="AP176" s="16">
        <f t="shared" si="107"/>
        <v>0</v>
      </c>
      <c r="AQ176" s="153"/>
      <c r="AS176" s="16">
        <f t="shared" si="124"/>
        <v>1.6895969104513706E-3</v>
      </c>
      <c r="AT176" s="77">
        <f t="shared" ref="AT176:AU176" si="258">AT175</f>
        <v>2.1037384466824952E-3</v>
      </c>
      <c r="AU176" s="16">
        <f t="shared" si="258"/>
        <v>1.242920992603765E-3</v>
      </c>
      <c r="AV176" s="16" t="str">
        <f t="shared" si="253"/>
        <v>Low Volatility</v>
      </c>
      <c r="AW176" s="14" t="str">
        <f t="shared" si="117"/>
        <v>Stable</v>
      </c>
    </row>
    <row r="177" spans="1:49" ht="26.25" hidden="1" thickBot="1">
      <c r="A177" s="104" t="s">
        <v>337</v>
      </c>
      <c r="B177" s="106" t="s">
        <v>524</v>
      </c>
      <c r="C177" s="106" t="s">
        <v>525</v>
      </c>
      <c r="D177" s="15">
        <f t="shared" si="164"/>
        <v>45927</v>
      </c>
      <c r="E177" s="60">
        <f t="shared" si="193"/>
        <v>5250</v>
      </c>
      <c r="F177" s="61">
        <f t="shared" si="131"/>
        <v>0</v>
      </c>
      <c r="G177" s="62">
        <f>((E177-MAX(E$16:E177))/MAX(E$16:E177))</f>
        <v>0</v>
      </c>
      <c r="H177" s="16">
        <f t="shared" si="171"/>
        <v>0</v>
      </c>
      <c r="I177" s="153"/>
      <c r="K177" s="16">
        <f t="shared" si="186"/>
        <v>3.7549407114624504E-2</v>
      </c>
      <c r="L177" s="77">
        <f t="shared" si="249"/>
        <v>3.3382789317507419E-2</v>
      </c>
      <c r="M177" s="16">
        <f t="shared" si="119"/>
        <v>9.8213761421286211E-3</v>
      </c>
      <c r="N177" s="16" t="str">
        <f t="shared" si="119"/>
        <v>Low Volatility</v>
      </c>
      <c r="O177" s="14" t="str">
        <f t="shared" si="126"/>
        <v>Strong Uptrend</v>
      </c>
      <c r="S177" s="78" t="s">
        <v>337</v>
      </c>
      <c r="T177" s="86" t="s">
        <v>43</v>
      </c>
      <c r="U177" s="87" t="s">
        <v>396</v>
      </c>
      <c r="V177" s="15">
        <f t="shared" si="167"/>
        <v>45927</v>
      </c>
      <c r="W177" s="60">
        <f t="shared" si="243"/>
        <v>62.64</v>
      </c>
      <c r="X177" s="61">
        <f t="shared" si="244"/>
        <v>0.17999999999999972</v>
      </c>
      <c r="Y177" s="62">
        <f>((W177-MAX(W$16:W177))/MAX(W$16:W177))</f>
        <v>0</v>
      </c>
      <c r="Z177" s="16">
        <f t="shared" si="245"/>
        <v>2.8818443804034537E-3</v>
      </c>
      <c r="AA177" s="153"/>
      <c r="AC177" s="16">
        <f t="shared" si="128"/>
        <v>7.591892820336657E-2</v>
      </c>
      <c r="AD177" s="16">
        <f t="shared" ref="AD177" si="259">AD172</f>
        <v>6.1844394730300463E-2</v>
      </c>
      <c r="AE177" s="16">
        <f t="shared" si="255"/>
        <v>1.3456737361761974E-2</v>
      </c>
      <c r="AF177" s="16" t="str">
        <f t="shared" si="252"/>
        <v>Low Volatility</v>
      </c>
      <c r="AG177" s="14" t="str">
        <f t="shared" si="115"/>
        <v>Strong Uptrend</v>
      </c>
      <c r="AI177" s="78" t="s">
        <v>337</v>
      </c>
      <c r="AJ177" s="90">
        <v>415200</v>
      </c>
      <c r="AK177" s="89">
        <v>415600</v>
      </c>
      <c r="AL177" s="15">
        <f t="shared" si="113"/>
        <v>45927</v>
      </c>
      <c r="AM177" s="60">
        <f t="shared" si="105"/>
        <v>41.56</v>
      </c>
      <c r="AN177" s="61">
        <f t="shared" si="106"/>
        <v>6.0000000000002274E-2</v>
      </c>
      <c r="AO177" s="62">
        <f>((AM177-MAX(AM$16:AM177))/MAX(AM$16:AM177))</f>
        <v>0</v>
      </c>
      <c r="AP177" s="16">
        <f t="shared" si="107"/>
        <v>1.4457831325301752E-3</v>
      </c>
      <c r="AQ177" s="153"/>
      <c r="AS177" s="16">
        <f t="shared" si="124"/>
        <v>2.6537997587454624E-3</v>
      </c>
      <c r="AT177" s="77">
        <f t="shared" ref="AT177:AU177" si="260">AT176</f>
        <v>2.1037384466824952E-3</v>
      </c>
      <c r="AU177" s="16">
        <f t="shared" si="260"/>
        <v>1.242920992603765E-3</v>
      </c>
      <c r="AV177" s="16" t="str">
        <f t="shared" si="253"/>
        <v>Low Volatility</v>
      </c>
      <c r="AW177" s="14" t="str">
        <f t="shared" si="117"/>
        <v>Stable</v>
      </c>
    </row>
    <row r="178" spans="1:49" ht="26.25" hidden="1" thickBot="1">
      <c r="A178" s="104" t="s">
        <v>338</v>
      </c>
      <c r="B178" s="106" t="s">
        <v>524</v>
      </c>
      <c r="C178" s="106" t="s">
        <v>525</v>
      </c>
      <c r="D178" s="15">
        <f t="shared" si="164"/>
        <v>45928</v>
      </c>
      <c r="E178" s="60">
        <f t="shared" si="193"/>
        <v>5250</v>
      </c>
      <c r="F178" s="61">
        <f t="shared" si="131"/>
        <v>0</v>
      </c>
      <c r="G178" s="62">
        <f>((E178-MAX(E$16:E178))/MAX(E$16:E178))</f>
        <v>0</v>
      </c>
      <c r="H178" s="16">
        <f t="shared" si="171"/>
        <v>0</v>
      </c>
      <c r="I178" s="153"/>
      <c r="K178" s="16">
        <f t="shared" si="186"/>
        <v>3.7549407114624504E-2</v>
      </c>
      <c r="L178" s="77">
        <f t="shared" si="249"/>
        <v>3.3382789317507419E-2</v>
      </c>
      <c r="M178" s="16">
        <f t="shared" si="119"/>
        <v>9.8213761421286211E-3</v>
      </c>
      <c r="N178" s="16" t="str">
        <f t="shared" si="119"/>
        <v>Low Volatility</v>
      </c>
      <c r="O178" s="14" t="str">
        <f t="shared" si="126"/>
        <v>Strong Uptrend</v>
      </c>
      <c r="S178" s="78" t="s">
        <v>338</v>
      </c>
      <c r="T178" s="86" t="s">
        <v>43</v>
      </c>
      <c r="U178" s="87" t="s">
        <v>396</v>
      </c>
      <c r="V178" s="15">
        <f t="shared" si="167"/>
        <v>45928</v>
      </c>
      <c r="W178" s="60">
        <f t="shared" si="243"/>
        <v>62.64</v>
      </c>
      <c r="X178" s="61">
        <f t="shared" si="244"/>
        <v>0</v>
      </c>
      <c r="Y178" s="62">
        <f>((W178-MAX(W$16:W178))/MAX(W$16:W178))</f>
        <v>0</v>
      </c>
      <c r="Z178" s="16">
        <f t="shared" si="245"/>
        <v>0</v>
      </c>
      <c r="AA178" s="153"/>
      <c r="AC178" s="16">
        <f t="shared" si="128"/>
        <v>7.591892820336657E-2</v>
      </c>
      <c r="AD178" s="16">
        <f t="shared" ref="AD178" si="261">AD172</f>
        <v>6.1844394730300463E-2</v>
      </c>
      <c r="AE178" s="16">
        <f t="shared" si="255"/>
        <v>1.3456737361761974E-2</v>
      </c>
      <c r="AF178" s="16" t="str">
        <f t="shared" si="252"/>
        <v>Low Volatility</v>
      </c>
      <c r="AG178" s="14" t="str">
        <f t="shared" si="115"/>
        <v>Strong Uptrend</v>
      </c>
      <c r="AJ178" s="90">
        <v>415200</v>
      </c>
      <c r="AK178" s="89">
        <v>415600</v>
      </c>
      <c r="AL178" s="15">
        <f t="shared" si="113"/>
        <v>45928</v>
      </c>
      <c r="AM178" s="60">
        <f t="shared" si="105"/>
        <v>41.56</v>
      </c>
      <c r="AN178" s="61">
        <f t="shared" si="106"/>
        <v>0</v>
      </c>
      <c r="AO178" s="62">
        <f>((AM178-MAX(AM$16:AM178))/MAX(AM$16:AM178))</f>
        <v>0</v>
      </c>
      <c r="AP178" s="16">
        <f t="shared" si="107"/>
        <v>0</v>
      </c>
      <c r="AQ178" s="153"/>
      <c r="AS178" s="16">
        <f t="shared" si="124"/>
        <v>2.6537997587454624E-3</v>
      </c>
      <c r="AT178" s="77">
        <f t="shared" ref="AT178:AU178" si="262">AT177</f>
        <v>2.1037384466824952E-3</v>
      </c>
      <c r="AU178" s="16">
        <f t="shared" si="262"/>
        <v>1.242920992603765E-3</v>
      </c>
      <c r="AV178" s="16" t="str">
        <f t="shared" si="253"/>
        <v>Low Volatility</v>
      </c>
      <c r="AW178" s="14" t="str">
        <f t="shared" si="117"/>
        <v>Stable</v>
      </c>
    </row>
    <row r="179" spans="1:49" ht="26.25" hidden="1" thickBot="1">
      <c r="A179" s="104" t="s">
        <v>339</v>
      </c>
      <c r="B179" s="105" t="s">
        <v>524</v>
      </c>
      <c r="C179" s="105" t="s">
        <v>526</v>
      </c>
      <c r="D179" s="15">
        <f t="shared" si="164"/>
        <v>45929</v>
      </c>
      <c r="E179" s="60">
        <f t="shared" si="193"/>
        <v>5265</v>
      </c>
      <c r="F179" s="61">
        <f t="shared" si="131"/>
        <v>15</v>
      </c>
      <c r="G179" s="62">
        <f>((E179-MAX(E$16:E179))/MAX(E$16:E179))</f>
        <v>0</v>
      </c>
      <c r="H179" s="16">
        <f t="shared" si="171"/>
        <v>2.8571428571428571E-3</v>
      </c>
      <c r="I179" s="153">
        <f>AVERAGEIFS(E179:E186, E179:E186, "&gt;=0")</f>
        <v>5398.125</v>
      </c>
      <c r="K179" s="16">
        <f t="shared" si="186"/>
        <v>2.7317073170731707E-2</v>
      </c>
      <c r="L179" s="77">
        <f>(I179-I172)/I172</f>
        <v>3.3381191672648962E-2</v>
      </c>
      <c r="M179" s="16" cm="1">
        <f t="array" ref="M179">_xlfn.STDEV.S(_xlfn._xlws.FILTER(F179:F185, ISNUMBER(F179:F185))) / I179</f>
        <v>4.1570725476518001E-3</v>
      </c>
      <c r="N179" s="16" t="str">
        <f>IF(M179 &lt; 0.02, "Low Volatility",
 IF(M179 &gt; 0.1, "High Volatility", "Medium Volatility"))</f>
        <v>Low Volatility</v>
      </c>
      <c r="O179" s="14" t="str">
        <f t="shared" ref="O179:O200" si="263">IF(AND(K179 &gt; 0.01, L179 &gt; 0.01), "Strong Uptrend",
 IF(AND(K179 &lt; -0.01, L179 &lt; -0.01), "Strong Downtrend",
 IF(ABS(L179) &lt; 0.005, "Stable", "Weak/Unconfirmed")))</f>
        <v>Strong Uptrend</v>
      </c>
      <c r="S179" s="78" t="s">
        <v>339</v>
      </c>
      <c r="T179" s="86" t="s">
        <v>43</v>
      </c>
      <c r="U179" s="87" t="s">
        <v>397</v>
      </c>
      <c r="V179" s="15">
        <f t="shared" si="167"/>
        <v>45929</v>
      </c>
      <c r="W179" s="60">
        <f t="shared" si="243"/>
        <v>63.71</v>
      </c>
      <c r="X179" s="61">
        <f t="shared" si="244"/>
        <v>1.0700000000000003</v>
      </c>
      <c r="Y179" s="62">
        <f>((W179-MAX(W$16:W179))/MAX(W$16:W179))</f>
        <v>0</v>
      </c>
      <c r="Z179" s="16">
        <f t="shared" si="245"/>
        <v>1.708173690932312E-2</v>
      </c>
      <c r="AA179" s="153">
        <f t="shared" ref="AA179" si="264">AVERAGEIFS(W179:W185, W179:W185, "&gt;=0")</f>
        <v>64.39</v>
      </c>
      <c r="AC179" s="16">
        <f t="shared" si="128"/>
        <v>7.1296451992601345E-2</v>
      </c>
      <c r="AD179" s="66">
        <f t="shared" ref="AD179" si="265">(AA179-AA172)/AA172</f>
        <v>5.5128985439393347E-2</v>
      </c>
      <c r="AE179" s="16" cm="1">
        <f t="array" ref="AE179">_xlfn.STDEV.S(_xlfn._xlws.FILTER(X179:X185, ISNUMBER(X179:X185))) / AA179</f>
        <v>1.158607819742003E-2</v>
      </c>
      <c r="AF179" s="17" t="str">
        <f>AF173</f>
        <v>Low Volatility</v>
      </c>
      <c r="AG179" s="14" t="str">
        <f t="shared" si="115"/>
        <v>Strong Uptrend</v>
      </c>
      <c r="AI179" s="78" t="s">
        <v>339</v>
      </c>
      <c r="AJ179" s="88">
        <v>415400</v>
      </c>
      <c r="AK179" s="89">
        <v>415100</v>
      </c>
      <c r="AL179" s="15">
        <f t="shared" si="113"/>
        <v>45929</v>
      </c>
      <c r="AM179" s="60">
        <f t="shared" si="105"/>
        <v>41.51</v>
      </c>
      <c r="AN179" s="61">
        <f t="shared" si="106"/>
        <v>-5.0000000000004263E-2</v>
      </c>
      <c r="AO179" s="62">
        <f>((AM179-MAX(AM$16:AM179))/MAX(AM$16:AM179))</f>
        <v>-1.2030798845044336E-3</v>
      </c>
      <c r="AP179" s="16">
        <f t="shared" si="107"/>
        <v>-1.2030798845044336E-3</v>
      </c>
      <c r="AQ179" s="153">
        <f t="shared" ref="AQ179" si="266">AVERAGEIFS(AM179:AM185, AM179:AM185, "&gt;=0")</f>
        <v>41.635714285714286</v>
      </c>
      <c r="AS179" s="16">
        <f t="shared" si="124"/>
        <v>2.4148756339048886E-3</v>
      </c>
      <c r="AT179" s="77">
        <f>(AQ179-AQ172)/AQ172</f>
        <v>3.0285301304331723E-3</v>
      </c>
      <c r="AU179" s="16" cm="1">
        <f t="array" ref="AU179">_xlfn.STDEV.S(_xlfn._xlws.FILTER(AN179:AN185, ISNUMBER(AN179:AN185))) / AQ179</f>
        <v>1.1847720033012787E-3</v>
      </c>
      <c r="AV179" s="16" t="str">
        <f>IF(AU179 &lt; 0.02, "Low Volatility",
 IF(AU179 &gt; 0.1, "High Volatility", "Medium Volatility"))</f>
        <v>Low Volatility</v>
      </c>
      <c r="AW179" s="14" t="str">
        <f t="shared" si="117"/>
        <v>Stable</v>
      </c>
    </row>
    <row r="180" spans="1:49" ht="26.25" hidden="1" thickBot="1">
      <c r="A180" s="104" t="s">
        <v>340</v>
      </c>
      <c r="B180" s="105" t="s">
        <v>526</v>
      </c>
      <c r="C180" s="105" t="s">
        <v>527</v>
      </c>
      <c r="D180" s="15">
        <f t="shared" si="164"/>
        <v>45930</v>
      </c>
      <c r="E180" s="60">
        <f t="shared" si="193"/>
        <v>5310</v>
      </c>
      <c r="F180" s="61">
        <f t="shared" si="131"/>
        <v>45</v>
      </c>
      <c r="G180" s="62">
        <f>((E180-MAX(E$16:E180))/MAX(E$16:E180))</f>
        <v>0</v>
      </c>
      <c r="H180" s="16">
        <f t="shared" si="171"/>
        <v>8.5470085470085479E-3</v>
      </c>
      <c r="I180" s="153"/>
      <c r="K180" s="16">
        <f t="shared" si="186"/>
        <v>1.3358778625954198E-2</v>
      </c>
      <c r="L180" s="77">
        <f t="shared" ref="L180:N185" si="267">L179</f>
        <v>3.3381191672648962E-2</v>
      </c>
      <c r="M180" s="16">
        <f t="shared" si="267"/>
        <v>4.1570725476518001E-3</v>
      </c>
      <c r="N180" s="16" t="str">
        <f t="shared" si="267"/>
        <v>Low Volatility</v>
      </c>
      <c r="O180" s="14" t="str">
        <f t="shared" si="263"/>
        <v>Strong Uptrend</v>
      </c>
      <c r="S180" s="78" t="s">
        <v>340</v>
      </c>
      <c r="T180" s="86" t="s">
        <v>43</v>
      </c>
      <c r="U180" s="87" t="s">
        <v>398</v>
      </c>
      <c r="V180" s="15">
        <f t="shared" si="167"/>
        <v>45930</v>
      </c>
      <c r="W180" s="60">
        <f t="shared" si="243"/>
        <v>63.26</v>
      </c>
      <c r="X180" s="61">
        <f t="shared" si="244"/>
        <v>-0.45000000000000284</v>
      </c>
      <c r="Y180" s="62">
        <f>((W180-MAX(W$16:W180))/MAX(W$16:W180))</f>
        <v>-7.0632553759221919E-3</v>
      </c>
      <c r="Z180" s="16">
        <f t="shared" si="245"/>
        <v>-7.0632553759221919E-3</v>
      </c>
      <c r="AA180" s="153"/>
      <c r="AC180" s="16">
        <f t="shared" si="128"/>
        <v>6.2836021505376261E-2</v>
      </c>
      <c r="AD180" s="16">
        <f t="shared" ref="AD180" si="268">AD179</f>
        <v>5.5128985439393347E-2</v>
      </c>
      <c r="AE180" s="16" cm="1">
        <f t="array" ref="AE180">_xlfn.STDEV.S(_xlfn._xlws.FILTER(X179:X185, ISNUMBER(X179:X185))) / AA179</f>
        <v>1.158607819742003E-2</v>
      </c>
      <c r="AF180" s="16" t="str">
        <f>IF(AE180 &lt; 0.02, "Low Volatility",
 IF(AE180 &gt; 0.1, "High Volatility", "Medium Volatility"))</f>
        <v>Low Volatility</v>
      </c>
      <c r="AG180" s="14" t="str">
        <f t="shared" si="115"/>
        <v>Strong Uptrend</v>
      </c>
      <c r="AI180" s="78" t="s">
        <v>340</v>
      </c>
      <c r="AJ180" s="88">
        <v>415100</v>
      </c>
      <c r="AK180" s="89">
        <v>416000</v>
      </c>
      <c r="AL180" s="15">
        <f t="shared" si="113"/>
        <v>45930</v>
      </c>
      <c r="AM180" s="60">
        <f t="shared" si="105"/>
        <v>41.6</v>
      </c>
      <c r="AN180" s="61">
        <f t="shared" si="106"/>
        <v>9.0000000000003411E-2</v>
      </c>
      <c r="AO180" s="62">
        <f>((AM180-MAX(AM$16:AM180))/MAX(AM$16:AM180))</f>
        <v>0</v>
      </c>
      <c r="AP180" s="16">
        <f t="shared" si="107"/>
        <v>2.1681522524693666E-3</v>
      </c>
      <c r="AQ180" s="153"/>
      <c r="AS180" s="16">
        <f t="shared" si="124"/>
        <v>1.9267822736030416E-3</v>
      </c>
      <c r="AT180" s="77">
        <f>AT179</f>
        <v>3.0285301304331723E-3</v>
      </c>
      <c r="AU180" s="16">
        <f>AU179</f>
        <v>1.1847720033012787E-3</v>
      </c>
      <c r="AV180" s="16" t="str">
        <f>AV179</f>
        <v>Low Volatility</v>
      </c>
      <c r="AW180" s="14" t="str">
        <f t="shared" si="117"/>
        <v>Stable</v>
      </c>
    </row>
    <row r="181" spans="1:49" ht="26.25" hidden="1" thickBot="1">
      <c r="A181" s="104" t="s">
        <v>341</v>
      </c>
      <c r="B181" s="105" t="s">
        <v>527</v>
      </c>
      <c r="C181" s="105" t="s">
        <v>528</v>
      </c>
      <c r="D181" s="15">
        <f t="shared" si="164"/>
        <v>45931</v>
      </c>
      <c r="E181" s="60">
        <f t="shared" si="193"/>
        <v>5360</v>
      </c>
      <c r="F181" s="61">
        <f t="shared" si="131"/>
        <v>50</v>
      </c>
      <c r="G181" s="62">
        <f>((E181-MAX(E$16:E181))/MAX(E$16:E181))</f>
        <v>0</v>
      </c>
      <c r="H181" s="16">
        <f t="shared" si="171"/>
        <v>9.4161958568738224E-3</v>
      </c>
      <c r="I181" s="153"/>
      <c r="K181" s="16">
        <f t="shared" si="186"/>
        <v>2.8790786948176585E-2</v>
      </c>
      <c r="L181" s="77">
        <f t="shared" si="267"/>
        <v>3.3381191672648962E-2</v>
      </c>
      <c r="M181" s="16">
        <f t="shared" si="267"/>
        <v>4.1570725476518001E-3</v>
      </c>
      <c r="N181" s="16" t="str">
        <f t="shared" si="267"/>
        <v>Low Volatility</v>
      </c>
      <c r="O181" s="14" t="str">
        <f t="shared" si="263"/>
        <v>Strong Uptrend</v>
      </c>
      <c r="S181" s="78" t="s">
        <v>341</v>
      </c>
      <c r="T181" s="86" t="s">
        <v>43</v>
      </c>
      <c r="U181" s="87" t="s">
        <v>399</v>
      </c>
      <c r="V181" s="15">
        <f t="shared" si="167"/>
        <v>45931</v>
      </c>
      <c r="W181" s="60">
        <f t="shared" si="243"/>
        <v>64.17</v>
      </c>
      <c r="X181" s="61">
        <f t="shared" si="244"/>
        <v>0.91000000000000369</v>
      </c>
      <c r="Y181" s="62">
        <f>((W181-MAX(W$16:W181))/MAX(W$16:W181))</f>
        <v>0</v>
      </c>
      <c r="Z181" s="16">
        <f t="shared" si="245"/>
        <v>1.4385077458109449E-2</v>
      </c>
      <c r="AA181" s="153"/>
      <c r="AC181" s="16">
        <f t="shared" si="128"/>
        <v>8.2307303086523911E-2</v>
      </c>
      <c r="AD181" s="16">
        <f t="shared" ref="AD181" si="269">AD179</f>
        <v>5.5128985439393347E-2</v>
      </c>
      <c r="AE181" s="16">
        <f>AE180</f>
        <v>1.158607819742003E-2</v>
      </c>
      <c r="AF181" s="16" t="str">
        <f t="shared" ref="AF181:AF185" si="270">AF180</f>
        <v>Low Volatility</v>
      </c>
      <c r="AG181" s="14" t="str">
        <f t="shared" si="115"/>
        <v>Strong Uptrend</v>
      </c>
      <c r="AI181" s="78" t="s">
        <v>341</v>
      </c>
      <c r="AJ181" s="88">
        <v>416100</v>
      </c>
      <c r="AK181" s="89">
        <v>416200</v>
      </c>
      <c r="AL181" s="15">
        <f t="shared" si="113"/>
        <v>45931</v>
      </c>
      <c r="AM181" s="60">
        <f t="shared" ref="AM181:AM244" si="271">VALUE(SUBSTITUTE(SUBSTITUTE(AK181, ".", ""), ",", "."))/10000</f>
        <v>41.62</v>
      </c>
      <c r="AN181" s="61">
        <f t="shared" ref="AN181:AN244" si="272">AM181-AM180</f>
        <v>1.9999999999996021E-2</v>
      </c>
      <c r="AO181" s="62">
        <f>((AM181-MAX(AM$16:AM181))/MAX(AM$16:AM181))</f>
        <v>0</v>
      </c>
      <c r="AP181" s="16">
        <f t="shared" ref="AP181:AP244" si="273">(AM181-AM180)/AM180</f>
        <v>4.8076923076913512E-4</v>
      </c>
      <c r="AQ181" s="153"/>
      <c r="AS181" s="16">
        <f t="shared" si="124"/>
        <v>2.4084778420037163E-3</v>
      </c>
      <c r="AT181" s="77">
        <f t="shared" ref="AT181:AV185" si="274">AT180</f>
        <v>3.0285301304331723E-3</v>
      </c>
      <c r="AU181" s="16">
        <f t="shared" si="274"/>
        <v>1.1847720033012787E-3</v>
      </c>
      <c r="AV181" s="16" t="str">
        <f t="shared" si="274"/>
        <v>Low Volatility</v>
      </c>
      <c r="AW181" s="14" t="str">
        <f t="shared" si="117"/>
        <v>Stable</v>
      </c>
    </row>
    <row r="182" spans="1:49" ht="26.25" hidden="1" thickBot="1">
      <c r="A182" s="104" t="s">
        <v>342</v>
      </c>
      <c r="B182" s="105" t="s">
        <v>528</v>
      </c>
      <c r="C182" s="105" t="s">
        <v>529</v>
      </c>
      <c r="D182" s="15">
        <f t="shared" si="164"/>
        <v>45932</v>
      </c>
      <c r="E182" s="60">
        <f t="shared" si="193"/>
        <v>5410</v>
      </c>
      <c r="F182" s="61">
        <f t="shared" si="131"/>
        <v>50</v>
      </c>
      <c r="G182" s="62">
        <f>((E182-MAX(E$16:E182))/MAX(E$16:E182))</f>
        <v>0</v>
      </c>
      <c r="H182" s="16">
        <f t="shared" si="171"/>
        <v>9.3283582089552231E-3</v>
      </c>
      <c r="I182" s="153"/>
      <c r="K182" s="16">
        <f t="shared" si="186"/>
        <v>4.0384615384615387E-2</v>
      </c>
      <c r="L182" s="77">
        <f t="shared" si="267"/>
        <v>3.3381191672648962E-2</v>
      </c>
      <c r="M182" s="16">
        <f t="shared" si="267"/>
        <v>4.1570725476518001E-3</v>
      </c>
      <c r="N182" s="16" t="str">
        <f t="shared" si="267"/>
        <v>Low Volatility</v>
      </c>
      <c r="O182" s="14" t="str">
        <f t="shared" si="263"/>
        <v>Strong Uptrend</v>
      </c>
      <c r="S182" s="78" t="s">
        <v>342</v>
      </c>
      <c r="T182" s="86" t="s">
        <v>43</v>
      </c>
      <c r="U182" s="87" t="s">
        <v>400</v>
      </c>
      <c r="V182" s="15">
        <f t="shared" si="167"/>
        <v>45932</v>
      </c>
      <c r="W182" s="60">
        <f t="shared" si="243"/>
        <v>63.74</v>
      </c>
      <c r="X182" s="61">
        <f t="shared" si="244"/>
        <v>-0.42999999999999972</v>
      </c>
      <c r="Y182" s="62">
        <f>((W182-MAX(W$16:W182))/MAX(W$16:W182))</f>
        <v>-6.7009505999688279E-3</v>
      </c>
      <c r="Z182" s="16">
        <f t="shared" si="245"/>
        <v>-6.7009505999688279E-3</v>
      </c>
      <c r="AA182" s="153"/>
      <c r="AC182" s="16">
        <f t="shared" si="128"/>
        <v>4.2184434270765299E-2</v>
      </c>
      <c r="AD182" s="16">
        <f t="shared" ref="AD182" si="275">AD179</f>
        <v>5.5128985439393347E-2</v>
      </c>
      <c r="AE182" s="16">
        <f t="shared" ref="AE182:AE185" si="276">AE181</f>
        <v>1.158607819742003E-2</v>
      </c>
      <c r="AF182" s="16" t="str">
        <f t="shared" si="270"/>
        <v>Low Volatility</v>
      </c>
      <c r="AG182" s="14" t="str">
        <f t="shared" si="115"/>
        <v>Strong Uptrend</v>
      </c>
      <c r="AI182" s="78" t="s">
        <v>342</v>
      </c>
      <c r="AJ182" s="88">
        <v>416100</v>
      </c>
      <c r="AK182" s="89">
        <v>416200</v>
      </c>
      <c r="AL182" s="15">
        <f t="shared" si="113"/>
        <v>45932</v>
      </c>
      <c r="AM182" s="60">
        <f t="shared" si="271"/>
        <v>41.62</v>
      </c>
      <c r="AN182" s="61">
        <f t="shared" si="272"/>
        <v>0</v>
      </c>
      <c r="AO182" s="62">
        <f>((AM182-MAX(AM$16:AM182))/MAX(AM$16:AM182))</f>
        <v>0</v>
      </c>
      <c r="AP182" s="16">
        <f t="shared" si="273"/>
        <v>0</v>
      </c>
      <c r="AQ182" s="153"/>
      <c r="AS182" s="16">
        <f t="shared" si="124"/>
        <v>2.8915662650601795E-3</v>
      </c>
      <c r="AT182" s="77">
        <f t="shared" ref="AT182:AU182" si="277">AT181</f>
        <v>3.0285301304331723E-3</v>
      </c>
      <c r="AU182" s="16">
        <f t="shared" si="277"/>
        <v>1.1847720033012787E-3</v>
      </c>
      <c r="AV182" s="16" t="str">
        <f t="shared" si="274"/>
        <v>Low Volatility</v>
      </c>
      <c r="AW182" s="14" t="str">
        <f t="shared" si="117"/>
        <v>Stable</v>
      </c>
    </row>
    <row r="183" spans="1:49" ht="26.25" hidden="1" thickBot="1">
      <c r="A183" s="104" t="s">
        <v>343</v>
      </c>
      <c r="B183" s="105" t="s">
        <v>529</v>
      </c>
      <c r="C183" s="105" t="s">
        <v>530</v>
      </c>
      <c r="D183" s="15">
        <f t="shared" si="164"/>
        <v>45933</v>
      </c>
      <c r="E183" s="60">
        <f t="shared" ref="E183:E212" si="278">VALUE(SUBSTITUTE(SUBSTITUTE(C183, ".", ""), ",", "."))</f>
        <v>5430</v>
      </c>
      <c r="F183" s="61">
        <f t="shared" si="131"/>
        <v>20</v>
      </c>
      <c r="G183" s="62">
        <f>((E183-MAX(E$16:E183))/MAX(E$16:E183))</f>
        <v>0</v>
      </c>
      <c r="H183" s="16">
        <f t="shared" si="171"/>
        <v>3.6968576709796672E-3</v>
      </c>
      <c r="I183" s="153"/>
      <c r="K183" s="16">
        <f t="shared" ref="K183:K214" si="279">(E183-E176)/E176</f>
        <v>3.4285714285714287E-2</v>
      </c>
      <c r="L183" s="77">
        <f t="shared" si="267"/>
        <v>3.3381191672648962E-2</v>
      </c>
      <c r="M183" s="16">
        <f t="shared" si="267"/>
        <v>4.1570725476518001E-3</v>
      </c>
      <c r="N183" s="16" t="str">
        <f t="shared" si="267"/>
        <v>Low Volatility</v>
      </c>
      <c r="O183" s="14" t="str">
        <f t="shared" si="263"/>
        <v>Strong Uptrend</v>
      </c>
      <c r="S183" s="78" t="s">
        <v>343</v>
      </c>
      <c r="T183" s="86" t="s">
        <v>43</v>
      </c>
      <c r="U183" s="87" t="s">
        <v>401</v>
      </c>
      <c r="V183" s="15">
        <f t="shared" si="167"/>
        <v>45933</v>
      </c>
      <c r="W183" s="60">
        <f t="shared" si="243"/>
        <v>65.150000000000006</v>
      </c>
      <c r="X183" s="61">
        <f t="shared" si="244"/>
        <v>1.4100000000000037</v>
      </c>
      <c r="Y183" s="62">
        <f>((W183-MAX(W$16:W183))/MAX(W$16:W183))</f>
        <v>0</v>
      </c>
      <c r="Z183" s="16">
        <f t="shared" si="245"/>
        <v>2.2121117037966796E-2</v>
      </c>
      <c r="AA183" s="153"/>
      <c r="AC183" s="16">
        <f t="shared" si="128"/>
        <v>4.3067563240473977E-2</v>
      </c>
      <c r="AD183" s="16">
        <f t="shared" ref="AD183" si="280">AD179</f>
        <v>5.5128985439393347E-2</v>
      </c>
      <c r="AE183" s="16">
        <f t="shared" si="276"/>
        <v>1.158607819742003E-2</v>
      </c>
      <c r="AF183" s="16" t="str">
        <f t="shared" si="270"/>
        <v>Low Volatility</v>
      </c>
      <c r="AG183" s="14" t="str">
        <f t="shared" si="115"/>
        <v>Strong Uptrend</v>
      </c>
      <c r="AI183" s="78" t="s">
        <v>343</v>
      </c>
      <c r="AJ183" s="90">
        <v>416200</v>
      </c>
      <c r="AK183" s="89">
        <v>417000</v>
      </c>
      <c r="AL183" s="15">
        <f t="shared" ref="AL183:AL246" si="281">D183</f>
        <v>45933</v>
      </c>
      <c r="AM183" s="60">
        <f t="shared" si="271"/>
        <v>41.7</v>
      </c>
      <c r="AN183" s="61">
        <f t="shared" si="272"/>
        <v>8.00000000000054E-2</v>
      </c>
      <c r="AO183" s="62">
        <f>((AM183-MAX(AM$16:AM183))/MAX(AM$16:AM183))</f>
        <v>0</v>
      </c>
      <c r="AP183" s="16">
        <f t="shared" si="273"/>
        <v>1.9221528111486163E-3</v>
      </c>
      <c r="AQ183" s="153"/>
      <c r="AS183" s="16">
        <f t="shared" si="124"/>
        <v>4.819277108433803E-3</v>
      </c>
      <c r="AT183" s="77">
        <f t="shared" ref="AT183:AU183" si="282">AT182</f>
        <v>3.0285301304331723E-3</v>
      </c>
      <c r="AU183" s="16">
        <f t="shared" si="282"/>
        <v>1.1847720033012787E-3</v>
      </c>
      <c r="AV183" s="16" t="str">
        <f t="shared" si="274"/>
        <v>Low Volatility</v>
      </c>
      <c r="AW183" s="14" t="str">
        <f t="shared" si="117"/>
        <v>Stable</v>
      </c>
    </row>
    <row r="184" spans="1:49" ht="26.25" hidden="1" thickBot="1">
      <c r="A184" s="104" t="s">
        <v>344</v>
      </c>
      <c r="B184" s="106" t="s">
        <v>529</v>
      </c>
      <c r="C184" s="106" t="s">
        <v>530</v>
      </c>
      <c r="D184" s="15">
        <f t="shared" si="164"/>
        <v>45934</v>
      </c>
      <c r="E184" s="60">
        <f t="shared" si="278"/>
        <v>5430</v>
      </c>
      <c r="F184" s="61">
        <f t="shared" si="131"/>
        <v>0</v>
      </c>
      <c r="G184" s="62">
        <f>((E184-MAX(E$16:E184))/MAX(E$16:E184))</f>
        <v>0</v>
      </c>
      <c r="H184" s="16">
        <f t="shared" si="171"/>
        <v>0</v>
      </c>
      <c r="I184" s="153"/>
      <c r="K184" s="16">
        <f t="shared" si="279"/>
        <v>3.4285714285714287E-2</v>
      </c>
      <c r="L184" s="77">
        <f t="shared" si="267"/>
        <v>3.3381191672648962E-2</v>
      </c>
      <c r="M184" s="16">
        <f t="shared" si="267"/>
        <v>4.1570725476518001E-3</v>
      </c>
      <c r="N184" s="16" t="str">
        <f t="shared" si="267"/>
        <v>Low Volatility</v>
      </c>
      <c r="O184" s="14" t="str">
        <f t="shared" si="263"/>
        <v>Strong Uptrend</v>
      </c>
      <c r="S184" s="78" t="s">
        <v>344</v>
      </c>
      <c r="T184" s="91" t="s">
        <v>43</v>
      </c>
      <c r="U184" s="87" t="s">
        <v>402</v>
      </c>
      <c r="V184" s="15">
        <f t="shared" si="167"/>
        <v>45934</v>
      </c>
      <c r="W184" s="60">
        <f t="shared" si="243"/>
        <v>65.349999999999994</v>
      </c>
      <c r="X184" s="61">
        <f t="shared" si="244"/>
        <v>0.19999999999998863</v>
      </c>
      <c r="Y184" s="62">
        <f>((W184-MAX(W$16:W184))/MAX(W$16:W184))</f>
        <v>0</v>
      </c>
      <c r="Z184" s="16">
        <f t="shared" si="245"/>
        <v>3.0698388334610685E-3</v>
      </c>
      <c r="AA184" s="153"/>
      <c r="AC184" s="16">
        <f t="shared" si="128"/>
        <v>4.3263090676883678E-2</v>
      </c>
      <c r="AD184" s="16">
        <f t="shared" ref="AD184" si="283">AD179</f>
        <v>5.5128985439393347E-2</v>
      </c>
      <c r="AE184" s="16">
        <f t="shared" si="276"/>
        <v>1.158607819742003E-2</v>
      </c>
      <c r="AF184" s="16" t="str">
        <f t="shared" si="270"/>
        <v>Low Volatility</v>
      </c>
      <c r="AG184" s="14" t="str">
        <f t="shared" si="115"/>
        <v>Strong Uptrend</v>
      </c>
      <c r="AI184" s="78" t="s">
        <v>344</v>
      </c>
      <c r="AJ184" s="89">
        <v>417000</v>
      </c>
      <c r="AK184" s="89">
        <v>417000</v>
      </c>
      <c r="AL184" s="15">
        <f t="shared" si="281"/>
        <v>45934</v>
      </c>
      <c r="AM184" s="60">
        <f t="shared" si="271"/>
        <v>41.7</v>
      </c>
      <c r="AN184" s="61">
        <f t="shared" si="272"/>
        <v>0</v>
      </c>
      <c r="AO184" s="62">
        <f>((AM184-MAX(AM$16:AM184))/MAX(AM$16:AM184))</f>
        <v>0</v>
      </c>
      <c r="AP184" s="16">
        <f t="shared" si="273"/>
        <v>0</v>
      </c>
      <c r="AQ184" s="153"/>
      <c r="AS184" s="16">
        <f t="shared" si="124"/>
        <v>3.3686236766121407E-3</v>
      </c>
      <c r="AT184" s="77">
        <f t="shared" ref="AT184:AU184" si="284">AT183</f>
        <v>3.0285301304331723E-3</v>
      </c>
      <c r="AU184" s="16">
        <f t="shared" si="284"/>
        <v>1.1847720033012787E-3</v>
      </c>
      <c r="AV184" s="16" t="str">
        <f t="shared" si="274"/>
        <v>Low Volatility</v>
      </c>
      <c r="AW184" s="14" t="str">
        <f t="shared" si="117"/>
        <v>Stable</v>
      </c>
    </row>
    <row r="185" spans="1:49" ht="26.25" hidden="1" thickBot="1">
      <c r="A185" s="104" t="s">
        <v>345</v>
      </c>
      <c r="B185" s="106" t="s">
        <v>529</v>
      </c>
      <c r="C185" s="106" t="s">
        <v>530</v>
      </c>
      <c r="D185" s="15">
        <f t="shared" si="164"/>
        <v>45935</v>
      </c>
      <c r="E185" s="60">
        <f t="shared" si="278"/>
        <v>5430</v>
      </c>
      <c r="F185" s="61">
        <f>E185-E184</f>
        <v>0</v>
      </c>
      <c r="G185" s="62">
        <f>((E185-MAX(E$16:E185))/MAX(E$16:E185))</f>
        <v>0</v>
      </c>
      <c r="H185" s="16">
        <f t="shared" si="171"/>
        <v>0</v>
      </c>
      <c r="I185" s="153"/>
      <c r="K185" s="16">
        <f t="shared" si="279"/>
        <v>3.4285714285714287E-2</v>
      </c>
      <c r="L185" s="77">
        <f t="shared" si="267"/>
        <v>3.3381191672648962E-2</v>
      </c>
      <c r="M185" s="16">
        <f t="shared" si="267"/>
        <v>4.1570725476518001E-3</v>
      </c>
      <c r="N185" s="16" t="str">
        <f t="shared" si="267"/>
        <v>Low Volatility</v>
      </c>
      <c r="O185" s="14" t="str">
        <f t="shared" si="263"/>
        <v>Strong Uptrend</v>
      </c>
      <c r="S185" s="78" t="s">
        <v>345</v>
      </c>
      <c r="T185" s="86" t="s">
        <v>43</v>
      </c>
      <c r="U185" s="87" t="s">
        <v>402</v>
      </c>
      <c r="V185" s="15">
        <f t="shared" si="167"/>
        <v>45935</v>
      </c>
      <c r="W185" s="60">
        <f t="shared" si="243"/>
        <v>65.349999999999994</v>
      </c>
      <c r="X185" s="61">
        <f t="shared" si="244"/>
        <v>0</v>
      </c>
      <c r="Y185" s="62">
        <f>((W185-MAX(W$16:W185))/MAX(W$16:W185))</f>
        <v>0</v>
      </c>
      <c r="Z185" s="16">
        <f t="shared" si="245"/>
        <v>0</v>
      </c>
      <c r="AA185" s="153"/>
      <c r="AC185" s="16">
        <f t="shared" si="128"/>
        <v>4.3263090676883678E-2</v>
      </c>
      <c r="AD185" s="16">
        <f t="shared" ref="AD185" si="285">AD179</f>
        <v>5.5128985439393347E-2</v>
      </c>
      <c r="AE185" s="16">
        <f t="shared" si="276"/>
        <v>1.158607819742003E-2</v>
      </c>
      <c r="AF185" s="16" t="str">
        <f t="shared" si="270"/>
        <v>Low Volatility</v>
      </c>
      <c r="AG185" s="14" t="str">
        <f t="shared" si="115"/>
        <v>Strong Uptrend</v>
      </c>
      <c r="AI185" s="78" t="s">
        <v>345</v>
      </c>
      <c r="AJ185" s="89">
        <v>417000</v>
      </c>
      <c r="AK185" s="89">
        <v>417000</v>
      </c>
      <c r="AL185" s="15">
        <f t="shared" si="281"/>
        <v>45935</v>
      </c>
      <c r="AM185" s="60">
        <f t="shared" si="271"/>
        <v>41.7</v>
      </c>
      <c r="AN185" s="61">
        <f t="shared" si="272"/>
        <v>0</v>
      </c>
      <c r="AO185" s="62">
        <f>((AM185-MAX(AM$16:AM185))/MAX(AM$16:AM185))</f>
        <v>0</v>
      </c>
      <c r="AP185" s="16">
        <f t="shared" si="273"/>
        <v>0</v>
      </c>
      <c r="AQ185" s="153"/>
      <c r="AS185" s="16">
        <f t="shared" si="124"/>
        <v>3.3686236766121407E-3</v>
      </c>
      <c r="AT185" s="77">
        <f t="shared" ref="AT185:AU185" si="286">AT184</f>
        <v>3.0285301304331723E-3</v>
      </c>
      <c r="AU185" s="16">
        <f t="shared" si="286"/>
        <v>1.1847720033012787E-3</v>
      </c>
      <c r="AV185" s="16" t="str">
        <f t="shared" si="274"/>
        <v>Low Volatility</v>
      </c>
      <c r="AW185" s="14" t="str">
        <f t="shared" si="117"/>
        <v>Stable</v>
      </c>
    </row>
    <row r="186" spans="1:49" ht="26.25" hidden="1" thickBot="1">
      <c r="A186" s="104" t="s">
        <v>531</v>
      </c>
      <c r="B186" s="105" t="s">
        <v>529</v>
      </c>
      <c r="C186" s="105" t="s">
        <v>532</v>
      </c>
      <c r="D186" s="15">
        <f t="shared" si="164"/>
        <v>45936</v>
      </c>
      <c r="E186" s="60">
        <f t="shared" si="278"/>
        <v>5550</v>
      </c>
      <c r="F186" s="61">
        <f>E186-E185</f>
        <v>120</v>
      </c>
      <c r="G186" s="62">
        <f>((E186-MAX(E$16:E186))/MAX(E$16:E186))</f>
        <v>0</v>
      </c>
      <c r="H186" s="16">
        <f t="shared" si="171"/>
        <v>2.2099447513812154E-2</v>
      </c>
      <c r="I186" s="153">
        <f>AVERAGEIFS(E186:E193, E186:E193, "&gt;=0")</f>
        <v>5723.75</v>
      </c>
      <c r="K186" s="16">
        <f t="shared" si="279"/>
        <v>5.4131054131054131E-2</v>
      </c>
      <c r="L186" s="77">
        <f>(I186-I179)/I179</f>
        <v>6.0321871020030102E-2</v>
      </c>
      <c r="M186" s="16" cm="1">
        <f t="array" ref="M186">_xlfn.STDEV.S(_xlfn._xlws.FILTER(F186:F192, ISNUMBER(F186:F192))) / I186</f>
        <v>1.8454226233414594E-2</v>
      </c>
      <c r="N186" s="16" t="str" cm="1">
        <f t="array" ref="N186">_xlfn.LET(
  _xlpm.c, M2,
  IFERROR(
    _xlfn.IFS(_xlpm.c&lt;0.02,"Low Volatility",
        _xlpm.c&gt;0.1,"High Volatility",
        TRUE,"Medium Volatility"),
    "Insufficient data"
  )
)</f>
        <v>Low Volatility</v>
      </c>
      <c r="O186" s="14" t="str">
        <f t="shared" si="263"/>
        <v>Strong Uptrend</v>
      </c>
      <c r="S186" s="78" t="s">
        <v>531</v>
      </c>
      <c r="T186" s="86">
        <v>0</v>
      </c>
      <c r="U186" s="87" t="s">
        <v>1581</v>
      </c>
      <c r="V186" s="15">
        <f t="shared" si="167"/>
        <v>45936</v>
      </c>
      <c r="W186" s="60">
        <f t="shared" si="243"/>
        <v>65.36</v>
      </c>
      <c r="X186" s="61">
        <f t="shared" si="244"/>
        <v>1.0000000000005116E-2</v>
      </c>
      <c r="Y186" s="62">
        <f>((W186-MAX(W$16:W186))/MAX(W$16:W186))</f>
        <v>0</v>
      </c>
      <c r="Z186" s="16">
        <f t="shared" si="245"/>
        <v>1.530221882173698E-4</v>
      </c>
      <c r="AA186" s="153">
        <f t="shared" ref="AA186" si="287">AVERAGEIFS(W186:W192, W186:W192, "&gt;=0")</f>
        <v>67.290000000000006</v>
      </c>
      <c r="AC186" s="16">
        <f t="shared" si="128"/>
        <v>2.589860304504785E-2</v>
      </c>
      <c r="AD186" s="66">
        <f t="shared" ref="AD186" si="288">(AA186-AA179)/AA179</f>
        <v>4.5038049386550795E-2</v>
      </c>
      <c r="AE186" s="16" cm="1">
        <f t="array" ref="AE186">_xlfn.STDEV.S(_xlfn._xlws.FILTER(X186:X192, ISNUMBER(X186:X192))) / AA186</f>
        <v>1.1829156892478328E-2</v>
      </c>
      <c r="AF186" s="17" t="str" cm="1">
        <f t="array" ref="AF186">_xlfn.LET(
  _xlpm.c, AF2,
  IFERROR(
    _xlfn.IFS(_xlpm.c&lt;0.02,"Low Volatility",
        _xlpm.c&gt;0.1,"High Volatility",
        TRUE,"Medium Volatility"),
    "Insufficient data"
  )
)</f>
        <v>Low Volatility</v>
      </c>
      <c r="AG186" s="14" t="str">
        <f t="shared" si="115"/>
        <v>Strong Uptrend</v>
      </c>
      <c r="AJ186" s="89">
        <v>417000</v>
      </c>
      <c r="AK186" s="89">
        <v>417000</v>
      </c>
      <c r="AL186" s="15">
        <f t="shared" si="281"/>
        <v>45936</v>
      </c>
      <c r="AM186" s="60">
        <f t="shared" si="271"/>
        <v>41.7</v>
      </c>
      <c r="AN186" s="61">
        <f t="shared" si="272"/>
        <v>0</v>
      </c>
      <c r="AO186" s="62">
        <f>((AM186-MAX(AM$16:AM186))/MAX(AM$16:AM186))</f>
        <v>0</v>
      </c>
      <c r="AP186" s="16">
        <f t="shared" si="273"/>
        <v>0</v>
      </c>
      <c r="AQ186" s="153">
        <f t="shared" ref="AQ186:AQ200" si="289">AVERAGEIFS(AM186:AM192, AM186:AM192, "&gt;=0")</f>
        <v>41.772857142857148</v>
      </c>
      <c r="AS186" s="16">
        <f t="shared" si="124"/>
        <v>4.5772103107686061E-3</v>
      </c>
      <c r="AT186" s="77">
        <f>(AQ186-AQ179)/AQ179</f>
        <v>3.2938754503346588E-3</v>
      </c>
      <c r="AU186" s="16" cm="1">
        <f t="array" ref="AU186">_xlfn.STDEV.S(_xlfn._xlws.FILTER(AN186:AN192, ISNUMBER(AN186:AN192))) / AQ186</f>
        <v>1.0102572434187041E-3</v>
      </c>
      <c r="AV186" s="16" t="str" cm="1">
        <f t="array" ref="AV186">_xlfn.LET(
  _xlpm.c, AU2,
  IFERROR(
    _xlfn.IFS(_xlpm.c&lt;0.02,"Low Volatility",
        _xlpm.c&gt;0.1,"High Volatility",
        TRUE,"Medium Volatility"),
    "Insufficient data"
  )
)</f>
        <v>Low Volatility</v>
      </c>
      <c r="AW186" s="14" t="str">
        <f t="shared" si="117"/>
        <v>Stable</v>
      </c>
    </row>
    <row r="187" spans="1:49" ht="20.100000000000001" hidden="1" customHeight="1" thickBot="1">
      <c r="A187" s="104" t="s">
        <v>533</v>
      </c>
      <c r="B187" s="105" t="s">
        <v>532</v>
      </c>
      <c r="C187" s="105" t="s">
        <v>534</v>
      </c>
      <c r="D187" s="15">
        <f t="shared" si="164"/>
        <v>45937</v>
      </c>
      <c r="E187" s="60">
        <f t="shared" si="278"/>
        <v>5680</v>
      </c>
      <c r="F187" s="61">
        <f>E187-E186</f>
        <v>130</v>
      </c>
      <c r="G187" s="62">
        <f>((E187-MAX(E$16:E187))/MAX(E$16:E187))</f>
        <v>0</v>
      </c>
      <c r="H187" s="16">
        <f t="shared" si="171"/>
        <v>2.3423423423423424E-2</v>
      </c>
      <c r="I187" s="153"/>
      <c r="K187" s="16">
        <f t="shared" si="279"/>
        <v>6.9679849340866296E-2</v>
      </c>
      <c r="L187" s="77">
        <f t="shared" ref="L187:M192" si="290">L186</f>
        <v>6.0321871020030102E-2</v>
      </c>
      <c r="M187" s="16">
        <f t="shared" si="290"/>
        <v>1.8454226233414594E-2</v>
      </c>
      <c r="N187" s="16" t="str">
        <f t="shared" ref="N187" si="291">N186</f>
        <v>Low Volatility</v>
      </c>
      <c r="O187" s="14" t="str">
        <f t="shared" si="263"/>
        <v>Strong Uptrend</v>
      </c>
      <c r="S187" s="78" t="s">
        <v>533</v>
      </c>
      <c r="T187" s="86">
        <v>0</v>
      </c>
      <c r="U187" s="87" t="s">
        <v>1582</v>
      </c>
      <c r="V187" s="15">
        <f t="shared" si="167"/>
        <v>45937</v>
      </c>
      <c r="W187" s="60">
        <f t="shared" si="243"/>
        <v>65.37</v>
      </c>
      <c r="X187" s="61">
        <f t="shared" si="244"/>
        <v>1.0000000000005116E-2</v>
      </c>
      <c r="Y187" s="62">
        <f>((W187-MAX(W$16:W187))/MAX(W$16:W187))</f>
        <v>0</v>
      </c>
      <c r="Z187" s="16">
        <f t="shared" si="245"/>
        <v>1.5299877600987019E-4</v>
      </c>
      <c r="AA187" s="153"/>
      <c r="AC187" s="16">
        <f t="shared" si="128"/>
        <v>3.3354410369902096E-2</v>
      </c>
      <c r="AD187" s="16">
        <f t="shared" ref="AD187" si="292">AD186</f>
        <v>4.5038049386550795E-2</v>
      </c>
      <c r="AE187" s="16" cm="1">
        <f t="array" ref="AE187">_xlfn.STDEV.S(_xlfn._xlws.FILTER(X186:X192, ISNUMBER(X186:X192))) / AA186</f>
        <v>1.1829156892478328E-2</v>
      </c>
      <c r="AF187" s="16" t="str">
        <f>AF186</f>
        <v>Low Volatility</v>
      </c>
      <c r="AG187" s="14" t="str">
        <f t="shared" ref="AG187:AG199" si="293">IF(AND(AC187 &gt; 0.01, AD187 &gt; 0.01), "Strong Uptrend",
 IF(AND(AC187 &lt; -0.01, AD187 &lt; -0.01), "Strong Downtrend",
 IF(ABS(AD187) &lt; 0.005, "Stable", "Weak/Unconfirmed")))</f>
        <v>Strong Uptrend</v>
      </c>
      <c r="AJ187" s="89">
        <v>417000</v>
      </c>
      <c r="AK187" s="89">
        <v>417000</v>
      </c>
      <c r="AL187" s="15">
        <f t="shared" si="281"/>
        <v>45937</v>
      </c>
      <c r="AM187" s="60">
        <f t="shared" si="271"/>
        <v>41.7</v>
      </c>
      <c r="AN187" s="61">
        <f t="shared" si="272"/>
        <v>0</v>
      </c>
      <c r="AO187" s="62">
        <f>((AM187-MAX(AM$16:AM187))/MAX(AM$16:AM187))</f>
        <v>0</v>
      </c>
      <c r="AP187" s="16">
        <f t="shared" si="273"/>
        <v>0</v>
      </c>
      <c r="AQ187" s="153"/>
      <c r="AS187" s="16">
        <f t="shared" si="124"/>
        <v>2.4038461538461878E-3</v>
      </c>
      <c r="AT187" s="77">
        <f>AT186</f>
        <v>3.2938754503346588E-3</v>
      </c>
      <c r="AU187" s="16">
        <f>AU186</f>
        <v>1.0102572434187041E-3</v>
      </c>
      <c r="AV187" s="16" t="str">
        <f>AV186</f>
        <v>Low Volatility</v>
      </c>
      <c r="AW187" s="14" t="str">
        <f t="shared" ref="AW187:AW206" si="294">IF(AND(AS187 &gt; 0.01, AT187 &gt; 0.01), "Strong Uptrend",
 IF(AND(AS187 &lt; -0.01, AT187 &lt; -0.01), "Strong Downtrend",
 IF(ABS(AT187) &lt; 0.005, "Stable", "Weak/Unconfirmed")))</f>
        <v>Stable</v>
      </c>
    </row>
    <row r="188" spans="1:49" ht="20.100000000000001" hidden="1" customHeight="1" thickBot="1">
      <c r="A188" s="104" t="s">
        <v>535</v>
      </c>
      <c r="B188" s="105" t="s">
        <v>534</v>
      </c>
      <c r="C188" s="105" t="s">
        <v>536</v>
      </c>
      <c r="D188" s="15">
        <f t="shared" si="164"/>
        <v>45938</v>
      </c>
      <c r="E188" s="60">
        <f t="shared" si="278"/>
        <v>5860</v>
      </c>
      <c r="F188" s="61">
        <f>E188-E187</f>
        <v>180</v>
      </c>
      <c r="G188" s="62">
        <f>((E188-MAX(E$16:E188))/MAX(E$16:E188))</f>
        <v>0</v>
      </c>
      <c r="H188" s="16">
        <f t="shared" si="171"/>
        <v>3.1690140845070422E-2</v>
      </c>
      <c r="I188" s="153"/>
      <c r="K188" s="16">
        <f t="shared" si="279"/>
        <v>9.3283582089552244E-2</v>
      </c>
      <c r="L188" s="77">
        <f t="shared" si="290"/>
        <v>6.0321871020030102E-2</v>
      </c>
      <c r="M188" s="16">
        <f t="shared" si="290"/>
        <v>1.8454226233414594E-2</v>
      </c>
      <c r="N188" s="16" t="str">
        <f t="shared" ref="N188" si="295">N187</f>
        <v>Low Volatility</v>
      </c>
      <c r="O188" s="14" t="str">
        <f t="shared" si="263"/>
        <v>Strong Uptrend</v>
      </c>
      <c r="S188" s="78" t="s">
        <v>535</v>
      </c>
      <c r="T188" s="86">
        <v>0</v>
      </c>
      <c r="U188" s="87" t="s">
        <v>1583</v>
      </c>
      <c r="V188" s="15">
        <f t="shared" si="167"/>
        <v>45938</v>
      </c>
      <c r="W188" s="60">
        <f t="shared" si="243"/>
        <v>65.38</v>
      </c>
      <c r="X188" s="61">
        <f t="shared" si="244"/>
        <v>9.9999999999909051E-3</v>
      </c>
      <c r="Y188" s="62">
        <f>((W188-MAX(W$16:W188))/MAX(W$16:W188))</f>
        <v>0</v>
      </c>
      <c r="Z188" s="16">
        <f t="shared" si="245"/>
        <v>1.5297537096513545E-4</v>
      </c>
      <c r="AA188" s="153"/>
      <c r="AC188" s="16">
        <f t="shared" si="128"/>
        <v>1.885616331619127E-2</v>
      </c>
      <c r="AD188" s="16">
        <f t="shared" ref="AD188" si="296">AD186</f>
        <v>4.5038049386550795E-2</v>
      </c>
      <c r="AE188" s="16">
        <f>AE187</f>
        <v>1.1829156892478328E-2</v>
      </c>
      <c r="AF188" s="16" t="str">
        <f t="shared" ref="AF188:AF192" si="297">AF187</f>
        <v>Low Volatility</v>
      </c>
      <c r="AG188" s="14" t="str">
        <f t="shared" si="293"/>
        <v>Strong Uptrend</v>
      </c>
      <c r="AJ188" s="89">
        <v>417000</v>
      </c>
      <c r="AK188" s="89">
        <v>417000</v>
      </c>
      <c r="AL188" s="15">
        <f t="shared" si="281"/>
        <v>45938</v>
      </c>
      <c r="AM188" s="60">
        <f t="shared" si="271"/>
        <v>41.7</v>
      </c>
      <c r="AN188" s="61">
        <f t="shared" si="272"/>
        <v>0</v>
      </c>
      <c r="AO188" s="62">
        <f>((AM188-MAX(AM$16:AM188))/MAX(AM$16:AM188))</f>
        <v>0</v>
      </c>
      <c r="AP188" s="16">
        <f t="shared" si="273"/>
        <v>0</v>
      </c>
      <c r="AQ188" s="153"/>
      <c r="AS188" s="16">
        <f t="shared" si="124"/>
        <v>1.9221528111486163E-3</v>
      </c>
      <c r="AT188" s="77">
        <f t="shared" ref="AT188:AV188" si="298">AT187</f>
        <v>3.2938754503346588E-3</v>
      </c>
      <c r="AU188" s="16">
        <f t="shared" si="298"/>
        <v>1.0102572434187041E-3</v>
      </c>
      <c r="AV188" s="16" t="str">
        <f t="shared" si="298"/>
        <v>Low Volatility</v>
      </c>
      <c r="AW188" s="14" t="str">
        <f t="shared" si="294"/>
        <v>Stable</v>
      </c>
    </row>
    <row r="189" spans="1:49" ht="20.100000000000001" hidden="1" customHeight="1" thickBot="1">
      <c r="A189" s="104" t="s">
        <v>403</v>
      </c>
      <c r="B189" s="105" t="s">
        <v>536</v>
      </c>
      <c r="C189" s="105" t="s">
        <v>537</v>
      </c>
      <c r="D189" s="15">
        <f t="shared" si="164"/>
        <v>45939</v>
      </c>
      <c r="E189" s="60">
        <f t="shared" si="278"/>
        <v>5780</v>
      </c>
      <c r="F189" s="61">
        <f>E189-E188</f>
        <v>-80</v>
      </c>
      <c r="G189" s="62">
        <f>((E189-MAX(E$16:E189))/MAX(E$16:E189))</f>
        <v>-1.3651877133105802E-2</v>
      </c>
      <c r="H189" s="16">
        <f t="shared" si="171"/>
        <v>-1.3651877133105802E-2</v>
      </c>
      <c r="I189" s="153"/>
      <c r="K189" s="16">
        <f t="shared" si="279"/>
        <v>6.839186691312385E-2</v>
      </c>
      <c r="L189" s="77">
        <f t="shared" si="290"/>
        <v>6.0321871020030102E-2</v>
      </c>
      <c r="M189" s="16">
        <f t="shared" si="290"/>
        <v>1.8454226233414594E-2</v>
      </c>
      <c r="N189" s="16" t="str">
        <f t="shared" ref="N189" si="299">N188</f>
        <v>Low Volatility</v>
      </c>
      <c r="O189" s="14" t="str">
        <f t="shared" si="263"/>
        <v>Strong Uptrend</v>
      </c>
      <c r="S189" s="92" t="s">
        <v>403</v>
      </c>
      <c r="T189" s="93" t="s">
        <v>43</v>
      </c>
      <c r="U189" s="94" t="s">
        <v>423</v>
      </c>
      <c r="V189" s="15">
        <f t="shared" si="167"/>
        <v>45939</v>
      </c>
      <c r="W189" s="60">
        <f t="shared" si="243"/>
        <v>66.790000000000006</v>
      </c>
      <c r="X189" s="61">
        <f t="shared" si="244"/>
        <v>1.4100000000000108</v>
      </c>
      <c r="Y189" s="62">
        <f>((W189-MAX(W$16:W189))/MAX(W$16:W189))</f>
        <v>0</v>
      </c>
      <c r="Z189" s="16">
        <f t="shared" si="245"/>
        <v>2.1566228204344003E-2</v>
      </c>
      <c r="AA189" s="153"/>
      <c r="AC189" s="16">
        <f t="shared" si="128"/>
        <v>4.785064323815507E-2</v>
      </c>
      <c r="AD189" s="16">
        <f t="shared" ref="AD189" si="300">AD186</f>
        <v>4.5038049386550795E-2</v>
      </c>
      <c r="AE189" s="16">
        <f t="shared" ref="AE189:AE192" si="301">AE188</f>
        <v>1.1829156892478328E-2</v>
      </c>
      <c r="AF189" s="16" t="str">
        <f t="shared" si="297"/>
        <v>Low Volatility</v>
      </c>
      <c r="AG189" s="14" t="str">
        <f t="shared" si="293"/>
        <v>Strong Uptrend</v>
      </c>
      <c r="AI189" s="92" t="s">
        <v>403</v>
      </c>
      <c r="AJ189" s="95">
        <v>418500</v>
      </c>
      <c r="AK189" s="96">
        <v>418100</v>
      </c>
      <c r="AL189" s="15">
        <f t="shared" si="281"/>
        <v>45939</v>
      </c>
      <c r="AM189" s="60">
        <f t="shared" si="271"/>
        <v>41.81</v>
      </c>
      <c r="AN189" s="61">
        <f t="shared" si="272"/>
        <v>0.10999999999999943</v>
      </c>
      <c r="AO189" s="62">
        <f>((AM189-MAX(AM$16:AM189))/MAX(AM$16:AM189))</f>
        <v>0</v>
      </c>
      <c r="AP189" s="16">
        <f t="shared" si="273"/>
        <v>2.6378896882493868E-3</v>
      </c>
      <c r="AQ189" s="153"/>
      <c r="AS189" s="16">
        <f t="shared" si="124"/>
        <v>4.5651129264777717E-3</v>
      </c>
      <c r="AT189" s="77">
        <f t="shared" ref="AT189:AV189" si="302">AT188</f>
        <v>3.2938754503346588E-3</v>
      </c>
      <c r="AU189" s="16">
        <f t="shared" si="302"/>
        <v>1.0102572434187041E-3</v>
      </c>
      <c r="AV189" s="16" t="str">
        <f t="shared" si="302"/>
        <v>Low Volatility</v>
      </c>
      <c r="AW189" s="14" t="str">
        <f t="shared" si="294"/>
        <v>Stable</v>
      </c>
    </row>
    <row r="190" spans="1:49" ht="20.100000000000001" hidden="1" customHeight="1" thickBot="1">
      <c r="A190" s="104" t="s">
        <v>404</v>
      </c>
      <c r="B190" s="105" t="s">
        <v>537</v>
      </c>
      <c r="C190" s="105" t="s">
        <v>538</v>
      </c>
      <c r="D190" s="15">
        <f t="shared" si="164"/>
        <v>45940</v>
      </c>
      <c r="E190" s="60">
        <f t="shared" si="278"/>
        <v>5690</v>
      </c>
      <c r="F190" s="61">
        <f t="shared" ref="F190:F196" si="303">E190-E189</f>
        <v>-90</v>
      </c>
      <c r="G190" s="62">
        <f>((E190-MAX(E$16:E190))/MAX(E$16:E190))</f>
        <v>-2.9010238907849831E-2</v>
      </c>
      <c r="H190" s="16">
        <f t="shared" si="171"/>
        <v>-1.5570934256055362E-2</v>
      </c>
      <c r="I190" s="153"/>
      <c r="K190" s="16">
        <f t="shared" si="279"/>
        <v>4.7882136279926338E-2</v>
      </c>
      <c r="L190" s="77">
        <f t="shared" si="290"/>
        <v>6.0321871020030102E-2</v>
      </c>
      <c r="M190" s="16">
        <f t="shared" si="290"/>
        <v>1.8454226233414594E-2</v>
      </c>
      <c r="N190" s="16" t="str">
        <f t="shared" ref="N190" si="304">N189</f>
        <v>Low Volatility</v>
      </c>
      <c r="O190" s="14" t="str">
        <f t="shared" si="263"/>
        <v>Strong Uptrend</v>
      </c>
      <c r="S190" s="92" t="s">
        <v>404</v>
      </c>
      <c r="T190" s="93" t="s">
        <v>43</v>
      </c>
      <c r="U190" s="94" t="s">
        <v>424</v>
      </c>
      <c r="V190" s="15">
        <f t="shared" si="167"/>
        <v>45940</v>
      </c>
      <c r="W190" s="60">
        <f t="shared" si="243"/>
        <v>68.430000000000007</v>
      </c>
      <c r="X190" s="61">
        <f t="shared" si="244"/>
        <v>1.6400000000000006</v>
      </c>
      <c r="Y190" s="62">
        <f>((W190-MAX(W$16:W190))/MAX(W$16:W190))</f>
        <v>0</v>
      </c>
      <c r="Z190" s="16">
        <f t="shared" si="245"/>
        <v>2.4554574038029651E-2</v>
      </c>
      <c r="AA190" s="153"/>
      <c r="AC190" s="16">
        <f t="shared" si="128"/>
        <v>5.0345356868764402E-2</v>
      </c>
      <c r="AD190" s="16">
        <f t="shared" ref="AD190" si="305">AD186</f>
        <v>4.5038049386550795E-2</v>
      </c>
      <c r="AE190" s="16">
        <f t="shared" si="301"/>
        <v>1.1829156892478328E-2</v>
      </c>
      <c r="AF190" s="16" t="str">
        <f t="shared" si="297"/>
        <v>Low Volatility</v>
      </c>
      <c r="AG190" s="14" t="str">
        <f t="shared" si="293"/>
        <v>Strong Uptrend</v>
      </c>
      <c r="AI190" s="92" t="s">
        <v>404</v>
      </c>
      <c r="AJ190" s="95">
        <v>417900</v>
      </c>
      <c r="AK190" s="96">
        <v>418400</v>
      </c>
      <c r="AL190" s="15">
        <f t="shared" si="281"/>
        <v>45940</v>
      </c>
      <c r="AM190" s="60">
        <f t="shared" si="271"/>
        <v>41.84</v>
      </c>
      <c r="AN190" s="61">
        <f t="shared" si="272"/>
        <v>3.0000000000001137E-2</v>
      </c>
      <c r="AO190" s="62">
        <f>((AM190-MAX(AM$16:AM190))/MAX(AM$16:AM190))</f>
        <v>0</v>
      </c>
      <c r="AP190" s="16">
        <f t="shared" si="273"/>
        <v>7.1753169098304561E-4</v>
      </c>
      <c r="AQ190" s="153"/>
      <c r="AS190" s="16">
        <f t="shared" ref="AS190:AS213" si="306">(AM190-AM183)/AM183</f>
        <v>3.3573141486810685E-3</v>
      </c>
      <c r="AT190" s="77">
        <f t="shared" ref="AT190:AV190" si="307">AT189</f>
        <v>3.2938754503346588E-3</v>
      </c>
      <c r="AU190" s="16">
        <f t="shared" si="307"/>
        <v>1.0102572434187041E-3</v>
      </c>
      <c r="AV190" s="16" t="str">
        <f t="shared" si="307"/>
        <v>Low Volatility</v>
      </c>
      <c r="AW190" s="14" t="str">
        <f t="shared" si="294"/>
        <v>Stable</v>
      </c>
    </row>
    <row r="191" spans="1:49" ht="20.100000000000001" hidden="1" customHeight="1" thickBot="1">
      <c r="A191" s="104" t="s">
        <v>405</v>
      </c>
      <c r="B191" s="106" t="s">
        <v>537</v>
      </c>
      <c r="C191" s="106" t="s">
        <v>539</v>
      </c>
      <c r="D191" s="15">
        <f t="shared" si="164"/>
        <v>45941</v>
      </c>
      <c r="E191" s="60">
        <f t="shared" si="278"/>
        <v>5730</v>
      </c>
      <c r="F191" s="61">
        <f t="shared" si="303"/>
        <v>40</v>
      </c>
      <c r="G191" s="62">
        <f>((E191-MAX(E$16:E191))/MAX(E$16:E191))</f>
        <v>-2.2184300341296929E-2</v>
      </c>
      <c r="H191" s="16">
        <f t="shared" si="171"/>
        <v>7.0298769771528994E-3</v>
      </c>
      <c r="I191" s="153"/>
      <c r="K191" s="16">
        <f t="shared" si="279"/>
        <v>5.5248618784530384E-2</v>
      </c>
      <c r="L191" s="77">
        <f t="shared" si="290"/>
        <v>6.0321871020030102E-2</v>
      </c>
      <c r="M191" s="16">
        <f t="shared" si="290"/>
        <v>1.8454226233414594E-2</v>
      </c>
      <c r="N191" s="16" t="str">
        <f t="shared" ref="N191" si="308">N190</f>
        <v>Low Volatility</v>
      </c>
      <c r="O191" s="14" t="str">
        <f t="shared" si="263"/>
        <v>Strong Uptrend</v>
      </c>
      <c r="S191" s="92" t="s">
        <v>405</v>
      </c>
      <c r="T191" s="93" t="s">
        <v>43</v>
      </c>
      <c r="U191" s="94" t="s">
        <v>425</v>
      </c>
      <c r="V191" s="15">
        <f t="shared" si="167"/>
        <v>45941</v>
      </c>
      <c r="W191" s="60">
        <f t="shared" si="243"/>
        <v>69.849999999999994</v>
      </c>
      <c r="X191" s="61">
        <f t="shared" si="244"/>
        <v>1.4199999999999875</v>
      </c>
      <c r="Y191" s="62">
        <f>((W191-MAX(W$16:W191))/MAX(W$16:W191))</f>
        <v>0</v>
      </c>
      <c r="Z191" s="16">
        <f t="shared" si="245"/>
        <v>2.0751132544205571E-2</v>
      </c>
      <c r="AA191" s="153"/>
      <c r="AC191" s="16">
        <f t="shared" si="128"/>
        <v>6.8859984697781179E-2</v>
      </c>
      <c r="AD191" s="16">
        <f t="shared" ref="AD191" si="309">AD186</f>
        <v>4.5038049386550795E-2</v>
      </c>
      <c r="AE191" s="16">
        <f t="shared" si="301"/>
        <v>1.1829156892478328E-2</v>
      </c>
      <c r="AF191" s="16" t="str">
        <f t="shared" si="297"/>
        <v>Low Volatility</v>
      </c>
      <c r="AG191" s="14" t="str">
        <f t="shared" si="293"/>
        <v>Strong Uptrend</v>
      </c>
      <c r="AI191" s="92" t="s">
        <v>405</v>
      </c>
      <c r="AJ191" s="95">
        <v>418300</v>
      </c>
      <c r="AK191" s="96">
        <v>418300</v>
      </c>
      <c r="AL191" s="15">
        <f t="shared" si="281"/>
        <v>45941</v>
      </c>
      <c r="AM191" s="60">
        <f t="shared" si="271"/>
        <v>41.83</v>
      </c>
      <c r="AN191" s="61">
        <f t="shared" si="272"/>
        <v>-1.0000000000005116E-2</v>
      </c>
      <c r="AO191" s="62">
        <f>((AM191-MAX(AM$16:AM191))/MAX(AM$16:AM191))</f>
        <v>-2.3900573613778957E-4</v>
      </c>
      <c r="AP191" s="16">
        <f t="shared" si="273"/>
        <v>-2.3900573613778957E-4</v>
      </c>
      <c r="AQ191" s="153"/>
      <c r="AS191" s="16">
        <f t="shared" si="306"/>
        <v>3.1175059952037276E-3</v>
      </c>
      <c r="AT191" s="77">
        <f t="shared" ref="AT191:AV191" si="310">AT190</f>
        <v>3.2938754503346588E-3</v>
      </c>
      <c r="AU191" s="16">
        <f t="shared" si="310"/>
        <v>1.0102572434187041E-3</v>
      </c>
      <c r="AV191" s="16" t="str">
        <f t="shared" si="310"/>
        <v>Low Volatility</v>
      </c>
      <c r="AW191" s="14" t="str">
        <f t="shared" si="294"/>
        <v>Stable</v>
      </c>
    </row>
    <row r="192" spans="1:49" ht="20.100000000000001" hidden="1" customHeight="1" thickBot="1">
      <c r="A192" s="104" t="s">
        <v>406</v>
      </c>
      <c r="B192" s="106" t="s">
        <v>537</v>
      </c>
      <c r="C192" s="106" t="s">
        <v>539</v>
      </c>
      <c r="D192" s="15">
        <f t="shared" si="164"/>
        <v>45942</v>
      </c>
      <c r="E192" s="60">
        <f t="shared" si="278"/>
        <v>5730</v>
      </c>
      <c r="F192" s="61">
        <f t="shared" si="303"/>
        <v>0</v>
      </c>
      <c r="G192" s="62">
        <f>((E192-MAX(E$16:E192))/MAX(E$16:E192))</f>
        <v>-2.2184300341296929E-2</v>
      </c>
      <c r="H192" s="16">
        <f t="shared" si="171"/>
        <v>0</v>
      </c>
      <c r="I192" s="153"/>
      <c r="K192" s="16">
        <f t="shared" si="279"/>
        <v>5.5248618784530384E-2</v>
      </c>
      <c r="L192" s="77">
        <f t="shared" si="290"/>
        <v>6.0321871020030102E-2</v>
      </c>
      <c r="M192" s="16">
        <f t="shared" si="290"/>
        <v>1.8454226233414594E-2</v>
      </c>
      <c r="N192" s="16" t="str">
        <f t="shared" ref="N192" si="311">N191</f>
        <v>Low Volatility</v>
      </c>
      <c r="O192" s="14" t="str">
        <f t="shared" si="263"/>
        <v>Strong Uptrend</v>
      </c>
      <c r="S192" s="92" t="s">
        <v>406</v>
      </c>
      <c r="T192" s="93" t="s">
        <v>43</v>
      </c>
      <c r="U192" s="94" t="s">
        <v>425</v>
      </c>
      <c r="V192" s="15">
        <f t="shared" si="167"/>
        <v>45942</v>
      </c>
      <c r="W192" s="60">
        <f t="shared" si="243"/>
        <v>69.849999999999994</v>
      </c>
      <c r="X192" s="61">
        <f t="shared" si="244"/>
        <v>0</v>
      </c>
      <c r="Y192" s="62">
        <f>((W192-MAX(W$16:W192))/MAX(W$16:W192))</f>
        <v>0</v>
      </c>
      <c r="Z192" s="16">
        <f t="shared" si="245"/>
        <v>0</v>
      </c>
      <c r="AA192" s="153"/>
      <c r="AC192" s="16">
        <f t="shared" si="128"/>
        <v>6.8859984697781179E-2</v>
      </c>
      <c r="AD192" s="16">
        <f t="shared" ref="AD192" si="312">AD186</f>
        <v>4.5038049386550795E-2</v>
      </c>
      <c r="AE192" s="16">
        <f t="shared" si="301"/>
        <v>1.1829156892478328E-2</v>
      </c>
      <c r="AF192" s="16" t="str">
        <f t="shared" si="297"/>
        <v>Low Volatility</v>
      </c>
      <c r="AG192" s="14" t="str">
        <f t="shared" si="293"/>
        <v>Strong Uptrend</v>
      </c>
      <c r="AJ192" s="95">
        <v>418300</v>
      </c>
      <c r="AK192" s="96">
        <v>418300</v>
      </c>
      <c r="AL192" s="15">
        <f t="shared" si="281"/>
        <v>45942</v>
      </c>
      <c r="AM192" s="60">
        <f t="shared" si="271"/>
        <v>41.83</v>
      </c>
      <c r="AN192" s="61">
        <f t="shared" si="272"/>
        <v>0</v>
      </c>
      <c r="AO192" s="62">
        <f>((AM192-MAX(AM$16:AM192))/MAX(AM$16:AM192))</f>
        <v>-2.3900573613778957E-4</v>
      </c>
      <c r="AP192" s="16">
        <f t="shared" si="273"/>
        <v>0</v>
      </c>
      <c r="AQ192" s="153"/>
      <c r="AS192" s="16">
        <f t="shared" si="306"/>
        <v>3.1175059952037276E-3</v>
      </c>
      <c r="AT192" s="77">
        <f t="shared" ref="AT192:AV192" si="313">AT191</f>
        <v>3.2938754503346588E-3</v>
      </c>
      <c r="AU192" s="16">
        <f t="shared" si="313"/>
        <v>1.0102572434187041E-3</v>
      </c>
      <c r="AV192" s="16" t="str">
        <f t="shared" si="313"/>
        <v>Low Volatility</v>
      </c>
      <c r="AW192" s="14" t="str">
        <f t="shared" si="294"/>
        <v>Stable</v>
      </c>
    </row>
    <row r="193" spans="1:49" ht="20.100000000000001" hidden="1" customHeight="1" thickBot="1">
      <c r="A193" s="104" t="s">
        <v>407</v>
      </c>
      <c r="B193" s="105" t="s">
        <v>537</v>
      </c>
      <c r="C193" s="105" t="s">
        <v>540</v>
      </c>
      <c r="D193" s="15">
        <f t="shared" si="164"/>
        <v>45943</v>
      </c>
      <c r="E193" s="60">
        <f t="shared" si="278"/>
        <v>5770</v>
      </c>
      <c r="F193" s="61">
        <f t="shared" si="303"/>
        <v>40</v>
      </c>
      <c r="G193" s="62">
        <f>((E193-MAX(E$16:E193))/MAX(E$16:E193))</f>
        <v>-1.5358361774744027E-2</v>
      </c>
      <c r="H193" s="16">
        <f t="shared" si="171"/>
        <v>6.9808027923211171E-3</v>
      </c>
      <c r="I193" s="153">
        <f>AVERAGEIFS(E193:E200, E193:E200, "&gt;=0")</f>
        <v>6084</v>
      </c>
      <c r="K193" s="16">
        <f t="shared" si="279"/>
        <v>3.9639639639639637E-2</v>
      </c>
      <c r="L193" s="77">
        <f>(I193-I186)/I186</f>
        <v>6.293950644245469E-2</v>
      </c>
      <c r="M193" s="16" cm="1">
        <f t="array" ref="M193">_xlfn.STDEV.S(_xlfn._xlws.FILTER(F193:F199, ISNUMBER(F193:F199))) / I193</f>
        <v>1.8694093185143101E-2</v>
      </c>
      <c r="N193" s="16" t="str" cm="1">
        <f t="array" ref="N193">_xlfn.LET(
  _xlpm.c, M14,
  IFERROR(
    _xlfn.IFS(_xlpm.c&lt;0.02,"Low Volatility",
        _xlpm.c&gt;0.1,"High Volatility",
        TRUE,"Medium Volatility"),
    "Insufficient data"
  )
)</f>
        <v>Low Volatility</v>
      </c>
      <c r="O193" s="14" t="str">
        <f t="shared" si="263"/>
        <v>Strong Uptrend</v>
      </c>
      <c r="S193" s="92" t="s">
        <v>407</v>
      </c>
      <c r="T193" s="93" t="s">
        <v>43</v>
      </c>
      <c r="U193" s="94" t="s">
        <v>426</v>
      </c>
      <c r="V193" s="15">
        <f t="shared" si="167"/>
        <v>45943</v>
      </c>
      <c r="W193" s="60">
        <f t="shared" si="243"/>
        <v>71.41</v>
      </c>
      <c r="X193" s="61">
        <f t="shared" si="244"/>
        <v>1.5600000000000023</v>
      </c>
      <c r="Y193" s="62">
        <f>((W193-MAX(W$16:W193))/MAX(W$16:W193))</f>
        <v>0</v>
      </c>
      <c r="Z193" s="16">
        <f t="shared" si="245"/>
        <v>2.2333571939871188E-2</v>
      </c>
      <c r="AA193" s="153">
        <f t="shared" ref="AA193" si="314">AVERAGEIFS(W193:W199, W193:W199, "&gt;=0")</f>
        <v>71.691428571428574</v>
      </c>
      <c r="AC193" s="16">
        <f t="shared" si="128"/>
        <v>9.2564259485924075E-2</v>
      </c>
      <c r="AD193" s="66">
        <f t="shared" ref="AD193" si="315">(AA193-AA186)/AA186</f>
        <v>6.5409846506591873E-2</v>
      </c>
      <c r="AE193" s="16" cm="1">
        <f t="array" ref="AE193">_xlfn.STDEV.S(_xlfn._xlws.FILTER(X193:X199, ISNUMBER(X193:X199))) / AA193</f>
        <v>2.6842607439085998E-2</v>
      </c>
      <c r="AF193" s="17" t="str">
        <f>AF187</f>
        <v>Low Volatility</v>
      </c>
      <c r="AG193" s="14" t="str">
        <f t="shared" si="293"/>
        <v>Strong Uptrend</v>
      </c>
      <c r="AI193" s="92" t="s">
        <v>407</v>
      </c>
      <c r="AJ193" s="95">
        <v>417800</v>
      </c>
      <c r="AK193" s="96">
        <v>417600</v>
      </c>
      <c r="AL193" s="15">
        <f t="shared" si="281"/>
        <v>45943</v>
      </c>
      <c r="AM193" s="60">
        <f t="shared" si="271"/>
        <v>41.76</v>
      </c>
      <c r="AN193" s="61">
        <f t="shared" si="272"/>
        <v>-7.0000000000000284E-2</v>
      </c>
      <c r="AO193" s="62">
        <f>((AM193-MAX(AM$16:AM193))/MAX(AM$16:AM193))</f>
        <v>-1.9120458891014674E-3</v>
      </c>
      <c r="AP193" s="16">
        <f t="shared" si="273"/>
        <v>-1.6734401147501861E-3</v>
      </c>
      <c r="AQ193" s="153">
        <f t="shared" si="289"/>
        <v>41.964285714285715</v>
      </c>
      <c r="AS193" s="16">
        <f t="shared" si="306"/>
        <v>1.4388489208631934E-3</v>
      </c>
      <c r="AT193" s="77">
        <f>(AQ193-AQ186)/AQ186</f>
        <v>4.5826066140007785E-3</v>
      </c>
      <c r="AU193" s="16" cm="1">
        <f t="array" ref="AU193">_xlfn.STDEV.S(_xlfn._xlws.FILTER(AN193:AN199, ISNUMBER(AN193:AN199))) / AQ193</f>
        <v>1.9477775366109791E-3</v>
      </c>
      <c r="AV193" s="16" t="str">
        <f>IF(AU193 &lt; 0.02, "Low Volatility",
 IF(AU193 &gt; 0.1, "High Volatility", "Medium Volatility"))</f>
        <v>Low Volatility</v>
      </c>
      <c r="AW193" s="14" t="str">
        <f t="shared" si="294"/>
        <v>Stable</v>
      </c>
    </row>
    <row r="194" spans="1:49" ht="20.100000000000001" hidden="1" customHeight="1" thickBot="1">
      <c r="A194" s="104" t="s">
        <v>408</v>
      </c>
      <c r="B194" s="105" t="s">
        <v>540</v>
      </c>
      <c r="C194" s="105" t="s">
        <v>541</v>
      </c>
      <c r="D194" s="15">
        <f t="shared" si="164"/>
        <v>45944</v>
      </c>
      <c r="E194" s="60">
        <f t="shared" si="278"/>
        <v>5792</v>
      </c>
      <c r="F194" s="61">
        <f t="shared" si="303"/>
        <v>22</v>
      </c>
      <c r="G194" s="62">
        <f>((E194-MAX(E$16:E194))/MAX(E$16:E194))</f>
        <v>-1.1604095563139932E-2</v>
      </c>
      <c r="H194" s="16">
        <f t="shared" si="171"/>
        <v>3.8128249566724438E-3</v>
      </c>
      <c r="I194" s="153"/>
      <c r="K194" s="16">
        <f t="shared" si="279"/>
        <v>1.9718309859154931E-2</v>
      </c>
      <c r="L194" s="77">
        <f>L193</f>
        <v>6.293950644245469E-2</v>
      </c>
      <c r="M194" s="16">
        <f>M193</f>
        <v>1.8694093185143101E-2</v>
      </c>
      <c r="N194" s="16" t="str">
        <f t="shared" ref="N194" si="316">N193</f>
        <v>Low Volatility</v>
      </c>
      <c r="O194" s="14" t="str">
        <f t="shared" si="263"/>
        <v>Strong Uptrend</v>
      </c>
      <c r="S194" s="92" t="s">
        <v>408</v>
      </c>
      <c r="T194" s="93" t="s">
        <v>43</v>
      </c>
      <c r="U194" s="94" t="s">
        <v>427</v>
      </c>
      <c r="V194" s="15">
        <f t="shared" si="167"/>
        <v>45944</v>
      </c>
      <c r="W194" s="60">
        <f t="shared" si="243"/>
        <v>70.5</v>
      </c>
      <c r="X194" s="61">
        <f t="shared" si="244"/>
        <v>-0.90999999999999659</v>
      </c>
      <c r="Y194" s="62">
        <f>((W194-MAX(W$16:W194))/MAX(W$16:W194))</f>
        <v>-1.274331326144793E-2</v>
      </c>
      <c r="Z194" s="16">
        <f t="shared" si="245"/>
        <v>-1.274331326144793E-2</v>
      </c>
      <c r="AA194" s="153"/>
      <c r="AC194" s="16">
        <f t="shared" ref="AC194:AC223" si="317">(W194-W187)/W187</f>
        <v>7.8476365305185786E-2</v>
      </c>
      <c r="AD194" s="16">
        <f t="shared" ref="AD194" si="318">AD193</f>
        <v>6.5409846506591873E-2</v>
      </c>
      <c r="AE194" s="16" cm="1">
        <f t="array" ref="AE194">_xlfn.STDEV.S(_xlfn._xlws.FILTER(X193:X199, ISNUMBER(X193:X199))) / AA193</f>
        <v>2.6842607439085998E-2</v>
      </c>
      <c r="AF194" s="16" t="str">
        <f>IF(AE194 &lt; 0.02, "Low Volatility",
 IF(AE194 &gt; 0.1, "High Volatility", "Medium Volatility"))</f>
        <v>Medium Volatility</v>
      </c>
      <c r="AG194" s="14" t="str">
        <f t="shared" si="293"/>
        <v>Strong Uptrend</v>
      </c>
      <c r="AI194" s="92" t="s">
        <v>408</v>
      </c>
      <c r="AJ194" s="95">
        <v>417700</v>
      </c>
      <c r="AK194" s="96">
        <v>418100</v>
      </c>
      <c r="AL194" s="15">
        <f t="shared" si="281"/>
        <v>45944</v>
      </c>
      <c r="AM194" s="60">
        <f t="shared" si="271"/>
        <v>41.81</v>
      </c>
      <c r="AN194" s="61">
        <f t="shared" si="272"/>
        <v>5.0000000000004263E-2</v>
      </c>
      <c r="AO194" s="62">
        <f>((AM194-MAX(AM$16:AM194))/MAX(AM$16:AM194))</f>
        <v>-7.1701720841302905E-4</v>
      </c>
      <c r="AP194" s="16">
        <f t="shared" si="273"/>
        <v>1.1973180076629373E-3</v>
      </c>
      <c r="AQ194" s="153"/>
      <c r="AS194" s="16">
        <f t="shared" si="306"/>
        <v>2.6378896882493868E-3</v>
      </c>
      <c r="AT194" s="77">
        <f>AT193</f>
        <v>4.5826066140007785E-3</v>
      </c>
      <c r="AU194" s="16">
        <f>AU193</f>
        <v>1.9477775366109791E-3</v>
      </c>
      <c r="AV194" s="16" t="str">
        <f>AV193</f>
        <v>Low Volatility</v>
      </c>
      <c r="AW194" s="14" t="str">
        <f t="shared" si="294"/>
        <v>Stable</v>
      </c>
    </row>
    <row r="195" spans="1:49" ht="20.100000000000001" hidden="1" customHeight="1" thickBot="1">
      <c r="A195" s="104" t="s">
        <v>409</v>
      </c>
      <c r="B195" s="105" t="s">
        <v>541</v>
      </c>
      <c r="C195" s="105" t="s">
        <v>542</v>
      </c>
      <c r="D195" s="15">
        <f t="shared" si="164"/>
        <v>45945</v>
      </c>
      <c r="E195" s="60">
        <f t="shared" si="278"/>
        <v>5930</v>
      </c>
      <c r="F195" s="61">
        <f t="shared" si="303"/>
        <v>138</v>
      </c>
      <c r="G195" s="62">
        <f>((E195-MAX(E$16:E195))/MAX(E$16:E195))</f>
        <v>0</v>
      </c>
      <c r="H195" s="16">
        <f t="shared" si="171"/>
        <v>2.3825966850828731E-2</v>
      </c>
      <c r="I195" s="153"/>
      <c r="K195" s="16">
        <f t="shared" si="279"/>
        <v>1.1945392491467578E-2</v>
      </c>
      <c r="L195" s="77">
        <f>L194</f>
        <v>6.293950644245469E-2</v>
      </c>
      <c r="M195" s="16">
        <f>M194</f>
        <v>1.8694093185143101E-2</v>
      </c>
      <c r="N195" s="16" t="str">
        <f t="shared" ref="N195" si="319">N194</f>
        <v>Low Volatility</v>
      </c>
      <c r="O195" s="14" t="str">
        <f t="shared" si="263"/>
        <v>Strong Uptrend</v>
      </c>
      <c r="S195" s="92" t="s">
        <v>409</v>
      </c>
      <c r="T195" s="93" t="s">
        <v>43</v>
      </c>
      <c r="U195" s="94" t="s">
        <v>428</v>
      </c>
      <c r="V195" s="15">
        <f t="shared" si="167"/>
        <v>45945</v>
      </c>
      <c r="W195" s="60">
        <f t="shared" si="243"/>
        <v>72.42</v>
      </c>
      <c r="X195" s="61">
        <f t="shared" si="244"/>
        <v>1.9200000000000017</v>
      </c>
      <c r="Y195" s="62">
        <f>((W195-MAX(W$16:W195))/MAX(W$16:W195))</f>
        <v>0</v>
      </c>
      <c r="Z195" s="16">
        <f t="shared" si="245"/>
        <v>2.7234042553191513E-2</v>
      </c>
      <c r="AA195" s="153"/>
      <c r="AC195" s="16">
        <f t="shared" si="317"/>
        <v>0.10767818904863884</v>
      </c>
      <c r="AD195" s="16">
        <f t="shared" ref="AD195" si="320">AD193</f>
        <v>6.5409846506591873E-2</v>
      </c>
      <c r="AE195" s="16">
        <f>AE194</f>
        <v>2.6842607439085998E-2</v>
      </c>
      <c r="AF195" s="16" t="str">
        <f t="shared" ref="AF195:AF199" si="321">AF194</f>
        <v>Medium Volatility</v>
      </c>
      <c r="AG195" s="14" t="str">
        <f t="shared" si="293"/>
        <v>Strong Uptrend</v>
      </c>
      <c r="AI195" s="92" t="s">
        <v>409</v>
      </c>
      <c r="AJ195" s="95">
        <v>418100</v>
      </c>
      <c r="AK195" s="96">
        <v>418700</v>
      </c>
      <c r="AL195" s="15">
        <f t="shared" si="281"/>
        <v>45945</v>
      </c>
      <c r="AM195" s="60">
        <f t="shared" si="271"/>
        <v>41.87</v>
      </c>
      <c r="AN195" s="61">
        <f t="shared" si="272"/>
        <v>5.9999999999995168E-2</v>
      </c>
      <c r="AO195" s="62">
        <f>((AM195-MAX(AM$16:AM195))/MAX(AM$16:AM195))</f>
        <v>0</v>
      </c>
      <c r="AP195" s="16">
        <f t="shared" si="273"/>
        <v>1.4350633819659212E-3</v>
      </c>
      <c r="AQ195" s="153"/>
      <c r="AS195" s="16">
        <f t="shared" si="306"/>
        <v>4.0767386091125797E-3</v>
      </c>
      <c r="AT195" s="77">
        <f t="shared" ref="AT195:AV195" si="322">AT194</f>
        <v>4.5826066140007785E-3</v>
      </c>
      <c r="AU195" s="16">
        <f t="shared" si="322"/>
        <v>1.9477775366109791E-3</v>
      </c>
      <c r="AV195" s="16" t="str">
        <f t="shared" si="322"/>
        <v>Low Volatility</v>
      </c>
      <c r="AW195" s="14" t="str">
        <f t="shared" si="294"/>
        <v>Stable</v>
      </c>
    </row>
    <row r="196" spans="1:49" ht="20.100000000000001" hidden="1" customHeight="1" thickBot="1">
      <c r="A196" s="104" t="s">
        <v>410</v>
      </c>
      <c r="B196" s="105" t="s">
        <v>542</v>
      </c>
      <c r="C196" s="105" t="s">
        <v>543</v>
      </c>
      <c r="D196" s="15">
        <f t="shared" si="164"/>
        <v>45946</v>
      </c>
      <c r="E196" s="60">
        <f t="shared" si="278"/>
        <v>6150</v>
      </c>
      <c r="F196" s="61">
        <f t="shared" si="303"/>
        <v>220</v>
      </c>
      <c r="G196" s="62">
        <f>((E196-MAX(E$16:E196))/MAX(E$16:E196))</f>
        <v>0</v>
      </c>
      <c r="H196" s="16">
        <f t="shared" si="171"/>
        <v>3.7099494097807759E-2</v>
      </c>
      <c r="I196" s="153"/>
      <c r="K196" s="16">
        <f t="shared" si="279"/>
        <v>6.4013840830449822E-2</v>
      </c>
      <c r="L196" s="77">
        <f>L195</f>
        <v>6.293950644245469E-2</v>
      </c>
      <c r="M196" s="16">
        <f t="shared" ref="M196:N196" si="323">M195</f>
        <v>1.8694093185143101E-2</v>
      </c>
      <c r="N196" s="16" t="str">
        <f t="shared" si="323"/>
        <v>Low Volatility</v>
      </c>
      <c r="O196" s="14" t="str">
        <f t="shared" si="263"/>
        <v>Strong Uptrend</v>
      </c>
      <c r="S196" s="92" t="s">
        <v>410</v>
      </c>
      <c r="T196" s="93" t="s">
        <v>43</v>
      </c>
      <c r="U196" s="94" t="s">
        <v>429</v>
      </c>
      <c r="V196" s="15">
        <f t="shared" si="167"/>
        <v>45946</v>
      </c>
      <c r="W196" s="60">
        <f t="shared" si="243"/>
        <v>73.989999999999995</v>
      </c>
      <c r="X196" s="61">
        <f t="shared" si="244"/>
        <v>1.5699999999999932</v>
      </c>
      <c r="Y196" s="62">
        <f>((W196-MAX(W$16:W196))/MAX(W$16:W196))</f>
        <v>0</v>
      </c>
      <c r="Z196" s="16">
        <f t="shared" si="245"/>
        <v>2.1679094172880324E-2</v>
      </c>
      <c r="AA196" s="153"/>
      <c r="AC196" s="16">
        <f t="shared" si="317"/>
        <v>0.10780056894744704</v>
      </c>
      <c r="AD196" s="16">
        <f t="shared" ref="AD196" si="324">AD193</f>
        <v>6.5409846506591873E-2</v>
      </c>
      <c r="AE196" s="16">
        <f t="shared" ref="AE196:AE199" si="325">AE195</f>
        <v>2.6842607439085998E-2</v>
      </c>
      <c r="AF196" s="16" t="str">
        <f t="shared" si="321"/>
        <v>Medium Volatility</v>
      </c>
      <c r="AG196" s="14" t="str">
        <f t="shared" si="293"/>
        <v>Strong Uptrend</v>
      </c>
      <c r="AI196" s="92" t="s">
        <v>410</v>
      </c>
      <c r="AJ196" s="95">
        <v>418400</v>
      </c>
      <c r="AK196" s="96">
        <v>419400</v>
      </c>
      <c r="AL196" s="15">
        <f t="shared" si="281"/>
        <v>45946</v>
      </c>
      <c r="AM196" s="60">
        <f t="shared" si="271"/>
        <v>41.94</v>
      </c>
      <c r="AN196" s="61">
        <f t="shared" si="272"/>
        <v>7.0000000000000284E-2</v>
      </c>
      <c r="AO196" s="62">
        <f>((AM196-MAX(AM$16:AM196))/MAX(AM$16:AM196))</f>
        <v>0</v>
      </c>
      <c r="AP196" s="16">
        <f t="shared" si="273"/>
        <v>1.671841413900174E-3</v>
      </c>
      <c r="AQ196" s="153"/>
      <c r="AS196" s="16">
        <f t="shared" si="306"/>
        <v>3.1093039942596376E-3</v>
      </c>
      <c r="AT196" s="77">
        <f t="shared" ref="AT196:AV196" si="326">AT195</f>
        <v>4.5826066140007785E-3</v>
      </c>
      <c r="AU196" s="16">
        <f t="shared" si="326"/>
        <v>1.9477775366109791E-3</v>
      </c>
      <c r="AV196" s="16" t="str">
        <f t="shared" si="326"/>
        <v>Low Volatility</v>
      </c>
      <c r="AW196" s="14" t="str">
        <f t="shared" si="294"/>
        <v>Stable</v>
      </c>
    </row>
    <row r="197" spans="1:49" ht="20.100000000000001" hidden="1" customHeight="1" thickBot="1">
      <c r="A197" s="104" t="s">
        <v>411</v>
      </c>
      <c r="B197" s="105" t="s">
        <v>543</v>
      </c>
      <c r="C197" s="105" t="s">
        <v>544</v>
      </c>
      <c r="D197" s="15">
        <f t="shared" si="164"/>
        <v>45947</v>
      </c>
      <c r="E197" s="60">
        <f t="shared" si="278"/>
        <v>6320</v>
      </c>
      <c r="F197" s="61">
        <f t="shared" ref="F197:F208" si="327">E197-E196</f>
        <v>170</v>
      </c>
      <c r="G197" s="62">
        <f>((E197-MAX(E$16:E197))/MAX(E$16:E197))</f>
        <v>0</v>
      </c>
      <c r="H197" s="16">
        <f t="shared" si="171"/>
        <v>2.7642276422764227E-2</v>
      </c>
      <c r="I197" s="153"/>
      <c r="K197" s="16">
        <f t="shared" si="279"/>
        <v>0.11072056239015818</v>
      </c>
      <c r="L197" s="77">
        <f>L196</f>
        <v>6.293950644245469E-2</v>
      </c>
      <c r="M197" s="16">
        <f t="shared" ref="M197:N197" si="328">M196</f>
        <v>1.8694093185143101E-2</v>
      </c>
      <c r="N197" s="16" t="str">
        <f t="shared" si="328"/>
        <v>Low Volatility</v>
      </c>
      <c r="O197" s="14" t="str">
        <f t="shared" si="263"/>
        <v>Strong Uptrend</v>
      </c>
      <c r="S197" s="92" t="s">
        <v>411</v>
      </c>
      <c r="T197" s="93" t="s">
        <v>43</v>
      </c>
      <c r="U197" s="94" t="s">
        <v>427</v>
      </c>
      <c r="V197" s="15">
        <f t="shared" si="167"/>
        <v>45947</v>
      </c>
      <c r="W197" s="60">
        <f t="shared" si="243"/>
        <v>70.5</v>
      </c>
      <c r="X197" s="61">
        <f t="shared" si="244"/>
        <v>-3.4899999999999949</v>
      </c>
      <c r="Y197" s="62">
        <f>((W197-MAX(W$16:W197))/MAX(W$16:W197))</f>
        <v>-4.7168536288687592E-2</v>
      </c>
      <c r="Z197" s="16">
        <f t="shared" si="245"/>
        <v>-4.7168536288687592E-2</v>
      </c>
      <c r="AA197" s="153"/>
      <c r="AC197" s="16">
        <f t="shared" si="317"/>
        <v>3.0249890398947727E-2</v>
      </c>
      <c r="AD197" s="16">
        <f t="shared" ref="AD197" si="329">AD193</f>
        <v>6.5409846506591873E-2</v>
      </c>
      <c r="AE197" s="16">
        <f t="shared" si="325"/>
        <v>2.6842607439085998E-2</v>
      </c>
      <c r="AF197" s="16" t="str">
        <f t="shared" si="321"/>
        <v>Medium Volatility</v>
      </c>
      <c r="AG197" s="14" t="str">
        <f t="shared" si="293"/>
        <v>Strong Uptrend</v>
      </c>
      <c r="AI197" s="92" t="s">
        <v>411</v>
      </c>
      <c r="AJ197" s="95">
        <v>419300</v>
      </c>
      <c r="AK197" s="96">
        <v>421300</v>
      </c>
      <c r="AL197" s="15">
        <f t="shared" si="281"/>
        <v>45947</v>
      </c>
      <c r="AM197" s="60">
        <f t="shared" si="271"/>
        <v>42.13</v>
      </c>
      <c r="AN197" s="61">
        <f t="shared" si="272"/>
        <v>0.19000000000000483</v>
      </c>
      <c r="AO197" s="62">
        <f>((AM197-MAX(AM$16:AM197))/MAX(AM$16:AM197))</f>
        <v>0</v>
      </c>
      <c r="AP197" s="16">
        <f t="shared" si="273"/>
        <v>4.5302813543158047E-3</v>
      </c>
      <c r="AQ197" s="153"/>
      <c r="AS197" s="16">
        <f t="shared" si="306"/>
        <v>6.931166347992331E-3</v>
      </c>
      <c r="AT197" s="77">
        <f t="shared" ref="AT197:AV197" si="330">AT196</f>
        <v>4.5826066140007785E-3</v>
      </c>
      <c r="AU197" s="16">
        <f t="shared" si="330"/>
        <v>1.9477775366109791E-3</v>
      </c>
      <c r="AV197" s="16" t="str">
        <f t="shared" si="330"/>
        <v>Low Volatility</v>
      </c>
      <c r="AW197" s="14" t="str">
        <f t="shared" si="294"/>
        <v>Stable</v>
      </c>
    </row>
    <row r="198" spans="1:49" ht="20.100000000000001" hidden="1" customHeight="1" thickBot="1">
      <c r="A198" s="104" t="s">
        <v>412</v>
      </c>
      <c r="B198" s="106" t="s">
        <v>543</v>
      </c>
      <c r="C198" s="106" t="s">
        <v>545</v>
      </c>
      <c r="D198" s="15">
        <f t="shared" si="164"/>
        <v>45948</v>
      </c>
      <c r="E198" s="60">
        <f t="shared" si="278"/>
        <v>6210</v>
      </c>
      <c r="F198" s="61">
        <f t="shared" si="327"/>
        <v>-110</v>
      </c>
      <c r="G198" s="62">
        <f>((E198-MAX(E$16:E198))/MAX(E$16:E198))</f>
        <v>-1.740506329113924E-2</v>
      </c>
      <c r="H198" s="16">
        <f t="shared" si="171"/>
        <v>-1.740506329113924E-2</v>
      </c>
      <c r="I198" s="153"/>
      <c r="K198" s="16">
        <f t="shared" si="279"/>
        <v>8.3769633507853408E-2</v>
      </c>
      <c r="L198" s="77">
        <f>L197</f>
        <v>6.293950644245469E-2</v>
      </c>
      <c r="M198" s="16">
        <f t="shared" ref="M198:N198" si="331">M197</f>
        <v>1.8694093185143101E-2</v>
      </c>
      <c r="N198" s="16" t="str">
        <f t="shared" si="331"/>
        <v>Low Volatility</v>
      </c>
      <c r="O198" s="14" t="str">
        <f t="shared" si="263"/>
        <v>Strong Uptrend</v>
      </c>
      <c r="S198" s="92" t="s">
        <v>412</v>
      </c>
      <c r="T198" s="93" t="s">
        <v>43</v>
      </c>
      <c r="U198" s="94" t="s">
        <v>430</v>
      </c>
      <c r="V198" s="15">
        <f t="shared" si="167"/>
        <v>45948</v>
      </c>
      <c r="W198" s="60">
        <f t="shared" si="243"/>
        <v>71.510000000000005</v>
      </c>
      <c r="X198" s="61">
        <f t="shared" si="244"/>
        <v>1.0100000000000051</v>
      </c>
      <c r="Y198" s="62">
        <f>((W198-MAX(W$16:W198))/MAX(W$16:W198))</f>
        <v>-3.3518042978780783E-2</v>
      </c>
      <c r="Z198" s="16">
        <f t="shared" si="245"/>
        <v>1.4326241134751845E-2</v>
      </c>
      <c r="AA198" s="153"/>
      <c r="AC198" s="16">
        <f t="shared" si="317"/>
        <v>2.3765211166786128E-2</v>
      </c>
      <c r="AD198" s="16">
        <f t="shared" ref="AD198" si="332">AD193</f>
        <v>6.5409846506591873E-2</v>
      </c>
      <c r="AE198" s="16">
        <f t="shared" si="325"/>
        <v>2.6842607439085998E-2</v>
      </c>
      <c r="AF198" s="16" t="str">
        <f t="shared" si="321"/>
        <v>Medium Volatility</v>
      </c>
      <c r="AG198" s="14" t="str">
        <f t="shared" si="293"/>
        <v>Strong Uptrend</v>
      </c>
      <c r="AI198" s="92" t="s">
        <v>412</v>
      </c>
      <c r="AJ198" s="95">
        <v>421200</v>
      </c>
      <c r="AK198" s="96">
        <v>421200</v>
      </c>
      <c r="AL198" s="15">
        <f t="shared" si="281"/>
        <v>45948</v>
      </c>
      <c r="AM198" s="60">
        <f t="shared" si="271"/>
        <v>42.12</v>
      </c>
      <c r="AN198" s="61">
        <f t="shared" si="272"/>
        <v>-1.0000000000005116E-2</v>
      </c>
      <c r="AO198" s="62">
        <f>((AM198-MAX(AM$16:AM198))/MAX(AM$16:AM198))</f>
        <v>-2.3736055067659898E-4</v>
      </c>
      <c r="AP198" s="16">
        <f t="shared" si="273"/>
        <v>-2.3736055067659898E-4</v>
      </c>
      <c r="AQ198" s="153"/>
      <c r="AS198" s="16">
        <f t="shared" si="306"/>
        <v>6.932823332536437E-3</v>
      </c>
      <c r="AT198" s="77">
        <f t="shared" ref="AT198:AV198" si="333">AT197</f>
        <v>4.5826066140007785E-3</v>
      </c>
      <c r="AU198" s="16">
        <f t="shared" si="333"/>
        <v>1.9477775366109791E-3</v>
      </c>
      <c r="AV198" s="16" t="str">
        <f t="shared" si="333"/>
        <v>Low Volatility</v>
      </c>
      <c r="AW198" s="14" t="str">
        <f t="shared" si="294"/>
        <v>Stable</v>
      </c>
    </row>
    <row r="199" spans="1:49" ht="26.25" hidden="1" thickBot="1">
      <c r="A199" s="104" t="s">
        <v>413</v>
      </c>
      <c r="B199" s="106" t="s">
        <v>543</v>
      </c>
      <c r="C199" s="106" t="s">
        <v>545</v>
      </c>
      <c r="D199" s="15">
        <f t="shared" si="164"/>
        <v>45949</v>
      </c>
      <c r="E199" s="60">
        <f t="shared" si="278"/>
        <v>6210</v>
      </c>
      <c r="F199" s="61">
        <f t="shared" si="327"/>
        <v>0</v>
      </c>
      <c r="G199" s="62">
        <f>((E199-MAX(E$16:E199))/MAX(E$16:E199))</f>
        <v>-1.740506329113924E-2</v>
      </c>
      <c r="H199" s="16">
        <f t="shared" si="171"/>
        <v>0</v>
      </c>
      <c r="I199" s="153"/>
      <c r="K199" s="16">
        <f t="shared" si="279"/>
        <v>8.3769633507853408E-2</v>
      </c>
      <c r="L199" s="77">
        <f>L198</f>
        <v>6.293950644245469E-2</v>
      </c>
      <c r="M199" s="16">
        <f t="shared" ref="M199:N199" si="334">M198</f>
        <v>1.8694093185143101E-2</v>
      </c>
      <c r="N199" s="16" t="str">
        <f t="shared" si="334"/>
        <v>Low Volatility</v>
      </c>
      <c r="O199" s="14" t="str">
        <f t="shared" si="263"/>
        <v>Strong Uptrend</v>
      </c>
      <c r="S199" s="92" t="s">
        <v>413</v>
      </c>
      <c r="T199" s="93" t="s">
        <v>43</v>
      </c>
      <c r="U199" s="94" t="s">
        <v>430</v>
      </c>
      <c r="V199" s="15">
        <f t="shared" si="167"/>
        <v>45949</v>
      </c>
      <c r="W199" s="60">
        <f t="shared" si="243"/>
        <v>71.510000000000005</v>
      </c>
      <c r="X199" s="61">
        <f t="shared" si="244"/>
        <v>0</v>
      </c>
      <c r="Y199" s="62">
        <f>((W199-MAX(W$16:W199))/MAX(W$16:W199))</f>
        <v>-3.3518042978780783E-2</v>
      </c>
      <c r="Z199" s="16">
        <f t="shared" si="245"/>
        <v>0</v>
      </c>
      <c r="AA199" s="153"/>
      <c r="AC199" s="16">
        <f t="shared" si="317"/>
        <v>2.3765211166786128E-2</v>
      </c>
      <c r="AD199" s="16">
        <f t="shared" ref="AD199" si="335">AD193</f>
        <v>6.5409846506591873E-2</v>
      </c>
      <c r="AE199" s="16">
        <f t="shared" si="325"/>
        <v>2.6842607439085998E-2</v>
      </c>
      <c r="AF199" s="16" t="str">
        <f t="shared" si="321"/>
        <v>Medium Volatility</v>
      </c>
      <c r="AG199" s="14" t="str">
        <f t="shared" si="293"/>
        <v>Strong Uptrend</v>
      </c>
      <c r="AJ199" s="95">
        <v>421200</v>
      </c>
      <c r="AK199" s="96">
        <v>421200</v>
      </c>
      <c r="AL199" s="15">
        <f t="shared" si="281"/>
        <v>45949</v>
      </c>
      <c r="AM199" s="60">
        <f t="shared" si="271"/>
        <v>42.12</v>
      </c>
      <c r="AN199" s="61">
        <f t="shared" si="272"/>
        <v>0</v>
      </c>
      <c r="AO199" s="62">
        <f>((AM199-MAX(AM$16:AM199))/MAX(AM$16:AM199))</f>
        <v>-2.3736055067659898E-4</v>
      </c>
      <c r="AP199" s="16">
        <f t="shared" si="273"/>
        <v>0</v>
      </c>
      <c r="AQ199" s="153"/>
      <c r="AS199" s="16">
        <f t="shared" si="306"/>
        <v>6.932823332536437E-3</v>
      </c>
      <c r="AT199" s="77">
        <f t="shared" ref="AT199:AV199" si="336">AT198</f>
        <v>4.5826066140007785E-3</v>
      </c>
      <c r="AU199" s="16">
        <f t="shared" si="336"/>
        <v>1.9477775366109791E-3</v>
      </c>
      <c r="AV199" s="16" t="str">
        <f t="shared" si="336"/>
        <v>Low Volatility</v>
      </c>
      <c r="AW199" s="14" t="str">
        <f t="shared" si="294"/>
        <v>Stable</v>
      </c>
    </row>
    <row r="200" spans="1:49" ht="26.25" hidden="1" thickBot="1">
      <c r="A200" s="104" t="s">
        <v>414</v>
      </c>
      <c r="B200" s="105" t="s">
        <v>543</v>
      </c>
      <c r="C200" s="105" t="s">
        <v>546</v>
      </c>
      <c r="D200" s="15">
        <f t="shared" si="164"/>
        <v>45950</v>
      </c>
      <c r="E200" s="60">
        <f t="shared" si="278"/>
        <v>6290</v>
      </c>
      <c r="F200" s="61">
        <f t="shared" si="327"/>
        <v>80</v>
      </c>
      <c r="G200" s="62">
        <f>((E200-MAX(E$16:E200))/MAX(E$16:E200))</f>
        <v>-4.7468354430379748E-3</v>
      </c>
      <c r="H200" s="16">
        <f t="shared" si="171"/>
        <v>1.2882447665056361E-2</v>
      </c>
      <c r="I200" s="153">
        <f>AVERAGEIFS(E200:E207, E200:E207, "&gt;=0")</f>
        <v>6023.75</v>
      </c>
      <c r="K200" s="16">
        <f t="shared" si="279"/>
        <v>9.0121317157712308E-2</v>
      </c>
      <c r="L200" s="77">
        <f t="shared" ref="L200" si="337">(I200-I193)/I193</f>
        <v>-9.90302432610125E-3</v>
      </c>
      <c r="M200" s="16" cm="1">
        <f t="array" ref="M200">_xlfn.STDEV.S(_xlfn._xlws.FILTER(F200:F206, ISNUMBER(F200:F206))) / I200</f>
        <v>1.9845242540028799E-2</v>
      </c>
      <c r="N200" s="16" t="str" cm="1">
        <f t="array" ref="N200">_xlfn.LET(
  _xlpm.c, M21,
  IFERROR(
    _xlfn.IFS(_xlpm.c&lt;0.02,"Low Volatility",
        _xlpm.c&gt;0.1,"High Volatility",
        TRUE,"Medium Volatility"),
    "Insufficient data"
  )
)</f>
        <v>Low Volatility</v>
      </c>
      <c r="O200" s="14" t="str">
        <f t="shared" si="263"/>
        <v>Weak/Unconfirmed</v>
      </c>
      <c r="S200" s="92" t="s">
        <v>414</v>
      </c>
      <c r="T200" s="93" t="s">
        <v>43</v>
      </c>
      <c r="U200" s="94" t="s">
        <v>431</v>
      </c>
      <c r="V200" s="15">
        <f t="shared" si="167"/>
        <v>45950</v>
      </c>
      <c r="W200" s="60">
        <f t="shared" si="243"/>
        <v>71.819999999999993</v>
      </c>
      <c r="X200" s="61">
        <f t="shared" si="244"/>
        <v>0.30999999999998806</v>
      </c>
      <c r="Y200" s="62">
        <f>((W200-MAX(W$16:W200))/MAX(W$16:W200))</f>
        <v>-2.9328287606433325E-2</v>
      </c>
      <c r="Z200" s="16">
        <f t="shared" si="245"/>
        <v>4.3350580338412537E-3</v>
      </c>
      <c r="AA200" s="153">
        <f t="shared" ref="AA200" si="338">AVERAGEIFS(W200:W206, W200:W206, "&gt;=0")</f>
        <v>67.47</v>
      </c>
      <c r="AC200" s="16">
        <f t="shared" si="317"/>
        <v>5.7414927881248648E-3</v>
      </c>
      <c r="AD200" s="66">
        <f t="shared" ref="AD200" si="339">(AA200-AA193)/AA193</f>
        <v>-5.8883309421329556E-2</v>
      </c>
      <c r="AE200" s="16" cm="1">
        <f t="array" ref="AE200">_xlfn.STDEV.S(_xlfn._xlws.FILTER(X200:X206, ISNUMBER(X200:X206))) / AA200</f>
        <v>2.7934275537645104E-2</v>
      </c>
      <c r="AF200" s="17" t="str">
        <f>AF194</f>
        <v>Medium Volatility</v>
      </c>
      <c r="AG200" s="14" t="str">
        <f t="shared" ref="AG200:AG206" si="340">IF(AND(AC200 &gt; 0.01, AD200 &gt; 0.01), "Strong Uptrend",
 IF(AND(AC200 &lt; -0.01, AD200 &lt; -0.01), "Strong Downtrend",
 IF(ABS(AD200) &lt; 0.005, "Stable", "Weak/Unconfirmed")))</f>
        <v>Weak/Unconfirmed</v>
      </c>
      <c r="AI200" s="92" t="s">
        <v>414</v>
      </c>
      <c r="AJ200" s="95">
        <v>420700</v>
      </c>
      <c r="AK200" s="96">
        <v>420100</v>
      </c>
      <c r="AL200" s="15">
        <f t="shared" si="281"/>
        <v>45950</v>
      </c>
      <c r="AM200" s="60">
        <f t="shared" si="271"/>
        <v>42.01</v>
      </c>
      <c r="AN200" s="61">
        <f t="shared" si="272"/>
        <v>-0.10999999999999943</v>
      </c>
      <c r="AO200" s="62">
        <f>((AM200-MAX(AM$16:AM200))/MAX(AM$16:AM200))</f>
        <v>-2.8483266081178386E-3</v>
      </c>
      <c r="AP200" s="16">
        <f t="shared" si="273"/>
        <v>-2.6115859449192648E-3</v>
      </c>
      <c r="AQ200" s="153">
        <f t="shared" si="289"/>
        <v>42.024285714285718</v>
      </c>
      <c r="AS200" s="16">
        <f t="shared" si="306"/>
        <v>5.9865900383141765E-3</v>
      </c>
      <c r="AT200" s="77">
        <f>(AQ200-AQ193)/AQ193</f>
        <v>1.4297872340426074E-3</v>
      </c>
      <c r="AU200" s="16" cm="1">
        <f t="array" ref="AU200">_xlfn.STDEV.S(_xlfn._xlws.FILTER(AN200:AN206, ISNUMBER(AN200:AN206))) / AQ200</f>
        <v>1.0717532563099318E-3</v>
      </c>
      <c r="AV200" s="16" t="str">
        <f>IF(AU200 &lt; 0.02, "Low Volatility",
 IF(AU200 &gt; 0.1, "High Volatility", "Medium Volatility"))</f>
        <v>Low Volatility</v>
      </c>
      <c r="AW200" s="14" t="str">
        <f t="shared" si="294"/>
        <v>Stable</v>
      </c>
    </row>
    <row r="201" spans="1:49" ht="26.25" hidden="1" thickBot="1">
      <c r="A201" s="104" t="s">
        <v>415</v>
      </c>
      <c r="B201" s="105" t="s">
        <v>546</v>
      </c>
      <c r="C201" s="105" t="s">
        <v>543</v>
      </c>
      <c r="D201" s="15">
        <f t="shared" si="164"/>
        <v>45951</v>
      </c>
      <c r="E201" s="60">
        <f t="shared" si="278"/>
        <v>6150</v>
      </c>
      <c r="F201" s="61">
        <f t="shared" si="327"/>
        <v>-140</v>
      </c>
      <c r="G201" s="62">
        <f>((E201-MAX(E$16:E201))/MAX(E$16:E201))</f>
        <v>-2.6898734177215191E-2</v>
      </c>
      <c r="H201" s="16">
        <f t="shared" si="171"/>
        <v>-2.2257551669316374E-2</v>
      </c>
      <c r="I201" s="153"/>
      <c r="K201" s="16">
        <f t="shared" si="279"/>
        <v>6.1809392265193372E-2</v>
      </c>
      <c r="L201" s="77">
        <f t="shared" ref="L201" si="341">L200</f>
        <v>-9.90302432610125E-3</v>
      </c>
      <c r="M201" s="16">
        <f>M200</f>
        <v>1.9845242540028799E-2</v>
      </c>
      <c r="N201" s="16" t="str">
        <f t="shared" ref="N201" si="342">N200</f>
        <v>Low Volatility</v>
      </c>
      <c r="O201" s="14" t="str">
        <f t="shared" ref="O201:O206" si="343">IF(AND(K201 &gt; 0.01, L201 &gt; 0.01), "Strong Uptrend",
 IF(AND(K201 &lt; -0.01, L201 &lt; -0.01), "Strong Downtrend",
 IF(ABS(L201) &lt; 0.005, "Stable", "Weak/Unconfirmed")))</f>
        <v>Weak/Unconfirmed</v>
      </c>
      <c r="S201" s="92" t="s">
        <v>415</v>
      </c>
      <c r="T201" s="93" t="s">
        <v>43</v>
      </c>
      <c r="U201" s="94" t="s">
        <v>432</v>
      </c>
      <c r="V201" s="15">
        <f t="shared" si="167"/>
        <v>45951</v>
      </c>
      <c r="W201" s="60">
        <f t="shared" si="243"/>
        <v>66.94</v>
      </c>
      <c r="X201" s="61">
        <f t="shared" si="244"/>
        <v>-4.8799999999999955</v>
      </c>
      <c r="Y201" s="62">
        <f>((W201-MAX(W$16:W201))/MAX(W$16:W201))</f>
        <v>-9.5283146371131208E-2</v>
      </c>
      <c r="Z201" s="16">
        <f t="shared" si="245"/>
        <v>-6.7947646895015257E-2</v>
      </c>
      <c r="AA201" s="153"/>
      <c r="AC201" s="16">
        <f t="shared" si="317"/>
        <v>-5.0496453900709254E-2</v>
      </c>
      <c r="AD201" s="16">
        <f t="shared" ref="AD201" si="344">AD200</f>
        <v>-5.8883309421329556E-2</v>
      </c>
      <c r="AE201" s="16" cm="1">
        <f t="array" ref="AE201">_xlfn.STDEV.S(_xlfn._xlws.FILTER(X200:X206, ISNUMBER(X200:X206))) / AA200</f>
        <v>2.7934275537645104E-2</v>
      </c>
      <c r="AF201" s="16" t="str">
        <f>IF(AE201 &lt; 0.02, "Low Volatility",
 IF(AE201 &gt; 0.1, "High Volatility", "Medium Volatility"))</f>
        <v>Medium Volatility</v>
      </c>
      <c r="AG201" s="14" t="str">
        <f t="shared" si="340"/>
        <v>Strong Downtrend</v>
      </c>
      <c r="AI201" s="92" t="s">
        <v>415</v>
      </c>
      <c r="AJ201" s="95">
        <v>420100</v>
      </c>
      <c r="AK201" s="96">
        <v>420400</v>
      </c>
      <c r="AL201" s="15">
        <f t="shared" si="281"/>
        <v>45951</v>
      </c>
      <c r="AM201" s="60">
        <f t="shared" si="271"/>
        <v>42.04</v>
      </c>
      <c r="AN201" s="61">
        <f t="shared" si="272"/>
        <v>3.0000000000001137E-2</v>
      </c>
      <c r="AO201" s="62">
        <f>((AM201-MAX(AM$16:AM201))/MAX(AM$16:AM201))</f>
        <v>-2.1362449560883789E-3</v>
      </c>
      <c r="AP201" s="16">
        <f t="shared" si="273"/>
        <v>7.1411568674127916E-4</v>
      </c>
      <c r="AQ201" s="153"/>
      <c r="AS201" s="16">
        <f t="shared" si="306"/>
        <v>5.5010762975363997E-3</v>
      </c>
      <c r="AT201" s="77">
        <f>AT200</f>
        <v>1.4297872340426074E-3</v>
      </c>
      <c r="AU201" s="16">
        <f>AU200</f>
        <v>1.0717532563099318E-3</v>
      </c>
      <c r="AV201" s="16" t="str">
        <f>AV200</f>
        <v>Low Volatility</v>
      </c>
      <c r="AW201" s="14" t="str">
        <f t="shared" si="294"/>
        <v>Stable</v>
      </c>
    </row>
    <row r="202" spans="1:49" ht="26.25" hidden="1" thickBot="1">
      <c r="A202" s="104" t="s">
        <v>416</v>
      </c>
      <c r="B202" s="105" t="s">
        <v>543</v>
      </c>
      <c r="C202" s="105" t="s">
        <v>547</v>
      </c>
      <c r="D202" s="15">
        <f t="shared" si="164"/>
        <v>45952</v>
      </c>
      <c r="E202" s="60">
        <f t="shared" si="278"/>
        <v>5910</v>
      </c>
      <c r="F202" s="61">
        <f t="shared" si="327"/>
        <v>-240</v>
      </c>
      <c r="G202" s="62">
        <f>((E202-MAX(E$16:E202))/MAX(E$16:E202))</f>
        <v>-6.4873417721518986E-2</v>
      </c>
      <c r="H202" s="16">
        <f t="shared" si="171"/>
        <v>-3.9024390243902439E-2</v>
      </c>
      <c r="I202" s="153"/>
      <c r="K202" s="16">
        <f t="shared" si="279"/>
        <v>-3.3726812816188868E-3</v>
      </c>
      <c r="L202" s="77">
        <f t="shared" ref="L202" si="345">L201</f>
        <v>-9.90302432610125E-3</v>
      </c>
      <c r="M202" s="16">
        <f>M201</f>
        <v>1.9845242540028799E-2</v>
      </c>
      <c r="N202" s="16" t="str">
        <f t="shared" ref="N202" si="346">N201</f>
        <v>Low Volatility</v>
      </c>
      <c r="O202" s="14" t="str">
        <f t="shared" si="343"/>
        <v>Weak/Unconfirmed</v>
      </c>
      <c r="S202" s="92" t="s">
        <v>416</v>
      </c>
      <c r="T202" s="93" t="s">
        <v>43</v>
      </c>
      <c r="U202" s="94" t="s">
        <v>433</v>
      </c>
      <c r="V202" s="15">
        <f t="shared" si="167"/>
        <v>45952</v>
      </c>
      <c r="W202" s="60">
        <f t="shared" si="243"/>
        <v>66.44</v>
      </c>
      <c r="X202" s="61">
        <f t="shared" si="244"/>
        <v>-0.5</v>
      </c>
      <c r="Y202" s="62">
        <f>((W202-MAX(W$16:W202))/MAX(W$16:W202))</f>
        <v>-0.10204081632653059</v>
      </c>
      <c r="Z202" s="16">
        <f t="shared" si="245"/>
        <v>-7.4693755602031672E-3</v>
      </c>
      <c r="AA202" s="153"/>
      <c r="AC202" s="16">
        <f t="shared" si="317"/>
        <v>-8.2573874620270701E-2</v>
      </c>
      <c r="AD202" s="16">
        <f t="shared" ref="AD202" si="347">AD200</f>
        <v>-5.8883309421329556E-2</v>
      </c>
      <c r="AE202" s="16">
        <f>AE201</f>
        <v>2.7934275537645104E-2</v>
      </c>
      <c r="AF202" s="16" t="str">
        <f t="shared" ref="AF202:AF206" si="348">AF201</f>
        <v>Medium Volatility</v>
      </c>
      <c r="AG202" s="14" t="str">
        <f t="shared" si="340"/>
        <v>Strong Downtrend</v>
      </c>
      <c r="AI202" s="92" t="s">
        <v>416</v>
      </c>
      <c r="AJ202" s="95">
        <v>420500</v>
      </c>
      <c r="AK202" s="96">
        <v>420400</v>
      </c>
      <c r="AL202" s="15">
        <f t="shared" si="281"/>
        <v>45952</v>
      </c>
      <c r="AM202" s="60">
        <f t="shared" si="271"/>
        <v>42.04</v>
      </c>
      <c r="AN202" s="61">
        <f t="shared" si="272"/>
        <v>0</v>
      </c>
      <c r="AO202" s="62">
        <f>((AM202-MAX(AM$16:AM202))/MAX(AM$16:AM202))</f>
        <v>-2.1362449560883789E-3</v>
      </c>
      <c r="AP202" s="16">
        <f t="shared" si="273"/>
        <v>0</v>
      </c>
      <c r="AQ202" s="153"/>
      <c r="AS202" s="16">
        <f t="shared" si="306"/>
        <v>4.0601862909004473E-3</v>
      </c>
      <c r="AT202" s="77">
        <f t="shared" ref="AT202:AV202" si="349">AT201</f>
        <v>1.4297872340426074E-3</v>
      </c>
      <c r="AU202" s="16">
        <f t="shared" si="349"/>
        <v>1.0717532563099318E-3</v>
      </c>
      <c r="AV202" s="16" t="str">
        <f t="shared" si="349"/>
        <v>Low Volatility</v>
      </c>
      <c r="AW202" s="14" t="str">
        <f t="shared" si="294"/>
        <v>Stable</v>
      </c>
    </row>
    <row r="203" spans="1:49" ht="26.25" hidden="1" thickBot="1">
      <c r="A203" s="104" t="s">
        <v>417</v>
      </c>
      <c r="B203" s="105" t="s">
        <v>547</v>
      </c>
      <c r="C203" s="105" t="s">
        <v>548</v>
      </c>
      <c r="D203" s="15">
        <f t="shared" si="164"/>
        <v>45953</v>
      </c>
      <c r="E203" s="60">
        <f t="shared" si="278"/>
        <v>5990</v>
      </c>
      <c r="F203" s="61">
        <f t="shared" si="327"/>
        <v>80</v>
      </c>
      <c r="G203" s="62">
        <f>((E203-MAX(E$16:E203))/MAX(E$16:E203))</f>
        <v>-5.2215189873417722E-2</v>
      </c>
      <c r="H203" s="16">
        <f t="shared" si="171"/>
        <v>1.3536379018612521E-2</v>
      </c>
      <c r="I203" s="153"/>
      <c r="K203" s="16">
        <f t="shared" si="279"/>
        <v>-2.6016260162601626E-2</v>
      </c>
      <c r="L203" s="77">
        <f t="shared" ref="L203:N203" si="350">L202</f>
        <v>-9.90302432610125E-3</v>
      </c>
      <c r="M203" s="16">
        <f t="shared" si="350"/>
        <v>1.9845242540028799E-2</v>
      </c>
      <c r="N203" s="16" t="str">
        <f t="shared" si="350"/>
        <v>Low Volatility</v>
      </c>
      <c r="O203" s="14" t="str">
        <f t="shared" si="343"/>
        <v>Weak/Unconfirmed</v>
      </c>
      <c r="S203" s="92" t="s">
        <v>417</v>
      </c>
      <c r="T203" s="93" t="s">
        <v>43</v>
      </c>
      <c r="U203" s="94" t="s">
        <v>434</v>
      </c>
      <c r="V203" s="15">
        <f t="shared" si="167"/>
        <v>45953</v>
      </c>
      <c r="W203" s="60">
        <f t="shared" si="243"/>
        <v>66.92</v>
      </c>
      <c r="X203" s="61">
        <f t="shared" si="244"/>
        <v>0.48000000000000398</v>
      </c>
      <c r="Y203" s="62">
        <f>((W203-MAX(W$16:W203))/MAX(W$16:W203))</f>
        <v>-9.555345316934713E-2</v>
      </c>
      <c r="Z203" s="16">
        <f t="shared" si="245"/>
        <v>7.2245635159543043E-3</v>
      </c>
      <c r="AA203" s="153"/>
      <c r="AC203" s="16">
        <f t="shared" si="317"/>
        <v>-9.555345316934713E-2</v>
      </c>
      <c r="AD203" s="16">
        <f t="shared" ref="AD203" si="351">AD200</f>
        <v>-5.8883309421329556E-2</v>
      </c>
      <c r="AE203" s="16">
        <f t="shared" ref="AE203:AE206" si="352">AE202</f>
        <v>2.7934275537645104E-2</v>
      </c>
      <c r="AF203" s="16" t="str">
        <f t="shared" si="348"/>
        <v>Medium Volatility</v>
      </c>
      <c r="AG203" s="14" t="str">
        <f t="shared" si="340"/>
        <v>Strong Downtrend</v>
      </c>
      <c r="AI203" s="92" t="s">
        <v>417</v>
      </c>
      <c r="AJ203" s="95">
        <v>420300</v>
      </c>
      <c r="AK203" s="96">
        <v>420300</v>
      </c>
      <c r="AL203" s="15">
        <f t="shared" si="281"/>
        <v>45953</v>
      </c>
      <c r="AM203" s="60">
        <f t="shared" si="271"/>
        <v>42.03</v>
      </c>
      <c r="AN203" s="61">
        <f t="shared" si="272"/>
        <v>-9.9999999999980105E-3</v>
      </c>
      <c r="AO203" s="62">
        <f>((AM203-MAX(AM$16:AM203))/MAX(AM$16:AM203))</f>
        <v>-2.3736055067648094E-3</v>
      </c>
      <c r="AP203" s="16">
        <f t="shared" si="273"/>
        <v>-2.3786869647949598E-4</v>
      </c>
      <c r="AQ203" s="153"/>
      <c r="AS203" s="16">
        <f t="shared" si="306"/>
        <v>2.1459227467811974E-3</v>
      </c>
      <c r="AT203" s="77">
        <f t="shared" ref="AT203:AV203" si="353">AT202</f>
        <v>1.4297872340426074E-3</v>
      </c>
      <c r="AU203" s="16">
        <f t="shared" si="353"/>
        <v>1.0717532563099318E-3</v>
      </c>
      <c r="AV203" s="16" t="str">
        <f t="shared" si="353"/>
        <v>Low Volatility</v>
      </c>
      <c r="AW203" s="14" t="str">
        <f t="shared" si="294"/>
        <v>Stable</v>
      </c>
    </row>
    <row r="204" spans="1:49" ht="26.25" hidden="1" thickBot="1">
      <c r="A204" s="104" t="s">
        <v>418</v>
      </c>
      <c r="B204" s="105" t="s">
        <v>548</v>
      </c>
      <c r="C204" s="105" t="s">
        <v>549</v>
      </c>
      <c r="D204" s="15">
        <f t="shared" si="164"/>
        <v>45954</v>
      </c>
      <c r="E204" s="60">
        <f t="shared" si="278"/>
        <v>6020</v>
      </c>
      <c r="F204" s="61">
        <f t="shared" si="327"/>
        <v>30</v>
      </c>
      <c r="G204" s="62">
        <f>((E204-MAX(E$16:E204))/MAX(E$16:E204))</f>
        <v>-4.746835443037975E-2</v>
      </c>
      <c r="H204" s="16">
        <f t="shared" si="171"/>
        <v>5.008347245409015E-3</v>
      </c>
      <c r="I204" s="153"/>
      <c r="K204" s="16">
        <f t="shared" si="279"/>
        <v>-4.746835443037975E-2</v>
      </c>
      <c r="L204" s="77">
        <f t="shared" ref="L204:N204" si="354">L203</f>
        <v>-9.90302432610125E-3</v>
      </c>
      <c r="M204" s="16">
        <f t="shared" si="354"/>
        <v>1.9845242540028799E-2</v>
      </c>
      <c r="N204" s="16" t="str">
        <f t="shared" si="354"/>
        <v>Low Volatility</v>
      </c>
      <c r="O204" s="14" t="str">
        <f t="shared" si="343"/>
        <v>Weak/Unconfirmed</v>
      </c>
      <c r="S204" s="92" t="s">
        <v>418</v>
      </c>
      <c r="T204" s="93" t="s">
        <v>43</v>
      </c>
      <c r="U204" s="94" t="s">
        <v>435</v>
      </c>
      <c r="V204" s="15">
        <f t="shared" si="167"/>
        <v>45954</v>
      </c>
      <c r="W204" s="60">
        <f t="shared" si="243"/>
        <v>66.64</v>
      </c>
      <c r="X204" s="61">
        <f t="shared" si="244"/>
        <v>-0.28000000000000114</v>
      </c>
      <c r="Y204" s="62">
        <f>((W204-MAX(W$16:W204))/MAX(W$16:W204))</f>
        <v>-9.9337748344370785E-2</v>
      </c>
      <c r="Z204" s="16">
        <f t="shared" si="245"/>
        <v>-4.1841004184100588E-3</v>
      </c>
      <c r="AA204" s="153"/>
      <c r="AC204" s="16">
        <f t="shared" si="317"/>
        <v>-5.4751773049645382E-2</v>
      </c>
      <c r="AD204" s="16">
        <f t="shared" ref="AD204" si="355">AD200</f>
        <v>-5.8883309421329556E-2</v>
      </c>
      <c r="AE204" s="16">
        <f t="shared" si="352"/>
        <v>2.7934275537645104E-2</v>
      </c>
      <c r="AF204" s="16" t="str">
        <f t="shared" si="348"/>
        <v>Medium Volatility</v>
      </c>
      <c r="AG204" s="14" t="str">
        <f t="shared" si="340"/>
        <v>Strong Downtrend</v>
      </c>
      <c r="AI204" s="92" t="s">
        <v>418</v>
      </c>
      <c r="AJ204" s="95">
        <v>420000</v>
      </c>
      <c r="AK204" s="96">
        <v>420100</v>
      </c>
      <c r="AL204" s="15">
        <f t="shared" si="281"/>
        <v>45954</v>
      </c>
      <c r="AM204" s="60">
        <f t="shared" si="271"/>
        <v>42.01</v>
      </c>
      <c r="AN204" s="61">
        <f t="shared" si="272"/>
        <v>-2.0000000000003126E-2</v>
      </c>
      <c r="AO204" s="62">
        <f>((AM204-MAX(AM$16:AM204))/MAX(AM$16:AM204))</f>
        <v>-2.8483266081178386E-3</v>
      </c>
      <c r="AP204" s="16">
        <f t="shared" si="273"/>
        <v>-4.7585058291703847E-4</v>
      </c>
      <c r="AQ204" s="153"/>
      <c r="AS204" s="16">
        <f t="shared" si="306"/>
        <v>-2.8483266081178386E-3</v>
      </c>
      <c r="AT204" s="77">
        <f t="shared" ref="AT204:AV204" si="356">AT203</f>
        <v>1.4297872340426074E-3</v>
      </c>
      <c r="AU204" s="16">
        <f t="shared" si="356"/>
        <v>1.0717532563099318E-3</v>
      </c>
      <c r="AV204" s="16" t="str">
        <f t="shared" si="356"/>
        <v>Low Volatility</v>
      </c>
      <c r="AW204" s="14" t="str">
        <f t="shared" si="294"/>
        <v>Stable</v>
      </c>
    </row>
    <row r="205" spans="1:49" ht="26.25" hidden="1" thickBot="1">
      <c r="A205" s="104" t="s">
        <v>419</v>
      </c>
      <c r="B205" s="106" t="s">
        <v>548</v>
      </c>
      <c r="C205" s="106" t="s">
        <v>549</v>
      </c>
      <c r="D205" s="15">
        <f t="shared" si="164"/>
        <v>45955</v>
      </c>
      <c r="E205" s="60">
        <f t="shared" si="278"/>
        <v>6020</v>
      </c>
      <c r="F205" s="61">
        <f t="shared" si="327"/>
        <v>0</v>
      </c>
      <c r="G205" s="62">
        <f>((E205-MAX(E$16:E205))/MAX(E$16:E205))</f>
        <v>-4.746835443037975E-2</v>
      </c>
      <c r="H205" s="16">
        <f t="shared" si="171"/>
        <v>0</v>
      </c>
      <c r="I205" s="153"/>
      <c r="K205" s="16">
        <f t="shared" si="279"/>
        <v>-3.0595813204508857E-2</v>
      </c>
      <c r="L205" s="77">
        <f t="shared" ref="L205:N205" si="357">L204</f>
        <v>-9.90302432610125E-3</v>
      </c>
      <c r="M205" s="16">
        <f t="shared" si="357"/>
        <v>1.9845242540028799E-2</v>
      </c>
      <c r="N205" s="16" t="str">
        <f t="shared" si="357"/>
        <v>Low Volatility</v>
      </c>
      <c r="O205" s="14" t="str">
        <f t="shared" si="343"/>
        <v>Weak/Unconfirmed</v>
      </c>
      <c r="S205" s="92" t="s">
        <v>419</v>
      </c>
      <c r="T205" s="93" t="s">
        <v>43</v>
      </c>
      <c r="U205" s="94" t="s">
        <v>436</v>
      </c>
      <c r="V205" s="15">
        <f t="shared" si="167"/>
        <v>45955</v>
      </c>
      <c r="W205" s="60">
        <f t="shared" si="243"/>
        <v>66.73</v>
      </c>
      <c r="X205" s="61">
        <f t="shared" si="244"/>
        <v>9.0000000000003411E-2</v>
      </c>
      <c r="Y205" s="62">
        <f>((W205-MAX(W$16:W205))/MAX(W$16:W205))</f>
        <v>-9.8121367752398853E-2</v>
      </c>
      <c r="Z205" s="16">
        <f t="shared" si="245"/>
        <v>1.3505402160864858E-3</v>
      </c>
      <c r="AA205" s="153"/>
      <c r="AC205" s="16">
        <f t="shared" si="317"/>
        <v>-6.6843798070199981E-2</v>
      </c>
      <c r="AD205" s="16">
        <f t="shared" ref="AD205" si="358">AD200</f>
        <v>-5.8883309421329556E-2</v>
      </c>
      <c r="AE205" s="16">
        <f t="shared" si="352"/>
        <v>2.7934275537645104E-2</v>
      </c>
      <c r="AF205" s="16" t="str">
        <f t="shared" si="348"/>
        <v>Medium Volatility</v>
      </c>
      <c r="AG205" s="14" t="str">
        <f t="shared" si="340"/>
        <v>Strong Downtrend</v>
      </c>
      <c r="AI205" s="92" t="s">
        <v>419</v>
      </c>
      <c r="AJ205" s="95">
        <v>420000</v>
      </c>
      <c r="AK205" s="96">
        <v>420200</v>
      </c>
      <c r="AL205" s="15">
        <f t="shared" si="281"/>
        <v>45955</v>
      </c>
      <c r="AM205" s="60">
        <f t="shared" si="271"/>
        <v>42.02</v>
      </c>
      <c r="AN205" s="61">
        <f t="shared" si="272"/>
        <v>1.0000000000005116E-2</v>
      </c>
      <c r="AO205" s="62">
        <f>((AM205-MAX(AM$16:AM205))/MAX(AM$16:AM205))</f>
        <v>-2.6109660574412394E-3</v>
      </c>
      <c r="AP205" s="16">
        <f t="shared" si="273"/>
        <v>2.3803856224720581E-4</v>
      </c>
      <c r="AQ205" s="153"/>
      <c r="AS205" s="16">
        <f t="shared" si="306"/>
        <v>-2.3741690408355725E-3</v>
      </c>
      <c r="AT205" s="77">
        <f t="shared" ref="AT205:AV205" si="359">AT204</f>
        <v>1.4297872340426074E-3</v>
      </c>
      <c r="AU205" s="16">
        <f t="shared" si="359"/>
        <v>1.0717532563099318E-3</v>
      </c>
      <c r="AV205" s="16" t="str">
        <f t="shared" si="359"/>
        <v>Low Volatility</v>
      </c>
      <c r="AW205" s="14" t="str">
        <f t="shared" si="294"/>
        <v>Stable</v>
      </c>
    </row>
    <row r="206" spans="1:49" ht="26.25" hidden="1" thickBot="1">
      <c r="A206" s="104" t="s">
        <v>420</v>
      </c>
      <c r="B206" s="106" t="s">
        <v>548</v>
      </c>
      <c r="C206" s="106" t="s">
        <v>549</v>
      </c>
      <c r="D206" s="15">
        <f t="shared" si="164"/>
        <v>45956</v>
      </c>
      <c r="E206" s="60">
        <f t="shared" si="278"/>
        <v>6020</v>
      </c>
      <c r="F206" s="61">
        <f t="shared" si="327"/>
        <v>0</v>
      </c>
      <c r="G206" s="62">
        <f>((E206-MAX(E$16:E206))/MAX(E$16:E206))</f>
        <v>-4.746835443037975E-2</v>
      </c>
      <c r="H206" s="16">
        <f t="shared" si="171"/>
        <v>0</v>
      </c>
      <c r="I206" s="153"/>
      <c r="K206" s="16">
        <f t="shared" si="279"/>
        <v>-3.0595813204508857E-2</v>
      </c>
      <c r="L206" s="77">
        <f t="shared" ref="L206:N206" si="360">L205</f>
        <v>-9.90302432610125E-3</v>
      </c>
      <c r="M206" s="16">
        <f t="shared" si="360"/>
        <v>1.9845242540028799E-2</v>
      </c>
      <c r="N206" s="16" t="str">
        <f t="shared" si="360"/>
        <v>Low Volatility</v>
      </c>
      <c r="O206" s="14" t="str">
        <f t="shared" si="343"/>
        <v>Weak/Unconfirmed</v>
      </c>
      <c r="S206" s="92" t="s">
        <v>420</v>
      </c>
      <c r="T206" s="93" t="s">
        <v>43</v>
      </c>
      <c r="U206" s="94" t="s">
        <v>437</v>
      </c>
      <c r="V206" s="15">
        <f t="shared" si="167"/>
        <v>45956</v>
      </c>
      <c r="W206" s="60">
        <f t="shared" si="243"/>
        <v>66.8</v>
      </c>
      <c r="X206" s="61">
        <f t="shared" si="244"/>
        <v>6.9999999999993179E-2</v>
      </c>
      <c r="Y206" s="62">
        <f>((W206-MAX(W$16:W206))/MAX(W$16:W206))</f>
        <v>-9.7175293958643036E-2</v>
      </c>
      <c r="Z206" s="16">
        <f t="shared" si="245"/>
        <v>1.0490034467255083E-3</v>
      </c>
      <c r="AA206" s="153"/>
      <c r="AC206" s="16">
        <f t="shared" si="317"/>
        <v>-6.586491399804234E-2</v>
      </c>
      <c r="AD206" s="16">
        <f t="shared" ref="AD206" si="361">AD200</f>
        <v>-5.8883309421329556E-2</v>
      </c>
      <c r="AE206" s="16">
        <f t="shared" si="352"/>
        <v>2.7934275537645104E-2</v>
      </c>
      <c r="AF206" s="16" t="str">
        <f t="shared" si="348"/>
        <v>Medium Volatility</v>
      </c>
      <c r="AG206" s="14" t="str">
        <f t="shared" si="340"/>
        <v>Strong Downtrend</v>
      </c>
      <c r="AJ206" s="95">
        <v>420000</v>
      </c>
      <c r="AK206" s="96">
        <v>420200</v>
      </c>
      <c r="AL206" s="15">
        <f t="shared" si="281"/>
        <v>45956</v>
      </c>
      <c r="AM206" s="60">
        <f t="shared" si="271"/>
        <v>42.02</v>
      </c>
      <c r="AN206" s="61">
        <f t="shared" si="272"/>
        <v>0</v>
      </c>
      <c r="AO206" s="62">
        <f>((AM206-MAX(AM$16:AM206))/MAX(AM$16:AM206))</f>
        <v>-2.6109660574412394E-3</v>
      </c>
      <c r="AP206" s="16">
        <f t="shared" si="273"/>
        <v>0</v>
      </c>
      <c r="AQ206" s="153"/>
      <c r="AS206" s="16">
        <f t="shared" si="306"/>
        <v>-2.3741690408355725E-3</v>
      </c>
      <c r="AT206" s="77">
        <f t="shared" ref="AT206:AV206" si="362">AT205</f>
        <v>1.4297872340426074E-3</v>
      </c>
      <c r="AU206" s="16">
        <f t="shared" si="362"/>
        <v>1.0717532563099318E-3</v>
      </c>
      <c r="AV206" s="16" t="str">
        <f t="shared" si="362"/>
        <v>Low Volatility</v>
      </c>
      <c r="AW206" s="14" t="str">
        <f t="shared" si="294"/>
        <v>Stable</v>
      </c>
    </row>
    <row r="207" spans="1:49" ht="26.25" hidden="1" thickBot="1">
      <c r="A207" s="104" t="s">
        <v>421</v>
      </c>
      <c r="B207" s="105" t="s">
        <v>548</v>
      </c>
      <c r="C207" s="105" t="s">
        <v>550</v>
      </c>
      <c r="D207" s="15">
        <f t="shared" si="164"/>
        <v>45957</v>
      </c>
      <c r="E207" s="60">
        <f t="shared" si="278"/>
        <v>5790</v>
      </c>
      <c r="F207" s="61">
        <f t="shared" si="327"/>
        <v>-230</v>
      </c>
      <c r="G207" s="62">
        <f>((E207-MAX(E$16:E207))/MAX(E$16:E207))</f>
        <v>-8.3860759493670889E-2</v>
      </c>
      <c r="H207" s="16">
        <f t="shared" si="171"/>
        <v>-3.8205980066445183E-2</v>
      </c>
      <c r="I207" s="153">
        <f>AVERAGEIFS(E207:E214, E207:E214, "&gt;=0")</f>
        <v>5721.25</v>
      </c>
      <c r="K207" s="16">
        <f t="shared" si="279"/>
        <v>-7.9491255961844198E-2</v>
      </c>
      <c r="L207" s="77">
        <f>(I207-I200)/I200</f>
        <v>-5.0217887528532894E-2</v>
      </c>
      <c r="M207" s="16" cm="1">
        <f t="array" ref="M207">_xlfn.STDEV.S(_xlfn._xlws.FILTER(F207:F213, ISNUMBER(F207:F213))) / I207</f>
        <v>1.613941550907521E-2</v>
      </c>
      <c r="N207" s="16" t="str" cm="1">
        <f t="array" ref="N207">_xlfn.LET(
  _xlpm.c, M28,
  IFERROR(
    _xlfn.IFS(_xlpm.c&lt;0.02,"Low Volatility",
        _xlpm.c&gt;0.1,"High Volatility",
        TRUE,"Medium Volatility"),
    "Insufficient data"
  )
)</f>
        <v>Low Volatility</v>
      </c>
      <c r="O207" s="14" t="str">
        <f t="shared" ref="O207:O227" si="363">IF(AND(K207 &gt; 0.01, L207 &gt; 0.01), "Strong Uptrend",
 IF(AND(K207 &lt; -0.01, L207 &lt; -0.01), "Strong Downtrend",
 IF(ABS(L207) &lt; 0.005, "Stable", "Weak/Unconfirmed")))</f>
        <v>Strong Downtrend</v>
      </c>
      <c r="S207" s="92" t="s">
        <v>421</v>
      </c>
      <c r="T207" s="93" t="s">
        <v>43</v>
      </c>
      <c r="U207" s="94" t="s">
        <v>438</v>
      </c>
      <c r="V207" s="15">
        <f t="shared" si="167"/>
        <v>45957</v>
      </c>
      <c r="W207" s="60">
        <f t="shared" si="243"/>
        <v>64.39</v>
      </c>
      <c r="X207" s="61">
        <f t="shared" si="244"/>
        <v>-2.4099999999999966</v>
      </c>
      <c r="Y207" s="62">
        <f>((W207-MAX(W$16:W207))/MAX(W$16:W207))</f>
        <v>-0.129747263143668</v>
      </c>
      <c r="Z207" s="16">
        <f t="shared" si="245"/>
        <v>-3.6077844311377193E-2</v>
      </c>
      <c r="AA207" s="153">
        <f>AVERAGEIFS(W207:W213, W207:W213, "&gt;=0")</f>
        <v>65.315714285714279</v>
      </c>
      <c r="AC207" s="16">
        <f t="shared" si="317"/>
        <v>-0.10345307713728757</v>
      </c>
      <c r="AD207" s="66">
        <f>(AA207-AA200)/AA200</f>
        <v>-3.1929534819708318E-2</v>
      </c>
      <c r="AE207" s="16" cm="1">
        <f t="array" ref="AE207">_xlfn.STDEV.S(_xlfn._xlws.FILTER(X207:X213, ISNUMBER(X207:X213))) / AA207</f>
        <v>2.0932801442374107E-2</v>
      </c>
      <c r="AF207" s="17" t="str">
        <f>AF201</f>
        <v>Medium Volatility</v>
      </c>
      <c r="AG207" s="14" t="str">
        <f t="shared" ref="AG207:AG227" si="364">IF(AND(AC207 &gt; 0.01, AD207 &gt; 0.01), "Strong Uptrend",
 IF(AND(AC207 &lt; -0.01, AD207 &lt; -0.01), "Strong Downtrend",
 IF(ABS(AD207) &lt; 0.005, "Stable", "Weak/Unconfirmed")))</f>
        <v>Strong Downtrend</v>
      </c>
      <c r="AI207" s="92" t="s">
        <v>421</v>
      </c>
      <c r="AJ207" s="95">
        <v>419800</v>
      </c>
      <c r="AK207" s="96">
        <v>419200</v>
      </c>
      <c r="AL207" s="15">
        <f t="shared" si="281"/>
        <v>45957</v>
      </c>
      <c r="AM207" s="60">
        <f t="shared" si="271"/>
        <v>41.92</v>
      </c>
      <c r="AN207" s="61">
        <f t="shared" si="272"/>
        <v>-0.10000000000000142</v>
      </c>
      <c r="AO207" s="62">
        <f>((AM207-MAX(AM$16:AM207))/MAX(AM$16:AM207))</f>
        <v>-4.9845715642060492E-3</v>
      </c>
      <c r="AP207" s="16">
        <f t="shared" si="273"/>
        <v>-2.379819133745869E-3</v>
      </c>
      <c r="AQ207" s="153">
        <f>AVERAGEIFS(AM207:AM213, AM207:AM213, "&gt;=0")</f>
        <v>41.98571428571428</v>
      </c>
      <c r="AS207" s="16">
        <f t="shared" si="306"/>
        <v>-2.1423470602236682E-3</v>
      </c>
      <c r="AT207" s="77">
        <f>(AQ207-AQ200)/AQ200</f>
        <v>-9.1783662508093937E-4</v>
      </c>
      <c r="AU207" s="16" cm="1">
        <f t="array" ref="AU207">_xlfn.STDEV.S(_xlfn._xlws.FILTER(AN207:AN213, ISNUMBER(AN207:AN213))) / AQ207</f>
        <v>1.3322063253114517E-3</v>
      </c>
      <c r="AV207" s="16" t="str">
        <f>IF(AU207 &lt; 0.02, "Low Volatility",
 IF(AU207 &gt; 0.1, "High Volatility", "Medium Volatility"))</f>
        <v>Low Volatility</v>
      </c>
      <c r="AW207" s="14" t="str">
        <f t="shared" ref="AW207:AW227" si="365">IF(AND(AS207 &gt; 0.01, AT207 &gt; 0.01), "Strong Uptrend",
 IF(AND(AS207 &lt; -0.01, AT207 &lt; -0.01), "Strong Downtrend",
 IF(ABS(AT207) &lt; 0.005, "Stable", "Weak/Unconfirmed")))</f>
        <v>Stable</v>
      </c>
    </row>
    <row r="208" spans="1:49" ht="26.25" hidden="1" thickBot="1">
      <c r="A208" s="104" t="s">
        <v>422</v>
      </c>
      <c r="B208" s="105" t="s">
        <v>550</v>
      </c>
      <c r="C208" s="105" t="s">
        <v>551</v>
      </c>
      <c r="D208" s="15">
        <f t="shared" ref="D208:D263" si="366">DATEVALUE(
  SUBSTITUTE(SUBSTITUTE(SUBSTITUTE(SUBSTITUTE(SUBSTITUTE(SUBSTITUTE(SUBSTITUTE(SUBSTITUTE(SUBSTITUTE(SUBSTITUTE(SUBSTITUTE(SUBSTITUTE(A208, "Ocak", "January"), "Şubat", "February"), "Mart", "March"), "Nisan", "April"), "Mayıs", "May"), "Haziran", "June"), "Temmuz", "July"), "Ağustos", "August"), "Eylül", "September"), "Ekim", "October"), "Kasım", "November"), "Aralık", "December")
)</f>
        <v>45958</v>
      </c>
      <c r="E208" s="60">
        <f t="shared" si="278"/>
        <v>5699</v>
      </c>
      <c r="F208" s="61">
        <f t="shared" si="327"/>
        <v>-91</v>
      </c>
      <c r="G208" s="62">
        <f>((E208-MAX(E$16:E208))/MAX(E$16:E208))</f>
        <v>-9.8259493670886072E-2</v>
      </c>
      <c r="H208" s="16">
        <f t="shared" si="171"/>
        <v>-1.5716753022452505E-2</v>
      </c>
      <c r="I208" s="153"/>
      <c r="K208" s="16">
        <f t="shared" si="279"/>
        <v>-7.3333333333333334E-2</v>
      </c>
      <c r="L208" s="77">
        <f t="shared" ref="L208:M213" si="367">L207</f>
        <v>-5.0217887528532894E-2</v>
      </c>
      <c r="M208" s="16">
        <f t="shared" si="367"/>
        <v>1.613941550907521E-2</v>
      </c>
      <c r="N208" s="16" t="str">
        <f t="shared" ref="N208" si="368">N207</f>
        <v>Low Volatility</v>
      </c>
      <c r="O208" s="14" t="str">
        <f t="shared" si="363"/>
        <v>Strong Downtrend</v>
      </c>
      <c r="S208" s="92" t="s">
        <v>422</v>
      </c>
      <c r="T208" s="93" t="s">
        <v>43</v>
      </c>
      <c r="U208" s="94" t="s">
        <v>439</v>
      </c>
      <c r="V208" s="15">
        <f t="shared" ref="V208:V271" si="369">D208</f>
        <v>45958</v>
      </c>
      <c r="W208" s="60">
        <f t="shared" si="243"/>
        <v>64.67</v>
      </c>
      <c r="X208" s="61">
        <f t="shared" si="244"/>
        <v>0.28000000000000114</v>
      </c>
      <c r="Y208" s="62">
        <f>((W208-MAX(W$16:W208))/MAX(W$16:W208))</f>
        <v>-0.12596296796864434</v>
      </c>
      <c r="Z208" s="16">
        <f t="shared" si="245"/>
        <v>4.3485013200807755E-3</v>
      </c>
      <c r="AA208" s="153"/>
      <c r="AC208" s="16">
        <f t="shared" si="317"/>
        <v>-3.3910965043322319E-2</v>
      </c>
      <c r="AD208" s="16">
        <f>AD207</f>
        <v>-3.1929534819708318E-2</v>
      </c>
      <c r="AE208" s="16" cm="1">
        <f t="array" ref="AE208">_xlfn.STDEV.S(_xlfn._xlws.FILTER(X207:X213, ISNUMBER(X207:X213))) / AA207</f>
        <v>2.0932801442374107E-2</v>
      </c>
      <c r="AF208" s="16" t="str">
        <f>IF(AE208 &lt; 0.02, "Low Volatility",
 IF(AE208 &gt; 0.1, "High Volatility", "Medium Volatility"))</f>
        <v>Medium Volatility</v>
      </c>
      <c r="AG208" s="14" t="str">
        <f t="shared" si="364"/>
        <v>Strong Downtrend</v>
      </c>
      <c r="AI208" s="92" t="s">
        <v>422</v>
      </c>
      <c r="AJ208" s="95">
        <v>418800</v>
      </c>
      <c r="AK208" s="96">
        <v>419700</v>
      </c>
      <c r="AL208" s="15">
        <f t="shared" si="281"/>
        <v>45958</v>
      </c>
      <c r="AM208" s="60">
        <f t="shared" si="271"/>
        <v>41.97</v>
      </c>
      <c r="AN208" s="61">
        <f t="shared" si="272"/>
        <v>4.9999999999997158E-2</v>
      </c>
      <c r="AO208" s="62">
        <f>((AM208-MAX(AM$16:AM208))/MAX(AM$16:AM208))</f>
        <v>-3.7977688108237284E-3</v>
      </c>
      <c r="AP208" s="16">
        <f t="shared" si="273"/>
        <v>1.1927480916029856E-3</v>
      </c>
      <c r="AQ208" s="153"/>
      <c r="AS208" s="16">
        <f t="shared" si="306"/>
        <v>-1.6650808753568098E-3</v>
      </c>
      <c r="AT208" s="77">
        <f t="shared" ref="AT208:AV213" si="370">AT207</f>
        <v>-9.1783662508093937E-4</v>
      </c>
      <c r="AU208" s="16">
        <f t="shared" si="370"/>
        <v>1.3322063253114517E-3</v>
      </c>
      <c r="AV208" s="16" t="str">
        <f t="shared" si="370"/>
        <v>Low Volatility</v>
      </c>
      <c r="AW208" s="14" t="str">
        <f t="shared" si="365"/>
        <v>Stable</v>
      </c>
    </row>
    <row r="209" spans="1:49" ht="26.25" hidden="1" thickBot="1">
      <c r="A209" s="104" t="s">
        <v>572</v>
      </c>
      <c r="B209" s="105" t="s">
        <v>550</v>
      </c>
      <c r="C209" s="105" t="s">
        <v>551</v>
      </c>
      <c r="D209" s="15">
        <f>DATEVALUE(
  SUBSTITUTE(SUBSTITUTE(SUBSTITUTE(SUBSTITUTE(SUBSTITUTE(SUBSTITUTE(SUBSTITUTE(SUBSTITUTE(SUBSTITUTE(SUBSTITUTE(SUBSTITUTE(SUBSTITUTE(A210, "Ocak", "January"), "Şubat", "February"), "Mart", "March"), "Nisan", "April"), "Mayıs", "May"), "Haziran", "June"), "Temmuz", "July"), "Ağustos", "August"), "Eylül", "September"), "Ekim", "October"), "Kasım", "November"), "Aralık", "December")
)</f>
        <v>45960</v>
      </c>
      <c r="E209" s="60">
        <f t="shared" si="278"/>
        <v>5699</v>
      </c>
      <c r="F209" s="61">
        <f>E209-E208</f>
        <v>0</v>
      </c>
      <c r="G209" s="62">
        <f>((E209-MAX(E$16:E209))/MAX(E$16:E209))</f>
        <v>-9.8259493670886072E-2</v>
      </c>
      <c r="H209" s="16">
        <f t="shared" ref="H209:H272" si="371">F209/E208</f>
        <v>0</v>
      </c>
      <c r="I209" s="153"/>
      <c r="K209" s="16">
        <f t="shared" si="279"/>
        <v>-3.5702199661590522E-2</v>
      </c>
      <c r="L209" s="77">
        <f t="shared" si="367"/>
        <v>-5.0217887528532894E-2</v>
      </c>
      <c r="M209" s="16">
        <f t="shared" si="367"/>
        <v>1.613941550907521E-2</v>
      </c>
      <c r="N209" s="16" t="str">
        <f t="shared" ref="N209" si="372">N208</f>
        <v>Low Volatility</v>
      </c>
      <c r="O209" s="14" t="str">
        <f t="shared" si="363"/>
        <v>Strong Downtrend</v>
      </c>
      <c r="S209" s="92" t="s">
        <v>572</v>
      </c>
      <c r="T209" s="93" t="s">
        <v>43</v>
      </c>
      <c r="U209" s="94" t="s">
        <v>1584</v>
      </c>
      <c r="V209" s="15">
        <f t="shared" si="369"/>
        <v>45960</v>
      </c>
      <c r="W209" s="60">
        <f t="shared" si="243"/>
        <v>64.680000000000007</v>
      </c>
      <c r="X209" s="61">
        <f t="shared" si="244"/>
        <v>1.0000000000005116E-2</v>
      </c>
      <c r="Y209" s="62">
        <f>((W209-MAX(W$16:W209))/MAX(W$16:W209))</f>
        <v>-0.12582781456953626</v>
      </c>
      <c r="Z209" s="16">
        <f t="shared" si="245"/>
        <v>1.5463120457716276E-4</v>
      </c>
      <c r="AA209" s="153"/>
      <c r="AC209" s="16">
        <f>(W209-W202)/W202</f>
        <v>-2.6490066225165428E-2</v>
      </c>
      <c r="AD209" s="16">
        <f>AD207</f>
        <v>-3.1929534819708318E-2</v>
      </c>
      <c r="AE209" s="16">
        <f t="shared" ref="AE209:AF213" si="373">AE208</f>
        <v>2.0932801442374107E-2</v>
      </c>
      <c r="AF209" s="16" t="str">
        <f t="shared" si="373"/>
        <v>Medium Volatility</v>
      </c>
      <c r="AG209" s="14" t="str">
        <f t="shared" si="364"/>
        <v>Strong Downtrend</v>
      </c>
      <c r="AJ209" s="95">
        <v>418800</v>
      </c>
      <c r="AK209" s="96">
        <v>419700</v>
      </c>
      <c r="AL209" s="15">
        <f t="shared" si="281"/>
        <v>45960</v>
      </c>
      <c r="AM209" s="60">
        <f t="shared" si="271"/>
        <v>41.97</v>
      </c>
      <c r="AN209" s="61">
        <f t="shared" si="272"/>
        <v>0</v>
      </c>
      <c r="AO209" s="62">
        <f>((AM209-MAX(AM$16:AM209))/MAX(AM$16:AM209))</f>
        <v>-3.7977688108237284E-3</v>
      </c>
      <c r="AP209" s="16">
        <f t="shared" si="273"/>
        <v>0</v>
      </c>
      <c r="AQ209" s="153"/>
      <c r="AS209" s="16">
        <f>(AM209-AM202)/AM202</f>
        <v>-1.6650808753568098E-3</v>
      </c>
      <c r="AT209" s="77">
        <f t="shared" si="370"/>
        <v>-9.1783662508093937E-4</v>
      </c>
      <c r="AU209" s="16">
        <f t="shared" si="370"/>
        <v>1.3322063253114517E-3</v>
      </c>
      <c r="AV209" s="16" t="str">
        <f t="shared" si="370"/>
        <v>Low Volatility</v>
      </c>
      <c r="AW209" s="14" t="str">
        <f t="shared" si="365"/>
        <v>Stable</v>
      </c>
    </row>
    <row r="210" spans="1:49" ht="26.25" hidden="1" thickBot="1">
      <c r="A210" s="104" t="s">
        <v>552</v>
      </c>
      <c r="B210" s="105" t="s">
        <v>551</v>
      </c>
      <c r="C210" s="105" t="s">
        <v>553</v>
      </c>
      <c r="D210" s="15">
        <f>DATEVALUE(
  SUBSTITUTE(SUBSTITUTE(SUBSTITUTE(SUBSTITUTE(SUBSTITUTE(SUBSTITUTE(SUBSTITUTE(SUBSTITUTE(SUBSTITUTE(SUBSTITUTE(SUBSTITUTE(SUBSTITUTE(A211, "Ocak", "January"), "Şubat", "February"), "Mart", "March"), "Nisan", "April"), "Mayıs", "May"), "Haziran", "June"), "Temmuz", "July"), "Ağustos", "August"), "Eylül", "September"), "Ekim", "October"), "Kasım", "November"), "Aralık", "December")
)</f>
        <v>45961</v>
      </c>
      <c r="E210" s="60">
        <f t="shared" si="278"/>
        <v>5739</v>
      </c>
      <c r="F210" s="61">
        <f>E210-E209</f>
        <v>40</v>
      </c>
      <c r="G210" s="62">
        <f>((E210-MAX(E$16:E210))/MAX(E$16:E210))</f>
        <v>-9.1930379746835447E-2</v>
      </c>
      <c r="H210" s="16">
        <f t="shared" si="371"/>
        <v>7.0187752237234604E-3</v>
      </c>
      <c r="I210" s="153"/>
      <c r="K210" s="16">
        <f t="shared" si="279"/>
        <v>-4.1903171953255429E-2</v>
      </c>
      <c r="L210" s="77">
        <f t="shared" si="367"/>
        <v>-5.0217887528532894E-2</v>
      </c>
      <c r="M210" s="16">
        <f t="shared" si="367"/>
        <v>1.613941550907521E-2</v>
      </c>
      <c r="N210" s="16" t="str">
        <f t="shared" ref="N210" si="374">N209</f>
        <v>Low Volatility</v>
      </c>
      <c r="O210" s="14" t="str">
        <f t="shared" si="363"/>
        <v>Strong Downtrend</v>
      </c>
      <c r="S210" s="92" t="s">
        <v>552</v>
      </c>
      <c r="T210" s="93" t="s">
        <v>43</v>
      </c>
      <c r="U210" s="94" t="s">
        <v>1585</v>
      </c>
      <c r="V210" s="15">
        <f t="shared" si="369"/>
        <v>45961</v>
      </c>
      <c r="W210" s="60">
        <f t="shared" si="243"/>
        <v>64.69</v>
      </c>
      <c r="X210" s="61">
        <f t="shared" si="244"/>
        <v>9.9999999999909051E-3</v>
      </c>
      <c r="Y210" s="62">
        <f>((W210-MAX(W$16:W210))/MAX(W$16:W210))</f>
        <v>-0.1256926611704284</v>
      </c>
      <c r="Z210" s="16">
        <f t="shared" si="245"/>
        <v>1.5460729746429968E-4</v>
      </c>
      <c r="AA210" s="153"/>
      <c r="AC210" s="16">
        <f>(W210-W203)/W203</f>
        <v>-3.3323371189480033E-2</v>
      </c>
      <c r="AD210" s="16">
        <f>AD207</f>
        <v>-3.1929534819708318E-2</v>
      </c>
      <c r="AE210" s="16">
        <f t="shared" si="373"/>
        <v>2.0932801442374107E-2</v>
      </c>
      <c r="AF210" s="16" t="str">
        <f t="shared" si="373"/>
        <v>Medium Volatility</v>
      </c>
      <c r="AG210" s="14" t="str">
        <f t="shared" si="364"/>
        <v>Strong Downtrend</v>
      </c>
      <c r="AJ210" s="95">
        <v>418800</v>
      </c>
      <c r="AK210" s="96">
        <v>419700</v>
      </c>
      <c r="AL210" s="15">
        <f t="shared" si="281"/>
        <v>45961</v>
      </c>
      <c r="AM210" s="60">
        <f t="shared" si="271"/>
        <v>41.97</v>
      </c>
      <c r="AN210" s="61">
        <f t="shared" si="272"/>
        <v>0</v>
      </c>
      <c r="AO210" s="62">
        <f>((AM210-MAX(AM$16:AM210))/MAX(AM$16:AM210))</f>
        <v>-3.7977688108237284E-3</v>
      </c>
      <c r="AP210" s="16">
        <f t="shared" si="273"/>
        <v>0</v>
      </c>
      <c r="AQ210" s="153"/>
      <c r="AS210" s="16">
        <f>(AM210-AM203)/AM203</f>
        <v>-1.4275517487509462E-3</v>
      </c>
      <c r="AT210" s="77">
        <f t="shared" si="370"/>
        <v>-9.1783662508093937E-4</v>
      </c>
      <c r="AU210" s="16">
        <f t="shared" si="370"/>
        <v>1.3322063253114517E-3</v>
      </c>
      <c r="AV210" s="16" t="str">
        <f t="shared" si="370"/>
        <v>Low Volatility</v>
      </c>
      <c r="AW210" s="14" t="str">
        <f t="shared" si="365"/>
        <v>Stable</v>
      </c>
    </row>
    <row r="211" spans="1:49" ht="26.25" hidden="1" thickBot="1">
      <c r="A211" s="104" t="s">
        <v>554</v>
      </c>
      <c r="B211" s="105" t="s">
        <v>553</v>
      </c>
      <c r="C211" s="105" t="s">
        <v>555</v>
      </c>
      <c r="D211" s="15">
        <f>DATEVALUE(
  SUBSTITUTE(SUBSTITUTE(SUBSTITUTE(SUBSTITUTE(SUBSTITUTE(SUBSTITUTE(SUBSTITUTE(SUBSTITUTE(SUBSTITUTE(SUBSTITUTE(SUBSTITUTE(SUBSTITUTE(A212, "Ocak", "January"), "Şubat", "February"), "Mart", "March"), "Nisan", "April"), "Mayıs", "May"), "Haziran", "June"), "Temmuz", "July"), "Ağustos", "August"), "Eylül", "September"), "Ekim", "October"), "Kasım", "November"), "Aralık", "December")
)</f>
        <v>45962</v>
      </c>
      <c r="E211" s="60">
        <f t="shared" si="278"/>
        <v>5753</v>
      </c>
      <c r="F211" s="61">
        <f>E211-E210</f>
        <v>14</v>
      </c>
      <c r="G211" s="62">
        <f>((E211-MAX(E$16:E211))/MAX(E$16:E211))</f>
        <v>-8.9715189873417728E-2</v>
      </c>
      <c r="H211" s="16">
        <f t="shared" si="371"/>
        <v>2.4394493814253355E-3</v>
      </c>
      <c r="I211" s="153"/>
      <c r="K211" s="16">
        <f t="shared" si="279"/>
        <v>-4.435215946843854E-2</v>
      </c>
      <c r="L211" s="77">
        <f t="shared" si="367"/>
        <v>-5.0217887528532894E-2</v>
      </c>
      <c r="M211" s="16">
        <f t="shared" si="367"/>
        <v>1.613941550907521E-2</v>
      </c>
      <c r="N211" s="16" t="str">
        <f t="shared" ref="N211" si="375">N210</f>
        <v>Low Volatility</v>
      </c>
      <c r="O211" s="14" t="str">
        <f t="shared" si="363"/>
        <v>Strong Downtrend</v>
      </c>
      <c r="S211" s="92" t="s">
        <v>554</v>
      </c>
      <c r="T211" s="93" t="s">
        <v>43</v>
      </c>
      <c r="U211" s="94" t="s">
        <v>1586</v>
      </c>
      <c r="V211" s="15">
        <f t="shared" si="369"/>
        <v>45962</v>
      </c>
      <c r="W211" s="60">
        <f t="shared" si="243"/>
        <v>64.7</v>
      </c>
      <c r="X211" s="61">
        <f t="shared" si="244"/>
        <v>1.0000000000005116E-2</v>
      </c>
      <c r="Y211" s="62">
        <f>((W211-MAX(W$16:W211))/MAX(W$16:W211))</f>
        <v>-0.12555750777132035</v>
      </c>
      <c r="Z211" s="16">
        <f t="shared" si="245"/>
        <v>1.5458339774316148E-4</v>
      </c>
      <c r="AA211" s="153"/>
      <c r="AC211" s="16">
        <f>(W211-W204)/W204</f>
        <v>-2.911164465786311E-2</v>
      </c>
      <c r="AD211" s="16">
        <f>AD207</f>
        <v>-3.1929534819708318E-2</v>
      </c>
      <c r="AE211" s="16">
        <f t="shared" si="373"/>
        <v>2.0932801442374107E-2</v>
      </c>
      <c r="AF211" s="16" t="str">
        <f t="shared" si="373"/>
        <v>Medium Volatility</v>
      </c>
      <c r="AG211" s="14" t="str">
        <f t="shared" si="364"/>
        <v>Strong Downtrend</v>
      </c>
      <c r="AJ211" s="95">
        <v>418800</v>
      </c>
      <c r="AK211" s="96">
        <v>419700</v>
      </c>
      <c r="AL211" s="15">
        <f t="shared" si="281"/>
        <v>45962</v>
      </c>
      <c r="AM211" s="60">
        <f t="shared" si="271"/>
        <v>41.97</v>
      </c>
      <c r="AN211" s="61">
        <f t="shared" si="272"/>
        <v>0</v>
      </c>
      <c r="AO211" s="62">
        <f>((AM211-MAX(AM$16:AM211))/MAX(AM$16:AM211))</f>
        <v>-3.7977688108237284E-3</v>
      </c>
      <c r="AP211" s="16">
        <f t="shared" si="273"/>
        <v>0</v>
      </c>
      <c r="AQ211" s="153"/>
      <c r="AS211" s="16">
        <f>(AM211-AM204)/AM204</f>
        <v>-9.5215424898831584E-4</v>
      </c>
      <c r="AT211" s="77">
        <f t="shared" si="370"/>
        <v>-9.1783662508093937E-4</v>
      </c>
      <c r="AU211" s="16">
        <f t="shared" si="370"/>
        <v>1.3322063253114517E-3</v>
      </c>
      <c r="AV211" s="16" t="str">
        <f t="shared" si="370"/>
        <v>Low Volatility</v>
      </c>
      <c r="AW211" s="14" t="str">
        <f t="shared" si="365"/>
        <v>Stable</v>
      </c>
    </row>
    <row r="212" spans="1:49" ht="26.25" hidden="1" thickBot="1">
      <c r="A212" s="104" t="s">
        <v>556</v>
      </c>
      <c r="B212" s="106" t="s">
        <v>553</v>
      </c>
      <c r="C212" s="106" t="s">
        <v>557</v>
      </c>
      <c r="D212" s="15">
        <f>DATEVALUE(
  SUBSTITUTE(SUBSTITUTE(SUBSTITUTE(SUBSTITUTE(SUBSTITUTE(SUBSTITUTE(SUBSTITUTE(SUBSTITUTE(SUBSTITUTE(SUBSTITUTE(SUBSTITUTE(SUBSTITUTE(A212, "Ocak", "January"), "Şubat", "February"), "Mart", "March"), "Nisan", "April"), "Mayıs", "May"), "Haziran", "June"), "Temmuz", "July"), "Ağustos", "August"), "Eylül", "September"), "Ekim", "October"), "Kasım", "November"), "Aralık", "December")
)</f>
        <v>45962</v>
      </c>
      <c r="E212" s="60">
        <f t="shared" si="278"/>
        <v>5700</v>
      </c>
      <c r="F212" s="61">
        <f>E212-E211</f>
        <v>-53</v>
      </c>
      <c r="G212" s="62">
        <f>((E212-MAX(E$16:E212))/MAX(E$16:E212))</f>
        <v>-9.8101265822784806E-2</v>
      </c>
      <c r="H212" s="16">
        <f t="shared" si="371"/>
        <v>-9.2125847383973582E-3</v>
      </c>
      <c r="I212" s="153"/>
      <c r="K212" s="16">
        <f t="shared" si="279"/>
        <v>-5.3156146179401995E-2</v>
      </c>
      <c r="L212" s="77">
        <f t="shared" si="367"/>
        <v>-5.0217887528532894E-2</v>
      </c>
      <c r="M212" s="16">
        <f t="shared" si="367"/>
        <v>1.613941550907521E-2</v>
      </c>
      <c r="N212" s="16" t="str">
        <f t="shared" ref="N212" si="376">N211</f>
        <v>Low Volatility</v>
      </c>
      <c r="O212" s="14" t="str">
        <f t="shared" si="363"/>
        <v>Strong Downtrend</v>
      </c>
      <c r="S212" s="92" t="s">
        <v>556</v>
      </c>
      <c r="T212" s="108" t="s">
        <v>43</v>
      </c>
      <c r="U212" s="101" t="s">
        <v>584</v>
      </c>
      <c r="V212" s="15">
        <f t="shared" si="369"/>
        <v>45962</v>
      </c>
      <c r="W212" s="60">
        <f t="shared" si="243"/>
        <v>67.010000000000005</v>
      </c>
      <c r="X212" s="61">
        <f t="shared" si="244"/>
        <v>2.3100000000000023</v>
      </c>
      <c r="Y212" s="62">
        <f>((W212-MAX(W$16:W212))/MAX(W$16:W212))</f>
        <v>-9.4337072577375183E-2</v>
      </c>
      <c r="Z212" s="16">
        <f t="shared" si="245"/>
        <v>3.5703245749613637E-2</v>
      </c>
      <c r="AA212" s="153"/>
      <c r="AC212" s="16">
        <f t="shared" si="317"/>
        <v>4.1960137869024592E-3</v>
      </c>
      <c r="AD212" s="16">
        <f>AD207</f>
        <v>-3.1929534819708318E-2</v>
      </c>
      <c r="AE212" s="16">
        <f t="shared" si="373"/>
        <v>2.0932801442374107E-2</v>
      </c>
      <c r="AF212" s="16" t="str">
        <f t="shared" si="373"/>
        <v>Medium Volatility</v>
      </c>
      <c r="AG212" s="14" t="str">
        <f t="shared" si="364"/>
        <v>Weak/Unconfirmed</v>
      </c>
      <c r="AI212" s="92" t="s">
        <v>556</v>
      </c>
      <c r="AJ212" s="109">
        <v>420400</v>
      </c>
      <c r="AK212" s="110">
        <v>420500</v>
      </c>
      <c r="AL212" s="15">
        <f t="shared" si="281"/>
        <v>45962</v>
      </c>
      <c r="AM212" s="60">
        <f t="shared" si="271"/>
        <v>42.05</v>
      </c>
      <c r="AN212" s="61">
        <f t="shared" si="272"/>
        <v>7.9999999999998295E-2</v>
      </c>
      <c r="AO212" s="62">
        <f>((AM212-MAX(AM$16:AM212))/MAX(AM$16:AM212))</f>
        <v>-1.8988844054119486E-3</v>
      </c>
      <c r="AP212" s="16">
        <f t="shared" si="273"/>
        <v>1.906123421491501E-3</v>
      </c>
      <c r="AQ212" s="153"/>
      <c r="AS212" s="16">
        <f>(AM212-AM205)/AM205</f>
        <v>7.1394574012360846E-4</v>
      </c>
      <c r="AT212" s="77">
        <f t="shared" si="370"/>
        <v>-9.1783662508093937E-4</v>
      </c>
      <c r="AU212" s="16">
        <f t="shared" si="370"/>
        <v>1.3322063253114517E-3</v>
      </c>
      <c r="AV212" s="16" t="str">
        <f t="shared" si="370"/>
        <v>Low Volatility</v>
      </c>
      <c r="AW212" s="14" t="str">
        <f t="shared" si="365"/>
        <v>Stable</v>
      </c>
    </row>
    <row r="213" spans="1:49" ht="26.25" hidden="1" thickBot="1">
      <c r="A213" s="104" t="s">
        <v>570</v>
      </c>
      <c r="B213" s="106" t="s">
        <v>553</v>
      </c>
      <c r="C213" s="106" t="s">
        <v>557</v>
      </c>
      <c r="D213" s="15">
        <f t="shared" ref="D213:D244" si="377">DATEVALUE(
  SUBSTITUTE(SUBSTITUTE(SUBSTITUTE(SUBSTITUTE(SUBSTITUTE(SUBSTITUTE(SUBSTITUTE(SUBSTITUTE(SUBSTITUTE(SUBSTITUTE(SUBSTITUTE(SUBSTITUTE(A213, "Ocak", "January"), "Şubat", "February"), "Mart", "March"), "Nisan", "April"), "Mayıs", "May"), "Haziran", "June"), "Temmuz", "July"), "Ağustos", "August"), "Eylül", "September"), "Ekim", "October"), "Kasım", "November"), "Aralık", "December")
)</f>
        <v>45963</v>
      </c>
      <c r="E213" s="60">
        <f t="shared" ref="E213:E217" si="378">VALUE(SUBSTITUTE(SUBSTITUTE(C213, ".", ""), ",", "."))</f>
        <v>5700</v>
      </c>
      <c r="F213" s="61">
        <f t="shared" ref="F213" si="379">E213-E212</f>
        <v>0</v>
      </c>
      <c r="G213" s="62">
        <f>((E213-MAX(E$16:E213))/MAX(E$16:E213))</f>
        <v>-9.8101265822784806E-2</v>
      </c>
      <c r="H213" s="16">
        <f t="shared" si="371"/>
        <v>0</v>
      </c>
      <c r="I213" s="153"/>
      <c r="K213" s="16">
        <f t="shared" si="279"/>
        <v>-5.3156146179401995E-2</v>
      </c>
      <c r="L213" s="77">
        <f t="shared" si="367"/>
        <v>-5.0217887528532894E-2</v>
      </c>
      <c r="M213" s="16">
        <f t="shared" si="367"/>
        <v>1.613941550907521E-2</v>
      </c>
      <c r="N213" s="16" t="str">
        <f t="shared" ref="N213" si="380">N212</f>
        <v>Low Volatility</v>
      </c>
      <c r="O213" s="14" t="str">
        <f t="shared" si="363"/>
        <v>Strong Downtrend</v>
      </c>
      <c r="S213" s="92" t="s">
        <v>570</v>
      </c>
      <c r="T213" s="100" t="s">
        <v>43</v>
      </c>
      <c r="U213" s="101" t="s">
        <v>585</v>
      </c>
      <c r="V213" s="15">
        <f t="shared" si="369"/>
        <v>45963</v>
      </c>
      <c r="W213" s="60">
        <f t="shared" si="243"/>
        <v>67.069999999999993</v>
      </c>
      <c r="X213" s="61">
        <f t="shared" si="244"/>
        <v>5.9999999999988063E-2</v>
      </c>
      <c r="Y213" s="62">
        <f>((W213-MAX(W$16:W213))/MAX(W$16:W213))</f>
        <v>-9.3526152182727432E-2</v>
      </c>
      <c r="Z213" s="16">
        <f t="shared" si="245"/>
        <v>8.9538874794788928E-4</v>
      </c>
      <c r="AA213" s="153"/>
      <c r="AC213" s="16">
        <f t="shared" si="317"/>
        <v>4.0419161676646109E-3</v>
      </c>
      <c r="AD213" s="16">
        <f>AD207</f>
        <v>-3.1929534819708318E-2</v>
      </c>
      <c r="AE213" s="16">
        <f t="shared" si="373"/>
        <v>2.0932801442374107E-2</v>
      </c>
      <c r="AF213" s="16" t="str">
        <f t="shared" si="373"/>
        <v>Medium Volatility</v>
      </c>
      <c r="AG213" s="14" t="str">
        <f t="shared" si="364"/>
        <v>Weak/Unconfirmed</v>
      </c>
      <c r="AI213" s="92" t="s">
        <v>570</v>
      </c>
      <c r="AJ213" s="109">
        <v>420400</v>
      </c>
      <c r="AK213" s="110">
        <v>420500</v>
      </c>
      <c r="AL213" s="15">
        <f t="shared" si="281"/>
        <v>45963</v>
      </c>
      <c r="AM213" s="60">
        <f t="shared" si="271"/>
        <v>42.05</v>
      </c>
      <c r="AN213" s="61">
        <f t="shared" si="272"/>
        <v>0</v>
      </c>
      <c r="AO213" s="62">
        <f>((AM213-MAX(AM$16:AM213))/MAX(AM$16:AM213))</f>
        <v>-1.8988844054119486E-3</v>
      </c>
      <c r="AP213" s="16">
        <f t="shared" si="273"/>
        <v>0</v>
      </c>
      <c r="AQ213" s="153"/>
      <c r="AS213" s="16">
        <f t="shared" si="306"/>
        <v>7.1394574012360846E-4</v>
      </c>
      <c r="AT213" s="77">
        <f t="shared" si="370"/>
        <v>-9.1783662508093937E-4</v>
      </c>
      <c r="AU213" s="16">
        <f t="shared" si="370"/>
        <v>1.3322063253114517E-3</v>
      </c>
      <c r="AV213" s="16" t="str">
        <f t="shared" si="370"/>
        <v>Low Volatility</v>
      </c>
      <c r="AW213" s="14" t="str">
        <f t="shared" si="365"/>
        <v>Stable</v>
      </c>
    </row>
    <row r="214" spans="1:49" ht="26.25" hidden="1" thickBot="1">
      <c r="A214" s="104" t="s">
        <v>558</v>
      </c>
      <c r="B214" s="105" t="s">
        <v>553</v>
      </c>
      <c r="C214" s="105" t="s">
        <v>538</v>
      </c>
      <c r="D214" s="15">
        <f t="shared" si="377"/>
        <v>45964</v>
      </c>
      <c r="E214" s="60">
        <f t="shared" si="378"/>
        <v>5690</v>
      </c>
      <c r="F214" s="61">
        <f t="shared" ref="F214:F217" si="381">E214-E213</f>
        <v>-10</v>
      </c>
      <c r="G214" s="62">
        <f>((E214-MAX(E$16:E214))/MAX(E$16:E214))</f>
        <v>-9.9683544303797472E-2</v>
      </c>
      <c r="H214" s="16">
        <f t="shared" si="371"/>
        <v>-1.7543859649122807E-3</v>
      </c>
      <c r="I214" s="153">
        <f>AVERAGEIFS(E214:E221, E214:E221, "&gt;=0")</f>
        <v>5561.0562500000005</v>
      </c>
      <c r="K214" s="16">
        <f t="shared" si="279"/>
        <v>-1.7271157167530225E-2</v>
      </c>
      <c r="L214" s="77">
        <f>(I214-I207)/I207</f>
        <v>-2.7999781516276943E-2</v>
      </c>
      <c r="M214" s="16" cm="1">
        <f t="array" ref="M214">_xlfn.STDEV.S(_xlfn._xlws.FILTER(F214:F220, ISNUMBER(F214:F220))) / I214</f>
        <v>1.6940584442917062E-2</v>
      </c>
      <c r="N214" s="16" t="str" cm="1">
        <f t="array" ref="N214">_xlfn.LET(
  _xlpm.c, M35,
  IFERROR(
    _xlfn.IFS(_xlpm.c&lt;0.02,"Low Volatility",
        _xlpm.c&gt;0.1,"High Volatility",
        TRUE,"Medium Volatility"),
    "Insufficient data"
  )
)</f>
        <v>Low Volatility</v>
      </c>
      <c r="O214" s="14" t="str">
        <f t="shared" si="363"/>
        <v>Strong Downtrend</v>
      </c>
      <c r="S214" s="92" t="s">
        <v>558</v>
      </c>
      <c r="T214" s="100" t="s">
        <v>43</v>
      </c>
      <c r="U214" s="101" t="s">
        <v>586</v>
      </c>
      <c r="V214" s="15">
        <f t="shared" si="369"/>
        <v>45964</v>
      </c>
      <c r="W214" s="60">
        <f t="shared" si="243"/>
        <v>66.28</v>
      </c>
      <c r="X214" s="61">
        <f t="shared" si="244"/>
        <v>-0.78999999999999204</v>
      </c>
      <c r="Y214" s="62">
        <f>((W214-MAX(W$16:W214))/MAX(W$16:W214))</f>
        <v>-0.10420327071225834</v>
      </c>
      <c r="Z214" s="16">
        <f t="shared" si="245"/>
        <v>-1.1778738631280634E-2</v>
      </c>
      <c r="AA214" s="153">
        <f>AVERAGEIFS(W214:W220, W214:W220, "&gt;=0")</f>
        <v>65.810000000000016</v>
      </c>
      <c r="AC214" s="16">
        <f t="shared" si="317"/>
        <v>2.9352383910545125E-2</v>
      </c>
      <c r="AD214" s="66">
        <f>(AA214-AA207)/AA207</f>
        <v>7.5676385030952181E-3</v>
      </c>
      <c r="AE214" s="16" cm="1">
        <f t="array" ref="AE214">_xlfn.STDEV.S(_xlfn._xlws.FILTER(X214:X220, ISNUMBER(X214:X220))) / AA214</f>
        <v>1.2870816276485956E-2</v>
      </c>
      <c r="AF214" s="16" t="str">
        <f t="shared" ref="AF214" si="382">IF(AE214 &lt; 0.02, "Low Volatility",
 IF(AE214 &gt; 0.1, "High Volatility", "Medium Volatility"))</f>
        <v>Low Volatility</v>
      </c>
      <c r="AG214" s="14" t="str">
        <f t="shared" si="364"/>
        <v>Weak/Unconfirmed</v>
      </c>
      <c r="AI214" s="92" t="s">
        <v>558</v>
      </c>
      <c r="AJ214" s="109">
        <v>420300</v>
      </c>
      <c r="AK214" s="110">
        <v>420200</v>
      </c>
      <c r="AL214" s="15">
        <f t="shared" si="281"/>
        <v>45964</v>
      </c>
      <c r="AM214" s="60">
        <f t="shared" si="271"/>
        <v>42.02</v>
      </c>
      <c r="AN214" s="61">
        <f t="shared" si="272"/>
        <v>-2.9999999999994031E-2</v>
      </c>
      <c r="AO214" s="62">
        <f>((AM214-MAX(AM$16:AM214))/MAX(AM$16:AM214))</f>
        <v>-2.6109660574412394E-3</v>
      </c>
      <c r="AP214" s="16">
        <f t="shared" si="273"/>
        <v>-7.1343638525550612E-4</v>
      </c>
      <c r="AQ214" s="153">
        <f>AVERAGEIFS(AM214:AM220, AM214:AM220, "&gt;=0")</f>
        <v>42.139185714285709</v>
      </c>
      <c r="AS214" s="16">
        <f>(AM214-AM207)/AM207</f>
        <v>2.3854961832061408E-3</v>
      </c>
      <c r="AT214" s="77">
        <f>(AQ214-AQ207)/AQ207</f>
        <v>3.6553249404559411E-3</v>
      </c>
      <c r="AU214" s="16" cm="1">
        <f t="array" ref="AU214">_xlfn.STDEV.S(_xlfn._xlws.FILTER(AN214:AN220, ISNUMBER(AN214:AN220))) / AQ214</f>
        <v>9.4570903199702047E-4</v>
      </c>
      <c r="AV214" s="16" t="str">
        <f>IF(AU214 &lt; 0.02, "Low Volatility",
 IF(AU214 &gt; 0.1, "High Volatility", "Medium Volatility"))</f>
        <v>Low Volatility</v>
      </c>
      <c r="AW214" s="14" t="str">
        <f t="shared" si="365"/>
        <v>Stable</v>
      </c>
    </row>
    <row r="215" spans="1:49" ht="26.25" hidden="1" thickBot="1">
      <c r="A215" s="104" t="s">
        <v>559</v>
      </c>
      <c r="B215" s="105" t="s">
        <v>538</v>
      </c>
      <c r="C215" s="105" t="s">
        <v>560</v>
      </c>
      <c r="D215" s="15">
        <f t="shared" si="377"/>
        <v>45965</v>
      </c>
      <c r="E215" s="60">
        <f t="shared" si="378"/>
        <v>5635</v>
      </c>
      <c r="F215" s="61">
        <f t="shared" si="381"/>
        <v>-55</v>
      </c>
      <c r="G215" s="62">
        <f>((E215-MAX(E$16:E215))/MAX(E$16:E215))</f>
        <v>-0.10838607594936708</v>
      </c>
      <c r="H215" s="16">
        <f t="shared" si="371"/>
        <v>-9.6660808435852369E-3</v>
      </c>
      <c r="I215" s="153"/>
      <c r="K215" s="16">
        <f t="shared" ref="K215:K222" si="383">(E215-E208)/E208</f>
        <v>-1.1230040357957537E-2</v>
      </c>
      <c r="L215" s="77">
        <f>L214</f>
        <v>-2.7999781516276943E-2</v>
      </c>
      <c r="M215" s="16">
        <f>M214</f>
        <v>1.6940584442917062E-2</v>
      </c>
      <c r="N215" s="16" t="str">
        <f t="shared" ref="N215:N216" si="384">N214</f>
        <v>Low Volatility</v>
      </c>
      <c r="O215" s="14" t="str">
        <f t="shared" si="363"/>
        <v>Strong Downtrend</v>
      </c>
      <c r="S215" s="92" t="s">
        <v>559</v>
      </c>
      <c r="T215" s="100" t="s">
        <v>43</v>
      </c>
      <c r="U215" s="101" t="s">
        <v>587</v>
      </c>
      <c r="V215" s="15">
        <f t="shared" si="369"/>
        <v>45965</v>
      </c>
      <c r="W215" s="60">
        <f t="shared" si="243"/>
        <v>64.900000000000006</v>
      </c>
      <c r="X215" s="61">
        <f t="shared" si="244"/>
        <v>-1.3799999999999955</v>
      </c>
      <c r="Y215" s="62">
        <f>((W215-MAX(W$16:W215))/MAX(W$16:W215))</f>
        <v>-0.12285443978916057</v>
      </c>
      <c r="Z215" s="16">
        <f t="shared" si="245"/>
        <v>-2.0820760410380137E-2</v>
      </c>
      <c r="AA215" s="153"/>
      <c r="AC215" s="16">
        <f t="shared" si="317"/>
        <v>3.5565177052729853E-3</v>
      </c>
      <c r="AD215" s="16">
        <f>AD214</f>
        <v>7.5676385030952181E-3</v>
      </c>
      <c r="AE215" s="16">
        <f t="shared" ref="AE215:AE219" si="385">AE214</f>
        <v>1.2870816276485956E-2</v>
      </c>
      <c r="AF215" s="16" t="str">
        <f t="shared" ref="AF215:AF225" si="386">AF214</f>
        <v>Low Volatility</v>
      </c>
      <c r="AG215" s="14" t="str">
        <f t="shared" si="364"/>
        <v>Weak/Unconfirmed</v>
      </c>
      <c r="AI215" s="92" t="s">
        <v>559</v>
      </c>
      <c r="AJ215" s="109">
        <v>420300</v>
      </c>
      <c r="AK215" s="110">
        <v>420700</v>
      </c>
      <c r="AL215" s="15">
        <f t="shared" si="281"/>
        <v>45965</v>
      </c>
      <c r="AM215" s="60">
        <f t="shared" si="271"/>
        <v>42.07</v>
      </c>
      <c r="AN215" s="61">
        <f t="shared" si="272"/>
        <v>4.9999999999997158E-2</v>
      </c>
      <c r="AO215" s="62">
        <f>((AM215-MAX(AM$16:AM215))/MAX(AM$16:AM215))</f>
        <v>-1.4241633040589193E-3</v>
      </c>
      <c r="AP215" s="16">
        <f t="shared" si="273"/>
        <v>1.1899095668728499E-3</v>
      </c>
      <c r="AQ215" s="153"/>
      <c r="AS215" s="16">
        <f t="shared" ref="AS215:AS277" si="387">(AM215-AM208)/AM208</f>
        <v>2.3826542768644607E-3</v>
      </c>
      <c r="AT215" s="77">
        <f t="shared" ref="AT215:AV220" si="388">AT214</f>
        <v>3.6553249404559411E-3</v>
      </c>
      <c r="AU215" s="16">
        <f t="shared" si="388"/>
        <v>9.4570903199702047E-4</v>
      </c>
      <c r="AV215" s="16" t="str">
        <f t="shared" si="388"/>
        <v>Low Volatility</v>
      </c>
      <c r="AW215" s="14" t="str">
        <f t="shared" si="365"/>
        <v>Stable</v>
      </c>
    </row>
    <row r="216" spans="1:49" ht="26.25" hidden="1" thickBot="1">
      <c r="A216" s="104" t="s">
        <v>561</v>
      </c>
      <c r="B216" s="105" t="s">
        <v>560</v>
      </c>
      <c r="C216" s="105" t="s">
        <v>562</v>
      </c>
      <c r="D216" s="15">
        <f t="shared" si="377"/>
        <v>45966</v>
      </c>
      <c r="E216" s="60">
        <f t="shared" si="378"/>
        <v>5608</v>
      </c>
      <c r="F216" s="61">
        <f t="shared" si="381"/>
        <v>-27</v>
      </c>
      <c r="G216" s="62">
        <f>((E216-MAX(E$16:E216))/MAX(E$16:E216))</f>
        <v>-0.11265822784810127</v>
      </c>
      <c r="H216" s="16">
        <f t="shared" si="371"/>
        <v>-4.7914818101153509E-3</v>
      </c>
      <c r="I216" s="153"/>
      <c r="K216" s="16">
        <f t="shared" si="383"/>
        <v>-1.5967713633970874E-2</v>
      </c>
      <c r="L216" s="77">
        <f>L215</f>
        <v>-2.7999781516276943E-2</v>
      </c>
      <c r="M216" s="16">
        <f>M215</f>
        <v>1.6940584442917062E-2</v>
      </c>
      <c r="N216" s="16" t="str">
        <f t="shared" si="384"/>
        <v>Low Volatility</v>
      </c>
      <c r="O216" s="14" t="str">
        <f t="shared" si="363"/>
        <v>Strong Downtrend</v>
      </c>
      <c r="S216" s="92" t="s">
        <v>561</v>
      </c>
      <c r="T216" s="100" t="s">
        <v>43</v>
      </c>
      <c r="U216" s="101" t="s">
        <v>588</v>
      </c>
      <c r="V216" s="15">
        <f t="shared" si="369"/>
        <v>45966</v>
      </c>
      <c r="W216" s="60">
        <f t="shared" si="243"/>
        <v>66.27</v>
      </c>
      <c r="X216" s="61">
        <f t="shared" si="244"/>
        <v>1.3699999999999903</v>
      </c>
      <c r="Y216" s="62">
        <f>((W216-MAX(W$16:W216))/MAX(W$16:W216))</f>
        <v>-0.10433842411136639</v>
      </c>
      <c r="Z216" s="16">
        <f t="shared" si="245"/>
        <v>2.1109399075500621E-2</v>
      </c>
      <c r="AA216" s="153"/>
      <c r="AC216" s="16">
        <f>(W216-W209)/W209</f>
        <v>2.4582560296845843E-2</v>
      </c>
      <c r="AD216" s="16">
        <f>AD214</f>
        <v>7.5676385030952181E-3</v>
      </c>
      <c r="AE216" s="16">
        <f t="shared" si="385"/>
        <v>1.2870816276485956E-2</v>
      </c>
      <c r="AF216" s="16" t="str">
        <f t="shared" si="386"/>
        <v>Low Volatility</v>
      </c>
      <c r="AG216" s="14" t="str">
        <f t="shared" si="364"/>
        <v>Weak/Unconfirmed</v>
      </c>
      <c r="AI216" s="92" t="s">
        <v>561</v>
      </c>
      <c r="AJ216" s="109">
        <v>420800</v>
      </c>
      <c r="AK216" s="110">
        <v>421300</v>
      </c>
      <c r="AL216" s="15">
        <f t="shared" si="281"/>
        <v>45966</v>
      </c>
      <c r="AM216" s="60">
        <f t="shared" si="271"/>
        <v>42.13</v>
      </c>
      <c r="AN216" s="61">
        <f t="shared" si="272"/>
        <v>6.0000000000002274E-2</v>
      </c>
      <c r="AO216" s="62">
        <f>((AM216-MAX(AM$16:AM216))/MAX(AM$16:AM216))</f>
        <v>0</v>
      </c>
      <c r="AP216" s="16">
        <f t="shared" si="273"/>
        <v>1.4261944378417464E-3</v>
      </c>
      <c r="AQ216" s="153"/>
      <c r="AS216" s="16">
        <f>(AM216-AM209)/AM209</f>
        <v>3.8122468429831712E-3</v>
      </c>
      <c r="AT216" s="77">
        <f t="shared" si="388"/>
        <v>3.6553249404559411E-3</v>
      </c>
      <c r="AU216" s="16">
        <f t="shared" si="388"/>
        <v>9.4570903199702047E-4</v>
      </c>
      <c r="AV216" s="16" t="str">
        <f t="shared" si="388"/>
        <v>Low Volatility</v>
      </c>
      <c r="AW216" s="14" t="str">
        <f t="shared" si="365"/>
        <v>Stable</v>
      </c>
    </row>
    <row r="217" spans="1:49" ht="26.25" hidden="1" thickBot="1">
      <c r="A217" s="104" t="s">
        <v>563</v>
      </c>
      <c r="B217" s="105" t="s">
        <v>562</v>
      </c>
      <c r="C217" s="105" t="s">
        <v>564</v>
      </c>
      <c r="D217" s="15">
        <f t="shared" si="377"/>
        <v>45967</v>
      </c>
      <c r="E217" s="60">
        <f t="shared" si="378"/>
        <v>5670</v>
      </c>
      <c r="F217" s="61">
        <f t="shared" si="381"/>
        <v>62</v>
      </c>
      <c r="G217" s="62">
        <f>((E217-MAX(E$16:E217))/MAX(E$16:E217))</f>
        <v>-0.10284810126582279</v>
      </c>
      <c r="H217" s="16">
        <f t="shared" si="371"/>
        <v>1.1055634807417974E-2</v>
      </c>
      <c r="I217" s="153"/>
      <c r="K217" s="16">
        <f t="shared" si="383"/>
        <v>-1.2023000522739153E-2</v>
      </c>
      <c r="L217" s="77">
        <f>L216</f>
        <v>-2.7999781516276943E-2</v>
      </c>
      <c r="M217" s="16">
        <f t="shared" ref="M217:N217" si="389">M216</f>
        <v>1.6940584442917062E-2</v>
      </c>
      <c r="N217" s="16" t="str">
        <f t="shared" si="389"/>
        <v>Low Volatility</v>
      </c>
      <c r="O217" s="14" t="str">
        <f t="shared" si="363"/>
        <v>Strong Downtrend</v>
      </c>
      <c r="S217" s="92" t="s">
        <v>563</v>
      </c>
      <c r="T217" s="100" t="s">
        <v>43</v>
      </c>
      <c r="U217" s="101" t="s">
        <v>589</v>
      </c>
      <c r="V217" s="15">
        <f t="shared" si="369"/>
        <v>45967</v>
      </c>
      <c r="W217" s="60">
        <f t="shared" si="243"/>
        <v>66.06</v>
      </c>
      <c r="X217" s="61">
        <f t="shared" si="244"/>
        <v>-0.20999999999999375</v>
      </c>
      <c r="Y217" s="62">
        <f>((W217-MAX(W$16:W217))/MAX(W$16:W217))</f>
        <v>-0.10717664549263405</v>
      </c>
      <c r="Z217" s="16">
        <f t="shared" si="245"/>
        <v>-3.1688546853779051E-3</v>
      </c>
      <c r="AA217" s="153"/>
      <c r="AC217" s="16">
        <f>(W217-W210)/W210</f>
        <v>2.1177925490802357E-2</v>
      </c>
      <c r="AD217" s="16">
        <f>AD214</f>
        <v>7.5676385030952181E-3</v>
      </c>
      <c r="AE217" s="16">
        <f t="shared" si="385"/>
        <v>1.2870816276485956E-2</v>
      </c>
      <c r="AF217" s="16" t="str">
        <f t="shared" si="386"/>
        <v>Low Volatility</v>
      </c>
      <c r="AG217" s="14" t="str">
        <f t="shared" si="364"/>
        <v>Weak/Unconfirmed</v>
      </c>
      <c r="AI217" s="92" t="s">
        <v>563</v>
      </c>
      <c r="AJ217" s="109">
        <v>421000</v>
      </c>
      <c r="AK217" s="110">
        <v>421300</v>
      </c>
      <c r="AL217" s="15">
        <f t="shared" si="281"/>
        <v>45967</v>
      </c>
      <c r="AM217" s="60">
        <f t="shared" si="271"/>
        <v>42.13</v>
      </c>
      <c r="AN217" s="61">
        <f t="shared" si="272"/>
        <v>0</v>
      </c>
      <c r="AO217" s="62">
        <f>((AM217-MAX(AM$16:AM217))/MAX(AM$16:AM217))</f>
        <v>0</v>
      </c>
      <c r="AP217" s="16">
        <f t="shared" si="273"/>
        <v>0</v>
      </c>
      <c r="AQ217" s="153"/>
      <c r="AS217" s="16">
        <f t="shared" si="387"/>
        <v>3.8122468429831712E-3</v>
      </c>
      <c r="AT217" s="77">
        <f t="shared" si="388"/>
        <v>3.6553249404559411E-3</v>
      </c>
      <c r="AU217" s="16">
        <f t="shared" si="388"/>
        <v>9.4570903199702047E-4</v>
      </c>
      <c r="AV217" s="16" t="str">
        <f t="shared" si="388"/>
        <v>Low Volatility</v>
      </c>
      <c r="AW217" s="14" t="str">
        <f t="shared" si="365"/>
        <v>Stable</v>
      </c>
    </row>
    <row r="218" spans="1:49" ht="15.75" hidden="1" thickBot="1">
      <c r="A218" s="131" t="s">
        <v>565</v>
      </c>
      <c r="B218" s="131" t="s">
        <v>868</v>
      </c>
      <c r="C218" s="131" t="s">
        <v>869</v>
      </c>
      <c r="D218" s="15">
        <f t="shared" si="377"/>
        <v>45968</v>
      </c>
      <c r="E218" s="60">
        <f t="shared" ref="E218:E281" si="390">VALUE(SUBSTITUTE(SUBSTITUTE(C218, ".", ""), ",", "."))</f>
        <v>5434.09</v>
      </c>
      <c r="F218" s="61">
        <f t="shared" ref="F218:F281" si="391">E218-E217</f>
        <v>-235.90999999999985</v>
      </c>
      <c r="G218" s="62">
        <f>((E218-MAX(E$16:E218))/MAX(E$16:E218))</f>
        <v>-0.14017563291139237</v>
      </c>
      <c r="H218" s="16">
        <f t="shared" si="371"/>
        <v>-4.1606701940035247E-2</v>
      </c>
      <c r="I218" s="153"/>
      <c r="K218" s="16">
        <f t="shared" si="383"/>
        <v>-5.5433686772118872E-2</v>
      </c>
      <c r="L218" s="77">
        <f>L217</f>
        <v>-2.7999781516276943E-2</v>
      </c>
      <c r="M218" s="16">
        <f t="shared" ref="M218:N218" si="392">M217</f>
        <v>1.6940584442917062E-2</v>
      </c>
      <c r="N218" s="16" t="str">
        <f t="shared" si="392"/>
        <v>Low Volatility</v>
      </c>
      <c r="O218" s="14" t="str">
        <f t="shared" si="363"/>
        <v>Strong Downtrend</v>
      </c>
      <c r="S218" s="131" t="s">
        <v>565</v>
      </c>
      <c r="T218" s="131" t="s">
        <v>1247</v>
      </c>
      <c r="U218" s="131" t="s">
        <v>1248</v>
      </c>
      <c r="V218" s="15">
        <f t="shared" si="369"/>
        <v>45968</v>
      </c>
      <c r="W218" s="60">
        <f t="shared" si="243"/>
        <v>65.72</v>
      </c>
      <c r="X218" s="61">
        <f t="shared" si="244"/>
        <v>-0.34000000000000341</v>
      </c>
      <c r="Y218" s="62">
        <f>((W218-MAX(W$16:W218))/MAX(W$16:W218))</f>
        <v>-0.11177186106230567</v>
      </c>
      <c r="Z218" s="16">
        <f t="shared" si="245"/>
        <v>-5.1468362095065607E-3</v>
      </c>
      <c r="AA218" s="153"/>
      <c r="AC218" s="16">
        <f>(W218-W211)/W211</f>
        <v>1.5765069551777373E-2</v>
      </c>
      <c r="AD218" s="16">
        <f>AD214</f>
        <v>7.5676385030952181E-3</v>
      </c>
      <c r="AE218" s="16">
        <f t="shared" si="385"/>
        <v>1.2870816276485956E-2</v>
      </c>
      <c r="AF218" s="16" t="str">
        <f t="shared" si="386"/>
        <v>Low Volatility</v>
      </c>
      <c r="AG218" s="14" t="str">
        <f t="shared" si="364"/>
        <v>Weak/Unconfirmed</v>
      </c>
      <c r="AI218" s="131" t="s">
        <v>565</v>
      </c>
      <c r="AJ218" s="131">
        <v>421051</v>
      </c>
      <c r="AK218" s="131">
        <v>422081</v>
      </c>
      <c r="AL218" s="15">
        <f t="shared" si="281"/>
        <v>45968</v>
      </c>
      <c r="AM218" s="60">
        <f t="shared" si="271"/>
        <v>42.208100000000002</v>
      </c>
      <c r="AN218" s="61">
        <f t="shared" si="272"/>
        <v>7.809999999999917E-2</v>
      </c>
      <c r="AO218" s="62">
        <f>((AM218-MAX(AM$16:AM218))/MAX(AM$16:AM218))</f>
        <v>0</v>
      </c>
      <c r="AP218" s="16">
        <f t="shared" si="273"/>
        <v>1.85378590078327E-3</v>
      </c>
      <c r="AQ218" s="153"/>
      <c r="AS218" s="16">
        <f t="shared" si="387"/>
        <v>5.6730998332142693E-3</v>
      </c>
      <c r="AT218" s="77">
        <f t="shared" si="388"/>
        <v>3.6553249404559411E-3</v>
      </c>
      <c r="AU218" s="16">
        <f t="shared" si="388"/>
        <v>9.4570903199702047E-4</v>
      </c>
      <c r="AV218" s="16" t="str">
        <f t="shared" si="388"/>
        <v>Low Volatility</v>
      </c>
      <c r="AW218" s="14" t="str">
        <f t="shared" si="365"/>
        <v>Stable</v>
      </c>
    </row>
    <row r="219" spans="1:49" ht="15.75" hidden="1" thickBot="1">
      <c r="A219" s="131" t="s">
        <v>566</v>
      </c>
      <c r="B219" s="131" t="s">
        <v>868</v>
      </c>
      <c r="C219" s="131" t="s">
        <v>869</v>
      </c>
      <c r="D219" s="15">
        <f t="shared" si="377"/>
        <v>45969</v>
      </c>
      <c r="E219" s="60">
        <f t="shared" si="390"/>
        <v>5434.09</v>
      </c>
      <c r="F219" s="61">
        <f t="shared" si="391"/>
        <v>0</v>
      </c>
      <c r="G219" s="62">
        <f>((E219-MAX(E$16:E219))/MAX(E$16:E219))</f>
        <v>-0.14017563291139237</v>
      </c>
      <c r="H219" s="16">
        <f t="shared" si="371"/>
        <v>0</v>
      </c>
      <c r="I219" s="153"/>
      <c r="K219" s="16">
        <f t="shared" si="383"/>
        <v>-4.6650877192982429E-2</v>
      </c>
      <c r="L219" s="77">
        <f>L218</f>
        <v>-2.7999781516276943E-2</v>
      </c>
      <c r="M219" s="16">
        <f t="shared" ref="M219:N219" si="393">M218</f>
        <v>1.6940584442917062E-2</v>
      </c>
      <c r="N219" s="16" t="str">
        <f t="shared" si="393"/>
        <v>Low Volatility</v>
      </c>
      <c r="O219" s="14" t="str">
        <f t="shared" si="363"/>
        <v>Strong Downtrend</v>
      </c>
      <c r="S219" s="131" t="s">
        <v>566</v>
      </c>
      <c r="T219" s="131" t="s">
        <v>1247</v>
      </c>
      <c r="U219" s="131" t="s">
        <v>1248</v>
      </c>
      <c r="V219" s="15">
        <f t="shared" si="369"/>
        <v>45969</v>
      </c>
      <c r="W219" s="60">
        <f t="shared" si="243"/>
        <v>65.72</v>
      </c>
      <c r="X219" s="61">
        <f t="shared" si="244"/>
        <v>0</v>
      </c>
      <c r="Y219" s="62">
        <f>((W219-MAX(W$16:W219))/MAX(W$16:W219))</f>
        <v>-0.11177186106230567</v>
      </c>
      <c r="Z219" s="16">
        <f t="shared" si="245"/>
        <v>0</v>
      </c>
      <c r="AA219" s="153"/>
      <c r="AC219" s="16">
        <f t="shared" si="317"/>
        <v>-1.9250858080883542E-2</v>
      </c>
      <c r="AD219" s="16">
        <f>AD214</f>
        <v>7.5676385030952181E-3</v>
      </c>
      <c r="AE219" s="16">
        <f t="shared" si="385"/>
        <v>1.2870816276485956E-2</v>
      </c>
      <c r="AF219" s="16" t="str">
        <f t="shared" si="386"/>
        <v>Low Volatility</v>
      </c>
      <c r="AG219" s="14" t="str">
        <f t="shared" si="364"/>
        <v>Weak/Unconfirmed</v>
      </c>
      <c r="AI219" s="131" t="s">
        <v>566</v>
      </c>
      <c r="AJ219" s="131">
        <v>421051</v>
      </c>
      <c r="AK219" s="131">
        <v>422081</v>
      </c>
      <c r="AL219" s="15">
        <f t="shared" si="281"/>
        <v>45969</v>
      </c>
      <c r="AM219" s="60">
        <f t="shared" si="271"/>
        <v>42.208100000000002</v>
      </c>
      <c r="AN219" s="61">
        <f t="shared" si="272"/>
        <v>0</v>
      </c>
      <c r="AO219" s="62">
        <f>((AM219-MAX(AM$16:AM219))/MAX(AM$16:AM219))</f>
        <v>0</v>
      </c>
      <c r="AP219" s="16">
        <f t="shared" si="273"/>
        <v>0</v>
      </c>
      <c r="AQ219" s="153"/>
      <c r="AS219" s="16">
        <f t="shared" si="387"/>
        <v>3.759809750297374E-3</v>
      </c>
      <c r="AT219" s="77">
        <f t="shared" si="388"/>
        <v>3.6553249404559411E-3</v>
      </c>
      <c r="AU219" s="16">
        <f t="shared" si="388"/>
        <v>9.4570903199702047E-4</v>
      </c>
      <c r="AV219" s="16" t="str">
        <f t="shared" si="388"/>
        <v>Low Volatility</v>
      </c>
      <c r="AW219" s="14" t="str">
        <f t="shared" si="365"/>
        <v>Stable</v>
      </c>
    </row>
    <row r="220" spans="1:49" ht="15.75" hidden="1" thickBot="1">
      <c r="A220" s="131" t="s">
        <v>571</v>
      </c>
      <c r="B220" s="131" t="s">
        <v>868</v>
      </c>
      <c r="C220" s="131" t="s">
        <v>869</v>
      </c>
      <c r="D220" s="15">
        <f t="shared" si="377"/>
        <v>45970</v>
      </c>
      <c r="E220" s="60">
        <f t="shared" si="390"/>
        <v>5434.09</v>
      </c>
      <c r="F220" s="61">
        <f t="shared" si="391"/>
        <v>0</v>
      </c>
      <c r="G220" s="62">
        <f>((E220-MAX(E$16:E220))/MAX(E$16:E220))</f>
        <v>-0.14017563291139237</v>
      </c>
      <c r="H220" s="16">
        <f t="shared" si="371"/>
        <v>0</v>
      </c>
      <c r="I220" s="153"/>
      <c r="K220" s="16">
        <f t="shared" si="383"/>
        <v>-4.6650877192982429E-2</v>
      </c>
      <c r="L220" s="77">
        <f>L219</f>
        <v>-2.7999781516276943E-2</v>
      </c>
      <c r="M220" s="16">
        <f t="shared" ref="M220:N220" si="394">M219</f>
        <v>1.6940584442917062E-2</v>
      </c>
      <c r="N220" s="16" t="str">
        <f t="shared" si="394"/>
        <v>Low Volatility</v>
      </c>
      <c r="O220" s="14" t="str">
        <f t="shared" si="363"/>
        <v>Strong Downtrend</v>
      </c>
      <c r="S220" s="131" t="s">
        <v>571</v>
      </c>
      <c r="T220" s="131" t="s">
        <v>1247</v>
      </c>
      <c r="U220" s="131" t="s">
        <v>1248</v>
      </c>
      <c r="V220" s="15">
        <f t="shared" si="369"/>
        <v>45970</v>
      </c>
      <c r="W220" s="60">
        <f t="shared" si="243"/>
        <v>65.72</v>
      </c>
      <c r="X220" s="61">
        <f t="shared" si="244"/>
        <v>0</v>
      </c>
      <c r="Y220" s="62">
        <f>((W220-MAX(W$16:W220))/MAX(W$16:W220))</f>
        <v>-0.11177186106230567</v>
      </c>
      <c r="Z220" s="16">
        <f t="shared" si="245"/>
        <v>0</v>
      </c>
      <c r="AA220" s="153"/>
      <c r="AC220" s="16">
        <f t="shared" si="317"/>
        <v>-2.0128224243327785E-2</v>
      </c>
      <c r="AD220" s="16">
        <f>AD214</f>
        <v>7.5676385030952181E-3</v>
      </c>
      <c r="AE220" s="16">
        <f>AE214</f>
        <v>1.2870816276485956E-2</v>
      </c>
      <c r="AF220" s="16" t="str">
        <f t="shared" ref="AF220" si="395">IF(AE220 &lt; 0.02, "Low Volatility",
 IF(AE220 &gt; 0.1, "High Volatility", "Medium Volatility"))</f>
        <v>Low Volatility</v>
      </c>
      <c r="AG220" s="14" t="str">
        <f t="shared" si="364"/>
        <v>Weak/Unconfirmed</v>
      </c>
      <c r="AI220" s="131" t="s">
        <v>571</v>
      </c>
      <c r="AJ220" s="131">
        <v>421051</v>
      </c>
      <c r="AK220" s="131">
        <v>422081</v>
      </c>
      <c r="AL220" s="15">
        <f t="shared" si="281"/>
        <v>45970</v>
      </c>
      <c r="AM220" s="60">
        <f t="shared" si="271"/>
        <v>42.208100000000002</v>
      </c>
      <c r="AN220" s="61">
        <f t="shared" si="272"/>
        <v>0</v>
      </c>
      <c r="AO220" s="62">
        <f>((AM220-MAX(AM$16:AM220))/MAX(AM$16:AM220))</f>
        <v>0</v>
      </c>
      <c r="AP220" s="16">
        <f t="shared" si="273"/>
        <v>0</v>
      </c>
      <c r="AQ220" s="153"/>
      <c r="AS220" s="16">
        <f t="shared" si="387"/>
        <v>3.759809750297374E-3</v>
      </c>
      <c r="AT220" s="77">
        <f t="shared" si="388"/>
        <v>3.6553249404559411E-3</v>
      </c>
      <c r="AU220" s="16">
        <f t="shared" si="388"/>
        <v>9.4570903199702047E-4</v>
      </c>
      <c r="AV220" s="16" t="str">
        <f t="shared" si="388"/>
        <v>Low Volatility</v>
      </c>
      <c r="AW220" s="14" t="str">
        <f t="shared" si="365"/>
        <v>Stable</v>
      </c>
    </row>
    <row r="221" spans="1:49" ht="15.75" hidden="1" thickBot="1">
      <c r="A221" s="131" t="s">
        <v>567</v>
      </c>
      <c r="B221" s="131" t="s">
        <v>870</v>
      </c>
      <c r="C221" s="131" t="s">
        <v>871</v>
      </c>
      <c r="D221" s="15">
        <f t="shared" si="377"/>
        <v>45971</v>
      </c>
      <c r="E221" s="60">
        <f t="shared" si="390"/>
        <v>5583.18</v>
      </c>
      <c r="F221" s="61">
        <f t="shared" si="391"/>
        <v>149.09000000000015</v>
      </c>
      <c r="G221" s="62">
        <f>((E221-MAX(E$16:E221))/MAX(E$16:E221))</f>
        <v>-0.11658544303797463</v>
      </c>
      <c r="H221" s="16">
        <f t="shared" si="371"/>
        <v>2.7436056451034144E-2</v>
      </c>
      <c r="I221" s="153">
        <f>AVERAGEIFS(E221:E228, E221:E228, "&gt;=0")</f>
        <v>5586.8474999999999</v>
      </c>
      <c r="K221" s="16">
        <f t="shared" si="383"/>
        <v>-1.8773286467486768E-2</v>
      </c>
      <c r="L221" s="77">
        <f>(I221-I214)/I214</f>
        <v>4.6378329656347759E-3</v>
      </c>
      <c r="M221" s="16" cm="1">
        <f t="array" ref="M221">_xlfn.STDEV.S(_xlfn._xlws.FILTER(F221:F227, ISNUMBER(F221:F227))) / I221</f>
        <v>1.4976381084877038E-2</v>
      </c>
      <c r="N221" s="16" t="str" cm="1">
        <f t="array" ref="N221">_xlfn.LET(
  _xlpm.c, M42,
  IFERROR(
    _xlfn.IFS(_xlpm.c&lt;0.02,"Low Volatility",
        _xlpm.c&gt;0.1,"High Volatility",
        TRUE,"Medium Volatility"),
    "Insufficient data"
  )
)</f>
        <v>Low Volatility</v>
      </c>
      <c r="O221" s="14" t="str">
        <f t="shared" si="363"/>
        <v>Stable</v>
      </c>
      <c r="S221" s="131" t="s">
        <v>567</v>
      </c>
      <c r="T221" s="131" t="s">
        <v>1249</v>
      </c>
      <c r="U221" s="131" t="s">
        <v>1250</v>
      </c>
      <c r="V221" s="15">
        <f t="shared" si="369"/>
        <v>45971</v>
      </c>
      <c r="W221" s="60">
        <f t="shared" si="243"/>
        <v>68.58</v>
      </c>
      <c r="X221" s="61">
        <f t="shared" si="244"/>
        <v>2.8599999999999994</v>
      </c>
      <c r="Y221" s="62">
        <f>((W221-MAX(W$16:W221))/MAX(W$16:W221))</f>
        <v>-7.3117988917421231E-2</v>
      </c>
      <c r="Z221" s="16">
        <f t="shared" si="245"/>
        <v>4.3517954960438213E-2</v>
      </c>
      <c r="AA221" s="153">
        <f>AVERAGEIFS(W221:W227, W221:W227, "&gt;=0")</f>
        <v>69.732857142857142</v>
      </c>
      <c r="AC221" s="16">
        <f t="shared" si="317"/>
        <v>3.4701267350633634E-2</v>
      </c>
      <c r="AD221" s="66">
        <f>(AA221-AA214)/AA214</f>
        <v>5.9608830616276018E-2</v>
      </c>
      <c r="AE221" s="16" cm="1">
        <f t="array" ref="AE221">_xlfn.STDEV.S(_xlfn._xlws.FILTER(X221:X227, ISNUMBER(X221:X227))) / AA221</f>
        <v>2.7652858873906665E-2</v>
      </c>
      <c r="AF221" s="16" t="str">
        <f t="shared" si="386"/>
        <v>Low Volatility</v>
      </c>
      <c r="AG221" s="14" t="str">
        <f t="shared" si="364"/>
        <v>Strong Uptrend</v>
      </c>
      <c r="AI221" s="131" t="s">
        <v>567</v>
      </c>
      <c r="AJ221" s="131">
        <v>422197</v>
      </c>
      <c r="AK221" s="131">
        <v>422331</v>
      </c>
      <c r="AL221" s="15">
        <f t="shared" si="281"/>
        <v>45971</v>
      </c>
      <c r="AM221" s="60">
        <f t="shared" si="271"/>
        <v>42.2331</v>
      </c>
      <c r="AN221" s="61">
        <f t="shared" si="272"/>
        <v>2.4999999999998579E-2</v>
      </c>
      <c r="AO221" s="62">
        <f>((AM221-MAX(AM$16:AM221))/MAX(AM$16:AM221))</f>
        <v>0</v>
      </c>
      <c r="AP221" s="16">
        <f t="shared" si="273"/>
        <v>5.9230337304921519E-4</v>
      </c>
      <c r="AQ221" s="153">
        <f>AVERAGEIFS(AM221:AM227, AM221:AM227, "&gt;=0")</f>
        <v>42.238600000000005</v>
      </c>
      <c r="AS221" s="16">
        <f t="shared" si="387"/>
        <v>5.0713945740123072E-3</v>
      </c>
      <c r="AT221" s="77">
        <f>(AQ221-AQ214)/AQ214</f>
        <v>2.3591885801579082E-3</v>
      </c>
      <c r="AU221" s="16" cm="1">
        <f t="array" ref="AU221">_xlfn.STDEV.S(_xlfn._xlws.FILTER(AN221:AN227, ISNUMBER(AN221:AN227))) / AQ221</f>
        <v>3.2287398825374115E-4</v>
      </c>
      <c r="AV221" s="16" t="str">
        <f>IF(AU221 &lt; 0.02, "Low Volatility",
 IF(AU221 &gt; 0.1, "High Volatility", "Medium Volatility"))</f>
        <v>Low Volatility</v>
      </c>
      <c r="AW221" s="14" t="str">
        <f t="shared" si="365"/>
        <v>Stable</v>
      </c>
    </row>
    <row r="222" spans="1:49" ht="15.75" hidden="1" thickBot="1">
      <c r="A222" s="131" t="s">
        <v>568</v>
      </c>
      <c r="B222" s="131" t="s">
        <v>872</v>
      </c>
      <c r="C222" s="131" t="s">
        <v>873</v>
      </c>
      <c r="D222" s="15">
        <f t="shared" si="377"/>
        <v>45972</v>
      </c>
      <c r="E222" s="60">
        <f t="shared" si="390"/>
        <v>5606.29</v>
      </c>
      <c r="F222" s="61">
        <f t="shared" si="391"/>
        <v>23.109999999999673</v>
      </c>
      <c r="G222" s="62">
        <f>((E222-MAX(E$16:E222))/MAX(E$16:E222))</f>
        <v>-0.11292879746835444</v>
      </c>
      <c r="H222" s="16">
        <f t="shared" si="371"/>
        <v>4.139218151662614E-3</v>
      </c>
      <c r="I222" s="153"/>
      <c r="K222" s="16">
        <f t="shared" si="383"/>
        <v>-5.0949423247559954E-3</v>
      </c>
      <c r="L222" s="77">
        <f t="shared" ref="L222:M227" si="396">L221</f>
        <v>4.6378329656347759E-3</v>
      </c>
      <c r="M222" s="16">
        <f t="shared" si="396"/>
        <v>1.4976381084877038E-2</v>
      </c>
      <c r="N222" s="16" t="str">
        <f t="shared" ref="N222:N223" si="397">N221</f>
        <v>Low Volatility</v>
      </c>
      <c r="O222" s="14" t="str">
        <f t="shared" si="363"/>
        <v>Stable</v>
      </c>
      <c r="S222" s="131" t="s">
        <v>568</v>
      </c>
      <c r="T222" s="131" t="s">
        <v>1251</v>
      </c>
      <c r="U222" s="131" t="s">
        <v>1252</v>
      </c>
      <c r="V222" s="15">
        <f t="shared" si="369"/>
        <v>45972</v>
      </c>
      <c r="W222" s="60">
        <f t="shared" si="243"/>
        <v>69.55</v>
      </c>
      <c r="X222" s="61">
        <f t="shared" si="244"/>
        <v>0.96999999999999886</v>
      </c>
      <c r="Y222" s="62">
        <f>((W222-MAX(W$16:W222))/MAX(W$16:W222))</f>
        <v>-6.0008109203946454E-2</v>
      </c>
      <c r="Z222" s="16">
        <f t="shared" si="245"/>
        <v>1.4144065325167671E-2</v>
      </c>
      <c r="AA222" s="153"/>
      <c r="AC222" s="16">
        <f t="shared" si="317"/>
        <v>7.1648690292757958E-2</v>
      </c>
      <c r="AD222" s="16">
        <f>AD221</f>
        <v>5.9608830616276018E-2</v>
      </c>
      <c r="AE222" s="16">
        <f>AE221</f>
        <v>2.7652858873906665E-2</v>
      </c>
      <c r="AF222" s="16" t="str">
        <f t="shared" si="386"/>
        <v>Low Volatility</v>
      </c>
      <c r="AG222" s="14" t="str">
        <f t="shared" si="364"/>
        <v>Strong Uptrend</v>
      </c>
      <c r="AI222" s="131" t="s">
        <v>568</v>
      </c>
      <c r="AJ222" s="131">
        <v>422332</v>
      </c>
      <c r="AK222" s="131">
        <v>422206</v>
      </c>
      <c r="AL222" s="15">
        <f t="shared" si="281"/>
        <v>45972</v>
      </c>
      <c r="AM222" s="60">
        <f t="shared" si="271"/>
        <v>42.220599999999997</v>
      </c>
      <c r="AN222" s="61">
        <f t="shared" si="272"/>
        <v>-1.2500000000002842E-2</v>
      </c>
      <c r="AO222" s="62">
        <f>((AM222-MAX(AM$16:AM222))/MAX(AM$16:AM222))</f>
        <v>-2.9597637871723464E-4</v>
      </c>
      <c r="AP222" s="16">
        <f t="shared" si="273"/>
        <v>-2.9597637871723464E-4</v>
      </c>
      <c r="AQ222" s="153"/>
      <c r="AS222" s="16">
        <f t="shared" si="387"/>
        <v>3.5797480389825808E-3</v>
      </c>
      <c r="AT222" s="77">
        <f t="shared" ref="AT222:AV227" si="398">AT221</f>
        <v>2.3591885801579082E-3</v>
      </c>
      <c r="AU222" s="16">
        <f t="shared" si="398"/>
        <v>3.2287398825374115E-4</v>
      </c>
      <c r="AV222" s="16" t="str">
        <f t="shared" si="398"/>
        <v>Low Volatility</v>
      </c>
      <c r="AW222" s="14" t="str">
        <f t="shared" si="365"/>
        <v>Stable</v>
      </c>
    </row>
    <row r="223" spans="1:49" ht="15.75" hidden="1" thickBot="1">
      <c r="A223" s="131" t="s">
        <v>569</v>
      </c>
      <c r="B223" s="131" t="s">
        <v>874</v>
      </c>
      <c r="C223" s="131" t="s">
        <v>875</v>
      </c>
      <c r="D223" s="15">
        <f t="shared" si="377"/>
        <v>45973</v>
      </c>
      <c r="E223" s="60">
        <f t="shared" si="390"/>
        <v>5698.19</v>
      </c>
      <c r="F223" s="61">
        <f t="shared" si="391"/>
        <v>91.899999999999636</v>
      </c>
      <c r="G223" s="62">
        <f>((E223-MAX(E$16:E223))/MAX(E$16:E223))</f>
        <v>-9.838765822784816E-2</v>
      </c>
      <c r="H223" s="16">
        <f t="shared" si="371"/>
        <v>1.6392302217687567E-2</v>
      </c>
      <c r="I223" s="153"/>
      <c r="K223" s="16">
        <f>('Daily Log'!B32-E216)/E216</f>
        <v>-1</v>
      </c>
      <c r="L223" s="77">
        <f t="shared" si="396"/>
        <v>4.6378329656347759E-3</v>
      </c>
      <c r="M223" s="16">
        <f t="shared" si="396"/>
        <v>1.4976381084877038E-2</v>
      </c>
      <c r="N223" s="16" t="str">
        <f t="shared" si="397"/>
        <v>Low Volatility</v>
      </c>
      <c r="O223" s="14" t="str">
        <f t="shared" si="363"/>
        <v>Stable</v>
      </c>
      <c r="S223" s="131" t="s">
        <v>569</v>
      </c>
      <c r="T223" s="131" t="s">
        <v>1253</v>
      </c>
      <c r="U223" s="131" t="s">
        <v>1254</v>
      </c>
      <c r="V223" s="15">
        <f t="shared" si="369"/>
        <v>45973</v>
      </c>
      <c r="W223" s="60">
        <f t="shared" si="243"/>
        <v>72.37</v>
      </c>
      <c r="X223" s="61">
        <f t="shared" si="244"/>
        <v>2.8200000000000074</v>
      </c>
      <c r="Y223" s="62">
        <f>((W223-MAX(W$16:W223))/MAX(W$16:W223))</f>
        <v>-2.1894850655493858E-2</v>
      </c>
      <c r="Z223" s="16">
        <f t="shared" si="245"/>
        <v>4.0546369518332244E-2</v>
      </c>
      <c r="AA223" s="153"/>
      <c r="AC223" s="16">
        <f t="shared" si="317"/>
        <v>9.2047683718122969E-2</v>
      </c>
      <c r="AD223" s="16">
        <f>AD221</f>
        <v>5.9608830616276018E-2</v>
      </c>
      <c r="AE223" s="16">
        <f>AE222</f>
        <v>2.7652858873906665E-2</v>
      </c>
      <c r="AF223" s="16" t="str">
        <f t="shared" si="386"/>
        <v>Low Volatility</v>
      </c>
      <c r="AG223" s="14" t="str">
        <f t="shared" si="364"/>
        <v>Strong Uptrend</v>
      </c>
      <c r="AI223" s="131" t="s">
        <v>569</v>
      </c>
      <c r="AJ223" s="131">
        <v>422205</v>
      </c>
      <c r="AK223" s="131">
        <v>422306</v>
      </c>
      <c r="AL223" s="15">
        <f t="shared" si="281"/>
        <v>45973</v>
      </c>
      <c r="AM223" s="60">
        <f t="shared" si="271"/>
        <v>42.230600000000003</v>
      </c>
      <c r="AN223" s="61">
        <f t="shared" si="272"/>
        <v>1.0000000000005116E-2</v>
      </c>
      <c r="AO223" s="62">
        <f>((AM223-MAX(AM$16:AM223))/MAX(AM$16:AM223))</f>
        <v>-5.9195275743379632E-5</v>
      </c>
      <c r="AP223" s="16">
        <f t="shared" si="273"/>
        <v>2.3685120533590515E-4</v>
      </c>
      <c r="AQ223" s="153"/>
      <c r="AS223" s="16">
        <f>(AM223-AM216)/AM216</f>
        <v>2.3878471398053646E-3</v>
      </c>
      <c r="AT223" s="77">
        <f t="shared" si="398"/>
        <v>2.3591885801579082E-3</v>
      </c>
      <c r="AU223" s="16">
        <f t="shared" si="398"/>
        <v>3.2287398825374115E-4</v>
      </c>
      <c r="AV223" s="16" t="str">
        <f t="shared" si="398"/>
        <v>Low Volatility</v>
      </c>
      <c r="AW223" s="14" t="str">
        <f t="shared" si="365"/>
        <v>Stable</v>
      </c>
    </row>
    <row r="224" spans="1:49" ht="15.75" hidden="1" thickBot="1">
      <c r="A224" s="131" t="s">
        <v>573</v>
      </c>
      <c r="B224" s="131" t="s">
        <v>876</v>
      </c>
      <c r="C224" s="131" t="s">
        <v>877</v>
      </c>
      <c r="D224" s="15">
        <f t="shared" si="377"/>
        <v>45974</v>
      </c>
      <c r="E224" s="60">
        <f t="shared" si="390"/>
        <v>5656.47</v>
      </c>
      <c r="F224" s="61">
        <f t="shared" si="391"/>
        <v>-41.719999999999345</v>
      </c>
      <c r="G224" s="62">
        <f>((E224-MAX(E$16:E224))/MAX(E$16:E224))</f>
        <v>-0.10498892405063287</v>
      </c>
      <c r="H224" s="16">
        <f t="shared" si="371"/>
        <v>-7.3216231820980608E-3</v>
      </c>
      <c r="I224" s="153"/>
      <c r="K224" s="16">
        <f t="shared" ref="K224:K287" si="399">(E224-E217)/E217</f>
        <v>-2.3862433862433413E-3</v>
      </c>
      <c r="L224" s="77">
        <f t="shared" si="396"/>
        <v>4.6378329656347759E-3</v>
      </c>
      <c r="M224" s="16">
        <f t="shared" si="396"/>
        <v>1.4976381084877038E-2</v>
      </c>
      <c r="N224" s="16" t="str">
        <f t="shared" ref="N224" si="400">N223</f>
        <v>Low Volatility</v>
      </c>
      <c r="O224" s="14" t="str">
        <f t="shared" si="363"/>
        <v>Stable</v>
      </c>
      <c r="S224" s="131" t="s">
        <v>573</v>
      </c>
      <c r="T224" s="131" t="s">
        <v>1255</v>
      </c>
      <c r="U224" s="131" t="s">
        <v>1256</v>
      </c>
      <c r="V224" s="15">
        <f t="shared" si="369"/>
        <v>45974</v>
      </c>
      <c r="W224" s="60">
        <f t="shared" si="243"/>
        <v>71.08</v>
      </c>
      <c r="X224" s="61">
        <f t="shared" si="244"/>
        <v>-1.2900000000000063</v>
      </c>
      <c r="Y224" s="62">
        <f>((W224-MAX(W$16:W224))/MAX(W$16:W224))</f>
        <v>-3.9329639140424338E-2</v>
      </c>
      <c r="Z224" s="16">
        <f t="shared" si="245"/>
        <v>-1.7825065634931688E-2</v>
      </c>
      <c r="AA224" s="153"/>
      <c r="AC224" s="16">
        <f>(W224-W217)/W217</f>
        <v>7.5991522858007809E-2</v>
      </c>
      <c r="AD224" s="16">
        <f>AD221</f>
        <v>5.9608830616276018E-2</v>
      </c>
      <c r="AE224" s="16">
        <f>AE223</f>
        <v>2.7652858873906665E-2</v>
      </c>
      <c r="AF224" s="16" t="str">
        <f t="shared" si="386"/>
        <v>Low Volatility</v>
      </c>
      <c r="AG224" s="14" t="str">
        <f t="shared" si="364"/>
        <v>Strong Uptrend</v>
      </c>
      <c r="AI224" s="131" t="s">
        <v>573</v>
      </c>
      <c r="AJ224" s="131">
        <v>422300</v>
      </c>
      <c r="AK224" s="131">
        <v>422506</v>
      </c>
      <c r="AL224" s="15">
        <f t="shared" si="281"/>
        <v>45974</v>
      </c>
      <c r="AM224" s="60">
        <f t="shared" si="271"/>
        <v>42.250599999999999</v>
      </c>
      <c r="AN224" s="61">
        <f t="shared" si="272"/>
        <v>1.9999999999996021E-2</v>
      </c>
      <c r="AO224" s="62">
        <f>((AM224-MAX(AM$16:AM224))/MAX(AM$16:AM224))</f>
        <v>0</v>
      </c>
      <c r="AP224" s="16">
        <f t="shared" si="273"/>
        <v>4.7359024025223464E-4</v>
      </c>
      <c r="AQ224" s="153"/>
      <c r="AS224" s="16">
        <f t="shared" si="387"/>
        <v>2.8625682411582256E-3</v>
      </c>
      <c r="AT224" s="77">
        <f t="shared" si="398"/>
        <v>2.3591885801579082E-3</v>
      </c>
      <c r="AU224" s="16">
        <f t="shared" si="398"/>
        <v>3.2287398825374115E-4</v>
      </c>
      <c r="AV224" s="16" t="str">
        <f t="shared" si="398"/>
        <v>Low Volatility</v>
      </c>
      <c r="AW224" s="14" t="str">
        <f t="shared" si="365"/>
        <v>Stable</v>
      </c>
    </row>
    <row r="225" spans="1:49" ht="15.75" hidden="1" thickBot="1">
      <c r="A225" s="131" t="s">
        <v>574</v>
      </c>
      <c r="B225" s="131" t="s">
        <v>878</v>
      </c>
      <c r="C225" s="131" t="s">
        <v>879</v>
      </c>
      <c r="D225" s="15">
        <f t="shared" si="377"/>
        <v>45975</v>
      </c>
      <c r="E225" s="60">
        <f t="shared" si="390"/>
        <v>5551.47</v>
      </c>
      <c r="F225" s="61">
        <f t="shared" si="391"/>
        <v>-105</v>
      </c>
      <c r="G225" s="62">
        <f>((E225-MAX(E$16:E225))/MAX(E$16:E225))</f>
        <v>-0.12160284810126579</v>
      </c>
      <c r="H225" s="16">
        <f t="shared" si="371"/>
        <v>-1.8562813910442379E-2</v>
      </c>
      <c r="I225" s="153"/>
      <c r="K225" s="16">
        <f t="shared" si="399"/>
        <v>2.1600672789740344E-2</v>
      </c>
      <c r="L225" s="77">
        <f t="shared" si="396"/>
        <v>4.6378329656347759E-3</v>
      </c>
      <c r="M225" s="16">
        <f t="shared" si="396"/>
        <v>1.4976381084877038E-2</v>
      </c>
      <c r="N225" s="16" t="str">
        <f t="shared" ref="N225" si="401">N224</f>
        <v>Low Volatility</v>
      </c>
      <c r="O225" s="14" t="str">
        <f t="shared" si="363"/>
        <v>Stable</v>
      </c>
      <c r="S225" s="131" t="s">
        <v>574</v>
      </c>
      <c r="T225" s="131" t="s">
        <v>1256</v>
      </c>
      <c r="U225" s="131" t="s">
        <v>1257</v>
      </c>
      <c r="V225" s="15">
        <f t="shared" si="369"/>
        <v>45975</v>
      </c>
      <c r="W225" s="60">
        <f t="shared" si="243"/>
        <v>68.849999999999994</v>
      </c>
      <c r="X225" s="61">
        <f t="shared" si="244"/>
        <v>-2.230000000000004</v>
      </c>
      <c r="Y225" s="62">
        <f>((W225-MAX(W$16:W225))/MAX(W$16:W225))</f>
        <v>-6.9468847141505627E-2</v>
      </c>
      <c r="Z225" s="16">
        <f t="shared" si="245"/>
        <v>-3.1373100731570118E-2</v>
      </c>
      <c r="AA225" s="153"/>
      <c r="AC225" s="16">
        <f>(W225-W218)/W218</f>
        <v>4.7626293365794208E-2</v>
      </c>
      <c r="AD225" s="16">
        <f>AD221</f>
        <v>5.9608830616276018E-2</v>
      </c>
      <c r="AE225" s="16">
        <f>AE224</f>
        <v>2.7652858873906665E-2</v>
      </c>
      <c r="AF225" s="16" t="str">
        <f t="shared" si="386"/>
        <v>Low Volatility</v>
      </c>
      <c r="AG225" s="14" t="str">
        <f t="shared" si="364"/>
        <v>Strong Uptrend</v>
      </c>
      <c r="AI225" s="131" t="s">
        <v>574</v>
      </c>
      <c r="AJ225" s="131">
        <v>422509</v>
      </c>
      <c r="AK225" s="131">
        <v>422451</v>
      </c>
      <c r="AL225" s="15">
        <f t="shared" si="281"/>
        <v>45975</v>
      </c>
      <c r="AM225" s="60">
        <f t="shared" si="271"/>
        <v>42.245100000000001</v>
      </c>
      <c r="AN225" s="61">
        <f t="shared" si="272"/>
        <v>-5.49999999999784E-3</v>
      </c>
      <c r="AO225" s="62">
        <f>((AM225-MAX(AM$16:AM225))/MAX(AM$16:AM225))</f>
        <v>-1.3017566614433498E-4</v>
      </c>
      <c r="AP225" s="16">
        <f t="shared" si="273"/>
        <v>-1.3017566614433498E-4</v>
      </c>
      <c r="AQ225" s="153"/>
      <c r="AS225" s="16">
        <f t="shared" si="387"/>
        <v>8.7660899211286535E-4</v>
      </c>
      <c r="AT225" s="77">
        <f t="shared" si="398"/>
        <v>2.3591885801579082E-3</v>
      </c>
      <c r="AU225" s="16">
        <f t="shared" si="398"/>
        <v>3.2287398825374115E-4</v>
      </c>
      <c r="AV225" s="16" t="str">
        <f t="shared" si="398"/>
        <v>Low Volatility</v>
      </c>
      <c r="AW225" s="14" t="str">
        <f t="shared" si="365"/>
        <v>Stable</v>
      </c>
    </row>
    <row r="226" spans="1:49" ht="15.75" hidden="1" thickBot="1">
      <c r="A226" s="131" t="s">
        <v>575</v>
      </c>
      <c r="B226" s="131" t="s">
        <v>878</v>
      </c>
      <c r="C226" s="131" t="s">
        <v>879</v>
      </c>
      <c r="D226" s="15">
        <f t="shared" si="377"/>
        <v>45976</v>
      </c>
      <c r="E226" s="60">
        <f t="shared" si="390"/>
        <v>5551.47</v>
      </c>
      <c r="F226" s="61">
        <f t="shared" si="391"/>
        <v>0</v>
      </c>
      <c r="G226" s="62">
        <f>((E226-MAX(E$16:E226))/MAX(E$16:E226))</f>
        <v>-0.12160284810126579</v>
      </c>
      <c r="H226" s="16">
        <f t="shared" si="371"/>
        <v>0</v>
      </c>
      <c r="I226" s="153"/>
      <c r="K226" s="16">
        <f t="shared" si="399"/>
        <v>2.1600672789740344E-2</v>
      </c>
      <c r="L226" s="77">
        <f t="shared" si="396"/>
        <v>4.6378329656347759E-3</v>
      </c>
      <c r="M226" s="16">
        <f t="shared" si="396"/>
        <v>1.4976381084877038E-2</v>
      </c>
      <c r="N226" s="16" t="str">
        <f t="shared" ref="N226" si="402">N225</f>
        <v>Low Volatility</v>
      </c>
      <c r="O226" s="14" t="str">
        <f t="shared" si="363"/>
        <v>Stable</v>
      </c>
      <c r="S226" s="131" t="s">
        <v>575</v>
      </c>
      <c r="T226" s="131" t="s">
        <v>1256</v>
      </c>
      <c r="U226" s="131" t="s">
        <v>1257</v>
      </c>
      <c r="V226" s="15">
        <f t="shared" si="369"/>
        <v>45976</v>
      </c>
      <c r="W226" s="60">
        <f t="shared" si="243"/>
        <v>68.849999999999994</v>
      </c>
      <c r="X226" s="61">
        <f t="shared" si="244"/>
        <v>0</v>
      </c>
      <c r="Y226" s="62">
        <f>((W226-MAX(W$16:W226))/MAX(W$16:W226))</f>
        <v>-6.9468847141505627E-2</v>
      </c>
      <c r="Z226" s="16">
        <f t="shared" si="245"/>
        <v>0</v>
      </c>
      <c r="AA226" s="153"/>
      <c r="AC226" s="16">
        <f>(W226-W219)/W219</f>
        <v>4.7626293365794208E-2</v>
      </c>
      <c r="AD226" s="16">
        <f>AD221</f>
        <v>5.9608830616276018E-2</v>
      </c>
      <c r="AE226" s="16">
        <f>AE225</f>
        <v>2.7652858873906665E-2</v>
      </c>
      <c r="AF226" s="16" t="str">
        <f t="shared" ref="AF226" si="403">AF225</f>
        <v>Low Volatility</v>
      </c>
      <c r="AG226" s="14" t="str">
        <f t="shared" si="364"/>
        <v>Strong Uptrend</v>
      </c>
      <c r="AI226" s="131" t="s">
        <v>575</v>
      </c>
      <c r="AJ226" s="131">
        <v>422509</v>
      </c>
      <c r="AK226" s="131">
        <v>422451</v>
      </c>
      <c r="AL226" s="15">
        <f t="shared" si="281"/>
        <v>45976</v>
      </c>
      <c r="AM226" s="60">
        <f t="shared" si="271"/>
        <v>42.245100000000001</v>
      </c>
      <c r="AN226" s="61">
        <f t="shared" si="272"/>
        <v>0</v>
      </c>
      <c r="AO226" s="62">
        <f>((AM226-MAX(AM$16:AM226))/MAX(AM$16:AM226))</f>
        <v>-1.3017566614433498E-4</v>
      </c>
      <c r="AP226" s="16">
        <f t="shared" si="273"/>
        <v>0</v>
      </c>
      <c r="AQ226" s="153"/>
      <c r="AS226" s="16">
        <f t="shared" si="387"/>
        <v>8.7660899211286535E-4</v>
      </c>
      <c r="AT226" s="77">
        <f t="shared" si="398"/>
        <v>2.3591885801579082E-3</v>
      </c>
      <c r="AU226" s="16">
        <f t="shared" si="398"/>
        <v>3.2287398825374115E-4</v>
      </c>
      <c r="AV226" s="16" t="str">
        <f t="shared" si="398"/>
        <v>Low Volatility</v>
      </c>
      <c r="AW226" s="14" t="str">
        <f t="shared" si="365"/>
        <v>Stable</v>
      </c>
    </row>
    <row r="227" spans="1:49" ht="15.75" hidden="1" thickBot="1">
      <c r="A227" s="131" t="s">
        <v>576</v>
      </c>
      <c r="B227" s="131" t="s">
        <v>878</v>
      </c>
      <c r="C227" s="131" t="s">
        <v>879</v>
      </c>
      <c r="D227" s="15">
        <f t="shared" si="377"/>
        <v>45977</v>
      </c>
      <c r="E227" s="60">
        <f t="shared" si="390"/>
        <v>5551.47</v>
      </c>
      <c r="F227" s="61">
        <f t="shared" si="391"/>
        <v>0</v>
      </c>
      <c r="G227" s="62">
        <f>((E227-MAX(E$16:E227))/MAX(E$16:E227))</f>
        <v>-0.12160284810126579</v>
      </c>
      <c r="H227" s="16">
        <f t="shared" si="371"/>
        <v>0</v>
      </c>
      <c r="I227" s="153"/>
      <c r="K227" s="16">
        <f t="shared" si="399"/>
        <v>2.1600672789740344E-2</v>
      </c>
      <c r="L227" s="77">
        <f t="shared" si="396"/>
        <v>4.6378329656347759E-3</v>
      </c>
      <c r="M227" s="16">
        <f t="shared" si="396"/>
        <v>1.4976381084877038E-2</v>
      </c>
      <c r="N227" s="16" t="str">
        <f t="shared" ref="N227" si="404">N226</f>
        <v>Low Volatility</v>
      </c>
      <c r="O227" s="14" t="str">
        <f t="shared" si="363"/>
        <v>Stable</v>
      </c>
      <c r="S227" s="131" t="s">
        <v>576</v>
      </c>
      <c r="T227" s="131" t="s">
        <v>1256</v>
      </c>
      <c r="U227" s="131" t="s">
        <v>1257</v>
      </c>
      <c r="V227" s="15">
        <f t="shared" si="369"/>
        <v>45977</v>
      </c>
      <c r="W227" s="60">
        <f t="shared" si="243"/>
        <v>68.849999999999994</v>
      </c>
      <c r="X227" s="61">
        <f t="shared" si="244"/>
        <v>0</v>
      </c>
      <c r="Y227" s="62">
        <f>((W227-MAX(W$16:W227))/MAX(W$16:W227))</f>
        <v>-6.9468847141505627E-2</v>
      </c>
      <c r="Z227" s="16">
        <f t="shared" si="245"/>
        <v>0</v>
      </c>
      <c r="AA227" s="153"/>
      <c r="AC227" s="16">
        <f>(W227-W220)/W220</f>
        <v>4.7626293365794208E-2</v>
      </c>
      <c r="AD227" s="16">
        <f>AD221</f>
        <v>5.9608830616276018E-2</v>
      </c>
      <c r="AE227" s="16">
        <f>AE221</f>
        <v>2.7652858873906665E-2</v>
      </c>
      <c r="AF227" s="16" t="str">
        <f>IF(AE227 &lt; 0.02, "Low Volatility",
 IF(AE227 &gt; 0.1, "High Volatility", "Medium Volatility"))</f>
        <v>Medium Volatility</v>
      </c>
      <c r="AG227" s="14" t="str">
        <f t="shared" si="364"/>
        <v>Strong Uptrend</v>
      </c>
      <c r="AI227" s="131" t="s">
        <v>576</v>
      </c>
      <c r="AJ227" s="131">
        <v>422509</v>
      </c>
      <c r="AK227" s="131">
        <v>422451</v>
      </c>
      <c r="AL227" s="15">
        <f t="shared" si="281"/>
        <v>45977</v>
      </c>
      <c r="AM227" s="60">
        <f t="shared" si="271"/>
        <v>42.245100000000001</v>
      </c>
      <c r="AN227" s="61">
        <f t="shared" si="272"/>
        <v>0</v>
      </c>
      <c r="AO227" s="62">
        <f>((AM227-MAX(AM$16:AM227))/MAX(AM$16:AM227))</f>
        <v>-1.3017566614433498E-4</v>
      </c>
      <c r="AP227" s="16">
        <f t="shared" si="273"/>
        <v>0</v>
      </c>
      <c r="AQ227" s="153"/>
      <c r="AS227" s="16">
        <f t="shared" si="387"/>
        <v>8.7660899211286535E-4</v>
      </c>
      <c r="AT227" s="77">
        <f t="shared" si="398"/>
        <v>2.3591885801579082E-3</v>
      </c>
      <c r="AU227" s="16">
        <f t="shared" si="398"/>
        <v>3.2287398825374115E-4</v>
      </c>
      <c r="AV227" s="16" t="str">
        <f t="shared" si="398"/>
        <v>Low Volatility</v>
      </c>
      <c r="AW227" s="14" t="str">
        <f t="shared" si="365"/>
        <v>Stable</v>
      </c>
    </row>
    <row r="228" spans="1:49" ht="15.75" hidden="1" thickBot="1">
      <c r="A228" s="131" t="s">
        <v>577</v>
      </c>
      <c r="B228" s="131" t="s">
        <v>880</v>
      </c>
      <c r="C228" s="131" t="s">
        <v>881</v>
      </c>
      <c r="D228" s="15">
        <f t="shared" si="377"/>
        <v>45978</v>
      </c>
      <c r="E228" s="60">
        <f t="shared" si="390"/>
        <v>5496.24</v>
      </c>
      <c r="F228" s="61">
        <f t="shared" si="391"/>
        <v>-55.230000000000473</v>
      </c>
      <c r="G228" s="62">
        <f>((E228-MAX(E$16:E228))/MAX(E$16:E228))</f>
        <v>-0.13034177215189877</v>
      </c>
      <c r="H228" s="16">
        <f t="shared" si="371"/>
        <v>-9.9487162859567772E-3</v>
      </c>
      <c r="I228" s="153">
        <f>AVERAGEIFS(E228:E235, E228:E235, "&gt;=0")</f>
        <v>5554.0512499999995</v>
      </c>
      <c r="K228" s="16">
        <f t="shared" si="399"/>
        <v>-1.5571770926246424E-2</v>
      </c>
      <c r="L228" s="77">
        <f>(I228-I221)/I221</f>
        <v>-5.8702604644211833E-3</v>
      </c>
      <c r="M228" s="16" cm="1">
        <f t="array" ref="M228">_xlfn.STDEV.S(_xlfn._xlws.FILTER(F228:F234, ISNUMBER(F228:F234))) / I228</f>
        <v>5.19618163219422E-3</v>
      </c>
      <c r="N228" s="16" t="str" cm="1">
        <f t="array" ref="N228">_xlfn.LET(
  _xlpm.c, M49,
  IFERROR(
    _xlfn.IFS(_xlpm.c&lt;0.02,"Low Volatility",
        _xlpm.c&gt;0.1,"High Volatility",
        TRUE,"Medium Volatility"),
    "Insufficient data"
  )
)</f>
        <v>Low Volatility</v>
      </c>
      <c r="O228" s="14" t="str">
        <f t="shared" ref="O228:O234" si="405">IF(AND(K228 &gt; 0.01, L228 &gt; 0.01), "Strong Uptrend",
 IF(AND(K228 &lt; -0.01, L228 &lt; -0.01), "Strong Downtrend",
 IF(ABS(L228) &lt; 0.005, "Stable", "Weak/Unconfirmed")))</f>
        <v>Weak/Unconfirmed</v>
      </c>
      <c r="S228" s="131" t="s">
        <v>577</v>
      </c>
      <c r="T228" s="131" t="s">
        <v>1258</v>
      </c>
      <c r="U228" s="131" t="s">
        <v>1259</v>
      </c>
      <c r="V228" s="15">
        <f t="shared" si="369"/>
        <v>45978</v>
      </c>
      <c r="W228" s="60">
        <f t="shared" si="243"/>
        <v>68.239999999999995</v>
      </c>
      <c r="X228" s="61">
        <f t="shared" si="244"/>
        <v>-0.60999999999999943</v>
      </c>
      <c r="Y228" s="62">
        <f>((W228-MAX(W$16:W228))/MAX(W$16:W228))</f>
        <v>-7.771320448709286E-2</v>
      </c>
      <c r="Z228" s="16">
        <f t="shared" si="245"/>
        <v>-8.859840232389244E-3</v>
      </c>
      <c r="AA228" s="153">
        <f>AVERAGEIFS(W228:W234, W228:W234, "&gt;=0")</f>
        <v>68.648571428571429</v>
      </c>
      <c r="AC228" s="16">
        <f t="shared" ref="AC228:AC229" si="406">(W228-W221)/W221</f>
        <v>-4.957713619130992E-3</v>
      </c>
      <c r="AD228" s="66">
        <f>(AA228-AA221)/AA221</f>
        <v>-1.554913650052238E-2</v>
      </c>
      <c r="AE228" s="16" cm="1">
        <f t="array" ref="AE228">_xlfn.STDEV.S(_xlfn._xlws.FILTER(X228:X234, ISNUMBER(X228:X234))) / AA228</f>
        <v>1.0078549881874423E-2</v>
      </c>
      <c r="AF228" s="16" t="str">
        <f t="shared" ref="AF228" si="407">IF(AE228 &lt; 0.02, "Low Volatility",
 IF(AE228 &gt; 0.1, "High Volatility", "Medium Volatility"))</f>
        <v>Low Volatility</v>
      </c>
      <c r="AG228" s="14" t="str">
        <f t="shared" ref="AG228:AG255" si="408">IF(AND(AC228 &gt; 0.01, AD228 &gt; 0.01), "Strong Uptrend",
 IF(AND(AC228 &lt; -0.01, AD228 &lt; -0.01), "Strong Downtrend",
 IF(ABS(AD228) &lt; 0.005, "Stable", "Weak/Unconfirmed")))</f>
        <v>Weak/Unconfirmed</v>
      </c>
      <c r="AI228" s="131" t="s">
        <v>577</v>
      </c>
      <c r="AJ228" s="131">
        <v>422860</v>
      </c>
      <c r="AK228" s="131">
        <v>423089</v>
      </c>
      <c r="AL228" s="15">
        <f t="shared" si="281"/>
        <v>45978</v>
      </c>
      <c r="AM228" s="60">
        <f t="shared" si="271"/>
        <v>42.308900000000001</v>
      </c>
      <c r="AN228" s="61">
        <f t="shared" si="272"/>
        <v>6.3800000000000523E-2</v>
      </c>
      <c r="AO228" s="62">
        <f>((AM228-MAX(AM$16:AM228))/MAX(AM$16:AM228))</f>
        <v>0</v>
      </c>
      <c r="AP228" s="16">
        <f t="shared" si="273"/>
        <v>1.5102343230339263E-3</v>
      </c>
      <c r="AQ228" s="153">
        <f t="shared" ref="AQ228" si="409">AVERAGEIFS(AM228:AM234, AM228:AM234, "&gt;=0")</f>
        <v>42.381599999999999</v>
      </c>
      <c r="AS228" s="16">
        <f t="shared" si="387"/>
        <v>1.7948007605409259E-3</v>
      </c>
      <c r="AT228" s="77">
        <f t="shared" ref="AT228" si="410">(AQ228-AQ221)/AQ221</f>
        <v>3.3855288764304109E-3</v>
      </c>
      <c r="AU228" s="16" cm="1">
        <f t="array" ref="AU228">_xlfn.STDEV.S(_xlfn._xlws.FILTER(AN228:AN234, ISNUMBER(AN228:AN234))) / AQ228</f>
        <v>6.6697511355849073E-4</v>
      </c>
      <c r="AV228" s="16" t="str">
        <f t="shared" ref="AV228" si="411">IF(AU228 &lt; 0.02, "Low Volatility",
 IF(AU228 &gt; 0.1, "High Volatility", "Medium Volatility"))</f>
        <v>Low Volatility</v>
      </c>
      <c r="AW228" s="14" t="str">
        <f t="shared" ref="AW228:AW291" si="412">IF(AND(AS228 &gt; 0.01, AT228 &gt; 0.01), "Strong Uptrend",
 IF(AND(AS228 &lt; -0.01, AT228 &lt; -0.01), "Strong Downtrend",
 IF(ABS(AT228) &lt; 0.005, "Stable", "Weak/Unconfirmed")))</f>
        <v>Stable</v>
      </c>
    </row>
    <row r="229" spans="1:49" ht="15.75" hidden="1" thickBot="1">
      <c r="A229" s="131" t="s">
        <v>578</v>
      </c>
      <c r="B229" s="131" t="s">
        <v>882</v>
      </c>
      <c r="C229" s="131" t="s">
        <v>883</v>
      </c>
      <c r="D229" s="15">
        <f t="shared" si="377"/>
        <v>45979</v>
      </c>
      <c r="E229" s="60">
        <f t="shared" si="390"/>
        <v>5538.52</v>
      </c>
      <c r="F229" s="61">
        <f t="shared" si="391"/>
        <v>42.280000000000655</v>
      </c>
      <c r="G229" s="62">
        <f>((E229-MAX(E$16:E229))/MAX(E$16:E229))</f>
        <v>-0.12365189873417715</v>
      </c>
      <c r="H229" s="16">
        <f t="shared" si="371"/>
        <v>7.6925316216178074E-3</v>
      </c>
      <c r="I229" s="153"/>
      <c r="K229" s="16">
        <f t="shared" si="399"/>
        <v>-1.2088208066296879E-2</v>
      </c>
      <c r="L229" s="77">
        <f t="shared" ref="L229:N234" si="413">L228</f>
        <v>-5.8702604644211833E-3</v>
      </c>
      <c r="M229" s="16">
        <f t="shared" si="413"/>
        <v>5.19618163219422E-3</v>
      </c>
      <c r="N229" s="16" t="str">
        <f t="shared" si="413"/>
        <v>Low Volatility</v>
      </c>
      <c r="O229" s="14" t="str">
        <f t="shared" si="405"/>
        <v>Weak/Unconfirmed</v>
      </c>
      <c r="S229" s="131" t="s">
        <v>578</v>
      </c>
      <c r="T229" s="131" t="s">
        <v>1259</v>
      </c>
      <c r="U229" s="131" t="s">
        <v>1260</v>
      </c>
      <c r="V229" s="15">
        <f t="shared" si="369"/>
        <v>45979</v>
      </c>
      <c r="W229" s="60">
        <f t="shared" si="243"/>
        <v>69.19</v>
      </c>
      <c r="X229" s="61">
        <f t="shared" si="244"/>
        <v>0.95000000000000284</v>
      </c>
      <c r="Y229" s="62">
        <f>((W229-MAX(W$16:W229))/MAX(W$16:W229))</f>
        <v>-6.4873631571833998E-2</v>
      </c>
      <c r="Z229" s="16">
        <f t="shared" si="245"/>
        <v>1.3921453692848812E-2</v>
      </c>
      <c r="AA229" s="153"/>
      <c r="AC229" s="16">
        <f t="shared" si="406"/>
        <v>-5.1761322789360097E-3</v>
      </c>
      <c r="AD229" s="16">
        <f>AD228</f>
        <v>-1.554913650052238E-2</v>
      </c>
      <c r="AE229" s="16">
        <f t="shared" ref="AE229:AF233" si="414">AE228</f>
        <v>1.0078549881874423E-2</v>
      </c>
      <c r="AF229" s="16" t="str">
        <f t="shared" si="414"/>
        <v>Low Volatility</v>
      </c>
      <c r="AG229" s="14" t="str">
        <f t="shared" si="408"/>
        <v>Weak/Unconfirmed</v>
      </c>
      <c r="AI229" s="131" t="s">
        <v>578</v>
      </c>
      <c r="AJ229" s="131">
        <v>423094</v>
      </c>
      <c r="AK229" s="131">
        <v>423322</v>
      </c>
      <c r="AL229" s="15">
        <f t="shared" si="281"/>
        <v>45979</v>
      </c>
      <c r="AM229" s="60">
        <f t="shared" si="271"/>
        <v>42.3322</v>
      </c>
      <c r="AN229" s="61">
        <f t="shared" si="272"/>
        <v>2.3299999999998988E-2</v>
      </c>
      <c r="AO229" s="62">
        <f>((AM229-MAX(AM$16:AM229))/MAX(AM$16:AM229))</f>
        <v>0</v>
      </c>
      <c r="AP229" s="16">
        <f t="shared" si="273"/>
        <v>5.5071155241566167E-4</v>
      </c>
      <c r="AQ229" s="153"/>
      <c r="AS229" s="16">
        <f t="shared" si="387"/>
        <v>2.6432594515474156E-3</v>
      </c>
      <c r="AT229" s="77">
        <f t="shared" ref="AT229:AV229" si="415">AT228</f>
        <v>3.3855288764304109E-3</v>
      </c>
      <c r="AU229" s="16">
        <f t="shared" si="415"/>
        <v>6.6697511355849073E-4</v>
      </c>
      <c r="AV229" s="16" t="str">
        <f t="shared" si="415"/>
        <v>Low Volatility</v>
      </c>
      <c r="AW229" s="14" t="str">
        <f t="shared" si="412"/>
        <v>Stable</v>
      </c>
    </row>
    <row r="230" spans="1:49" ht="15.75" hidden="1" thickBot="1">
      <c r="A230" s="131" t="s">
        <v>579</v>
      </c>
      <c r="B230" s="131" t="s">
        <v>884</v>
      </c>
      <c r="C230" s="131" t="s">
        <v>885</v>
      </c>
      <c r="D230" s="15">
        <f t="shared" si="377"/>
        <v>45980</v>
      </c>
      <c r="E230" s="60">
        <f t="shared" si="390"/>
        <v>5550.69</v>
      </c>
      <c r="F230" s="61">
        <f t="shared" si="391"/>
        <v>12.169999999999163</v>
      </c>
      <c r="G230" s="62">
        <f>((E230-MAX(E$16:E230))/MAX(E$16:E230))</f>
        <v>-0.12172626582278487</v>
      </c>
      <c r="H230" s="16">
        <f t="shared" si="371"/>
        <v>2.1973379169885027E-3</v>
      </c>
      <c r="I230" s="153"/>
      <c r="K230" s="16">
        <f t="shared" si="399"/>
        <v>-2.5885412736325046E-2</v>
      </c>
      <c r="L230" s="77">
        <f t="shared" ref="L230:M230" si="416">L229</f>
        <v>-5.8702604644211833E-3</v>
      </c>
      <c r="M230" s="16">
        <f t="shared" si="416"/>
        <v>5.19618163219422E-3</v>
      </c>
      <c r="N230" s="16" t="str">
        <f t="shared" si="413"/>
        <v>Low Volatility</v>
      </c>
      <c r="O230" s="14" t="str">
        <f t="shared" si="405"/>
        <v>Weak/Unconfirmed</v>
      </c>
      <c r="S230" s="131" t="s">
        <v>579</v>
      </c>
      <c r="T230" s="131" t="s">
        <v>1261</v>
      </c>
      <c r="U230" s="131" t="s">
        <v>1262</v>
      </c>
      <c r="V230" s="15">
        <f t="shared" si="369"/>
        <v>45980</v>
      </c>
      <c r="W230" s="60">
        <f t="shared" si="243"/>
        <v>69.77</v>
      </c>
      <c r="X230" s="61">
        <f t="shared" si="244"/>
        <v>0.57999999999999829</v>
      </c>
      <c r="Y230" s="62">
        <f>((W230-MAX(W$16:W230))/MAX(W$16:W230))</f>
        <v>-5.7034734423570745E-2</v>
      </c>
      <c r="Z230" s="16">
        <f t="shared" si="245"/>
        <v>8.3827142650671812E-3</v>
      </c>
      <c r="AA230" s="153"/>
      <c r="AC230" s="16">
        <f>(W230-W223)/W223</f>
        <v>-3.5926488876606447E-2</v>
      </c>
      <c r="AD230" s="16">
        <f>AD228</f>
        <v>-1.554913650052238E-2</v>
      </c>
      <c r="AE230" s="16">
        <f t="shared" si="414"/>
        <v>1.0078549881874423E-2</v>
      </c>
      <c r="AF230" s="16" t="str">
        <f t="shared" si="414"/>
        <v>Low Volatility</v>
      </c>
      <c r="AG230" s="14" t="str">
        <f t="shared" si="408"/>
        <v>Strong Downtrend</v>
      </c>
      <c r="AI230" s="131" t="s">
        <v>579</v>
      </c>
      <c r="AJ230" s="131">
        <v>423322</v>
      </c>
      <c r="AK230" s="131">
        <v>423518</v>
      </c>
      <c r="AL230" s="15">
        <f t="shared" si="281"/>
        <v>45980</v>
      </c>
      <c r="AM230" s="60">
        <f t="shared" si="271"/>
        <v>42.351799999999997</v>
      </c>
      <c r="AN230" s="61">
        <f t="shared" si="272"/>
        <v>1.9599999999996953E-2</v>
      </c>
      <c r="AO230" s="62">
        <f>((AM230-MAX(AM$16:AM230))/MAX(AM$16:AM230))</f>
        <v>0</v>
      </c>
      <c r="AP230" s="16">
        <f t="shared" si="273"/>
        <v>4.6300452138081541E-4</v>
      </c>
      <c r="AQ230" s="153"/>
      <c r="AS230" s="16">
        <f t="shared" si="387"/>
        <v>2.869956855928986E-3</v>
      </c>
      <c r="AT230" s="77">
        <f t="shared" ref="AT230:AV230" si="417">AT229</f>
        <v>3.3855288764304109E-3</v>
      </c>
      <c r="AU230" s="16">
        <f t="shared" si="417"/>
        <v>6.6697511355849073E-4</v>
      </c>
      <c r="AV230" s="16" t="str">
        <f t="shared" si="417"/>
        <v>Low Volatility</v>
      </c>
      <c r="AW230" s="14" t="str">
        <f t="shared" si="412"/>
        <v>Stable</v>
      </c>
    </row>
    <row r="231" spans="1:49" ht="15.75" hidden="1" thickBot="1">
      <c r="A231" s="131" t="s">
        <v>580</v>
      </c>
      <c r="B231" s="131" t="s">
        <v>886</v>
      </c>
      <c r="C231" s="131" t="s">
        <v>887</v>
      </c>
      <c r="D231" s="15">
        <f t="shared" si="377"/>
        <v>45981</v>
      </c>
      <c r="E231" s="60">
        <f t="shared" si="390"/>
        <v>5553.67</v>
      </c>
      <c r="F231" s="61">
        <f t="shared" si="391"/>
        <v>2.9800000000004729</v>
      </c>
      <c r="G231" s="62">
        <f>((E231-MAX(E$16:E231))/MAX(E$16:E231))</f>
        <v>-0.12125474683544303</v>
      </c>
      <c r="H231" s="16">
        <f t="shared" si="371"/>
        <v>5.3687019091328697E-4</v>
      </c>
      <c r="I231" s="153"/>
      <c r="K231" s="16">
        <f t="shared" si="399"/>
        <v>-1.8173878761842666E-2</v>
      </c>
      <c r="L231" s="77">
        <f t="shared" ref="L231:M231" si="418">L230</f>
        <v>-5.8702604644211833E-3</v>
      </c>
      <c r="M231" s="16">
        <f t="shared" si="418"/>
        <v>5.19618163219422E-3</v>
      </c>
      <c r="N231" s="16" t="str">
        <f t="shared" si="413"/>
        <v>Low Volatility</v>
      </c>
      <c r="O231" s="14" t="str">
        <f t="shared" si="405"/>
        <v>Weak/Unconfirmed</v>
      </c>
      <c r="P231" s="60" t="e">
        <f ca="1">IF(O231&lt;=TODAY(), _xlfn.XLOOKUP(O231, 'Daily Log'!$A:$A, 'Daily Log'!$B:$B, NA()), NA())</f>
        <v>#N/A</v>
      </c>
      <c r="S231" s="131" t="s">
        <v>580</v>
      </c>
      <c r="T231" s="131" t="s">
        <v>1262</v>
      </c>
      <c r="U231" s="131" t="s">
        <v>1263</v>
      </c>
      <c r="V231" s="15">
        <f t="shared" si="369"/>
        <v>45981</v>
      </c>
      <c r="W231" s="60">
        <f t="shared" si="243"/>
        <v>68.8</v>
      </c>
      <c r="X231" s="61">
        <f t="shared" si="244"/>
        <v>-0.96999999999999886</v>
      </c>
      <c r="Y231" s="62">
        <f>((W231-MAX(W$16:W231))/MAX(W$16:W231))</f>
        <v>-7.0144614137045522E-2</v>
      </c>
      <c r="Z231" s="16">
        <f t="shared" si="245"/>
        <v>-1.3902823563136003E-2</v>
      </c>
      <c r="AA231" s="153"/>
      <c r="AC231" s="16">
        <f>(W231-W224)/W224</f>
        <v>-3.2076533483399006E-2</v>
      </c>
      <c r="AD231" s="16">
        <f>AD228</f>
        <v>-1.554913650052238E-2</v>
      </c>
      <c r="AE231" s="16">
        <f t="shared" si="414"/>
        <v>1.0078549881874423E-2</v>
      </c>
      <c r="AF231" s="16" t="str">
        <f t="shared" si="414"/>
        <v>Low Volatility</v>
      </c>
      <c r="AG231" s="14" t="str">
        <f t="shared" si="408"/>
        <v>Strong Downtrend</v>
      </c>
      <c r="AI231" s="131" t="s">
        <v>580</v>
      </c>
      <c r="AJ231" s="131">
        <v>423518</v>
      </c>
      <c r="AK231" s="131">
        <v>423676</v>
      </c>
      <c r="AL231" s="15">
        <f t="shared" si="281"/>
        <v>45981</v>
      </c>
      <c r="AM231" s="60">
        <f t="shared" si="271"/>
        <v>42.367600000000003</v>
      </c>
      <c r="AN231" s="61">
        <f t="shared" si="272"/>
        <v>1.5800000000005809E-2</v>
      </c>
      <c r="AO231" s="62">
        <f>((AM231-MAX(AM$16:AM231))/MAX(AM$16:AM231))</f>
        <v>0</v>
      </c>
      <c r="AP231" s="16">
        <f t="shared" si="273"/>
        <v>3.7306560760123089E-4</v>
      </c>
      <c r="AQ231" s="153"/>
      <c r="AS231" s="16">
        <f t="shared" si="387"/>
        <v>2.769191443435228E-3</v>
      </c>
      <c r="AT231" s="77">
        <f t="shared" ref="AT231:AV231" si="419">AT230</f>
        <v>3.3855288764304109E-3</v>
      </c>
      <c r="AU231" s="16">
        <f t="shared" si="419"/>
        <v>6.6697511355849073E-4</v>
      </c>
      <c r="AV231" s="16" t="str">
        <f t="shared" si="419"/>
        <v>Low Volatility</v>
      </c>
      <c r="AW231" s="14" t="str">
        <f t="shared" si="412"/>
        <v>Stable</v>
      </c>
    </row>
    <row r="232" spans="1:49" ht="15.75" hidden="1" thickBot="1">
      <c r="A232" s="131" t="s">
        <v>581</v>
      </c>
      <c r="B232" s="131" t="s">
        <v>888</v>
      </c>
      <c r="C232" s="131" t="s">
        <v>889</v>
      </c>
      <c r="D232" s="15">
        <f t="shared" si="377"/>
        <v>45982</v>
      </c>
      <c r="E232" s="60">
        <f t="shared" si="390"/>
        <v>5552.1</v>
      </c>
      <c r="F232" s="61">
        <f t="shared" si="391"/>
        <v>-1.569999999999709</v>
      </c>
      <c r="G232" s="62">
        <f>((E232-MAX(E$16:E232))/MAX(E$16:E232))</f>
        <v>-0.12150316455696197</v>
      </c>
      <c r="H232" s="16">
        <f t="shared" si="371"/>
        <v>-2.8269594700436091E-4</v>
      </c>
      <c r="I232" s="153"/>
      <c r="K232" s="16">
        <f t="shared" si="399"/>
        <v>1.1348345573336596E-4</v>
      </c>
      <c r="L232" s="77">
        <f t="shared" ref="L232:M232" si="420">L231</f>
        <v>-5.8702604644211833E-3</v>
      </c>
      <c r="M232" s="16">
        <f t="shared" si="420"/>
        <v>5.19618163219422E-3</v>
      </c>
      <c r="N232" s="16" t="str">
        <f t="shared" si="413"/>
        <v>Low Volatility</v>
      </c>
      <c r="O232" s="14" t="str">
        <f t="shared" si="405"/>
        <v>Weak/Unconfirmed</v>
      </c>
      <c r="S232" s="131" t="s">
        <v>581</v>
      </c>
      <c r="T232" s="131" t="s">
        <v>1258</v>
      </c>
      <c r="U232" s="131" t="s">
        <v>1264</v>
      </c>
      <c r="V232" s="15">
        <f t="shared" si="369"/>
        <v>45982</v>
      </c>
      <c r="W232" s="60">
        <f t="shared" si="243"/>
        <v>68.180000000000007</v>
      </c>
      <c r="X232" s="61">
        <f t="shared" si="244"/>
        <v>-0.61999999999999034</v>
      </c>
      <c r="Y232" s="62">
        <f>((W232-MAX(W$16:W232))/MAX(W$16:W232))</f>
        <v>-7.8524124881740626E-2</v>
      </c>
      <c r="Z232" s="16">
        <f t="shared" si="245"/>
        <v>-9.0116279069766044E-3</v>
      </c>
      <c r="AA232" s="153"/>
      <c r="AC232" s="16">
        <f>(W232-W225)/W225</f>
        <v>-9.7312999273781783E-3</v>
      </c>
      <c r="AD232" s="16">
        <f>AD228</f>
        <v>-1.554913650052238E-2</v>
      </c>
      <c r="AE232" s="16">
        <f t="shared" si="414"/>
        <v>1.0078549881874423E-2</v>
      </c>
      <c r="AF232" s="16" t="str">
        <f t="shared" si="414"/>
        <v>Low Volatility</v>
      </c>
      <c r="AG232" s="14" t="str">
        <f t="shared" si="408"/>
        <v>Weak/Unconfirmed</v>
      </c>
      <c r="AI232" s="131" t="s">
        <v>581</v>
      </c>
      <c r="AJ232" s="131">
        <v>423682</v>
      </c>
      <c r="AK232" s="131">
        <v>424369</v>
      </c>
      <c r="AL232" s="15">
        <f t="shared" si="281"/>
        <v>45982</v>
      </c>
      <c r="AM232" s="60">
        <f t="shared" si="271"/>
        <v>42.436900000000001</v>
      </c>
      <c r="AN232" s="61">
        <f t="shared" si="272"/>
        <v>6.9299999999998363E-2</v>
      </c>
      <c r="AO232" s="62">
        <f>((AM232-MAX(AM$16:AM232))/MAX(AM$16:AM232))</f>
        <v>0</v>
      </c>
      <c r="AP232" s="16">
        <f t="shared" si="273"/>
        <v>1.6356838716377223E-3</v>
      </c>
      <c r="AQ232" s="153"/>
      <c r="AS232" s="16">
        <f t="shared" si="387"/>
        <v>4.5401715228511859E-3</v>
      </c>
      <c r="AT232" s="77">
        <f t="shared" ref="AT232:AV232" si="421">AT231</f>
        <v>3.3855288764304109E-3</v>
      </c>
      <c r="AU232" s="16">
        <f t="shared" si="421"/>
        <v>6.6697511355849073E-4</v>
      </c>
      <c r="AV232" s="16" t="str">
        <f t="shared" si="421"/>
        <v>Low Volatility</v>
      </c>
      <c r="AW232" s="14" t="str">
        <f t="shared" si="412"/>
        <v>Stable</v>
      </c>
    </row>
    <row r="233" spans="1:49" ht="15.75" hidden="1" thickBot="1">
      <c r="A233" s="131" t="s">
        <v>582</v>
      </c>
      <c r="B233" s="131" t="s">
        <v>888</v>
      </c>
      <c r="C233" s="131" t="s">
        <v>889</v>
      </c>
      <c r="D233" s="15">
        <f t="shared" si="377"/>
        <v>45983</v>
      </c>
      <c r="E233" s="60">
        <f t="shared" si="390"/>
        <v>5552.1</v>
      </c>
      <c r="F233" s="61">
        <f t="shared" si="391"/>
        <v>0</v>
      </c>
      <c r="G233" s="62">
        <f>((E233-MAX(E$16:E233))/MAX(E$16:E233))</f>
        <v>-0.12150316455696197</v>
      </c>
      <c r="H233" s="16">
        <f t="shared" si="371"/>
        <v>0</v>
      </c>
      <c r="I233" s="153"/>
      <c r="K233" s="16">
        <f t="shared" si="399"/>
        <v>1.1348345573336596E-4</v>
      </c>
      <c r="L233" s="77">
        <f t="shared" ref="L233:M233" si="422">L232</f>
        <v>-5.8702604644211833E-3</v>
      </c>
      <c r="M233" s="16">
        <f t="shared" si="422"/>
        <v>5.19618163219422E-3</v>
      </c>
      <c r="N233" s="16" t="str">
        <f t="shared" si="413"/>
        <v>Low Volatility</v>
      </c>
      <c r="O233" s="14" t="str">
        <f t="shared" si="405"/>
        <v>Weak/Unconfirmed</v>
      </c>
      <c r="S233" s="131" t="s">
        <v>582</v>
      </c>
      <c r="T233" s="131" t="s">
        <v>1258</v>
      </c>
      <c r="U233" s="131" t="s">
        <v>1264</v>
      </c>
      <c r="V233" s="15">
        <f t="shared" si="369"/>
        <v>45983</v>
      </c>
      <c r="W233" s="60">
        <f t="shared" si="243"/>
        <v>68.180000000000007</v>
      </c>
      <c r="X233" s="61">
        <f t="shared" si="244"/>
        <v>0</v>
      </c>
      <c r="Y233" s="62">
        <f>((W233-MAX(W$16:W233))/MAX(W$16:W233))</f>
        <v>-7.8524124881740626E-2</v>
      </c>
      <c r="Z233" s="16">
        <f t="shared" si="245"/>
        <v>0</v>
      </c>
      <c r="AA233" s="153"/>
      <c r="AC233" s="16">
        <f t="shared" ref="AC233:AC237" si="423">(W233-W226)/W226</f>
        <v>-9.7312999273781783E-3</v>
      </c>
      <c r="AD233" s="16">
        <f>AD228</f>
        <v>-1.554913650052238E-2</v>
      </c>
      <c r="AE233" s="16">
        <f t="shared" si="414"/>
        <v>1.0078549881874423E-2</v>
      </c>
      <c r="AF233" s="16" t="str">
        <f t="shared" si="414"/>
        <v>Low Volatility</v>
      </c>
      <c r="AG233" s="14" t="str">
        <f t="shared" si="408"/>
        <v>Weak/Unconfirmed</v>
      </c>
      <c r="AI233" s="131" t="s">
        <v>582</v>
      </c>
      <c r="AJ233" s="131">
        <v>423682</v>
      </c>
      <c r="AK233" s="131">
        <v>424369</v>
      </c>
      <c r="AL233" s="15">
        <f t="shared" si="281"/>
        <v>45983</v>
      </c>
      <c r="AM233" s="60">
        <f t="shared" si="271"/>
        <v>42.436900000000001</v>
      </c>
      <c r="AN233" s="61">
        <f t="shared" si="272"/>
        <v>0</v>
      </c>
      <c r="AO233" s="62">
        <f>((AM233-MAX(AM$16:AM233))/MAX(AM$16:AM233))</f>
        <v>0</v>
      </c>
      <c r="AP233" s="16">
        <f t="shared" si="273"/>
        <v>0</v>
      </c>
      <c r="AQ233" s="153"/>
      <c r="AS233" s="16">
        <f t="shared" si="387"/>
        <v>4.5401715228511859E-3</v>
      </c>
      <c r="AT233" s="77">
        <f t="shared" ref="AT233:AV233" si="424">AT232</f>
        <v>3.3855288764304109E-3</v>
      </c>
      <c r="AU233" s="16">
        <f t="shared" si="424"/>
        <v>6.6697511355849073E-4</v>
      </c>
      <c r="AV233" s="16" t="str">
        <f t="shared" si="424"/>
        <v>Low Volatility</v>
      </c>
      <c r="AW233" s="14" t="str">
        <f t="shared" si="412"/>
        <v>Stable</v>
      </c>
    </row>
    <row r="234" spans="1:49" ht="15.75" hidden="1" thickBot="1">
      <c r="A234" s="131" t="s">
        <v>583</v>
      </c>
      <c r="B234" s="131" t="s">
        <v>888</v>
      </c>
      <c r="C234" s="131" t="s">
        <v>889</v>
      </c>
      <c r="D234" s="15">
        <f t="shared" si="377"/>
        <v>45984</v>
      </c>
      <c r="E234" s="60">
        <f t="shared" si="390"/>
        <v>5552.1</v>
      </c>
      <c r="F234" s="61">
        <f t="shared" si="391"/>
        <v>0</v>
      </c>
      <c r="G234" s="62">
        <f>((E234-MAX(E$16:E234))/MAX(E$16:E234))</f>
        <v>-0.12150316455696197</v>
      </c>
      <c r="H234" s="16">
        <f t="shared" si="371"/>
        <v>0</v>
      </c>
      <c r="I234" s="153"/>
      <c r="K234" s="16">
        <f t="shared" si="399"/>
        <v>1.1348345573336596E-4</v>
      </c>
      <c r="L234" s="77">
        <f t="shared" ref="L234:M234" si="425">L233</f>
        <v>-5.8702604644211833E-3</v>
      </c>
      <c r="M234" s="16">
        <f t="shared" si="425"/>
        <v>5.19618163219422E-3</v>
      </c>
      <c r="N234" s="16" t="str">
        <f t="shared" si="413"/>
        <v>Low Volatility</v>
      </c>
      <c r="O234" s="14" t="str">
        <f t="shared" si="405"/>
        <v>Weak/Unconfirmed</v>
      </c>
      <c r="S234" s="131" t="s">
        <v>583</v>
      </c>
      <c r="T234" s="131" t="s">
        <v>1258</v>
      </c>
      <c r="U234" s="131" t="s">
        <v>1264</v>
      </c>
      <c r="V234" s="15">
        <f t="shared" si="369"/>
        <v>45984</v>
      </c>
      <c r="W234" s="60">
        <f t="shared" si="243"/>
        <v>68.180000000000007</v>
      </c>
      <c r="X234" s="61">
        <f t="shared" si="244"/>
        <v>0</v>
      </c>
      <c r="Y234" s="62">
        <f>((W234-MAX(W$16:W234))/MAX(W$16:W234))</f>
        <v>-7.8524124881740626E-2</v>
      </c>
      <c r="Z234" s="16">
        <f t="shared" si="245"/>
        <v>0</v>
      </c>
      <c r="AA234" s="153"/>
      <c r="AC234" s="16">
        <f t="shared" si="423"/>
        <v>-9.7312999273781783E-3</v>
      </c>
      <c r="AD234" s="16">
        <f>AD228</f>
        <v>-1.554913650052238E-2</v>
      </c>
      <c r="AE234" s="16">
        <f>AE228</f>
        <v>1.0078549881874423E-2</v>
      </c>
      <c r="AF234" s="16" t="str">
        <f t="shared" ref="AF234" si="426">IF(AE234 &lt; 0.02, "Low Volatility",
 IF(AE234 &gt; 0.1, "High Volatility", "Medium Volatility"))</f>
        <v>Low Volatility</v>
      </c>
      <c r="AG234" s="14" t="str">
        <f t="shared" si="408"/>
        <v>Weak/Unconfirmed</v>
      </c>
      <c r="AI234" s="131" t="s">
        <v>583</v>
      </c>
      <c r="AJ234" s="131">
        <v>423682</v>
      </c>
      <c r="AK234" s="131">
        <v>424369</v>
      </c>
      <c r="AL234" s="15">
        <f t="shared" si="281"/>
        <v>45984</v>
      </c>
      <c r="AM234" s="60">
        <f t="shared" si="271"/>
        <v>42.436900000000001</v>
      </c>
      <c r="AN234" s="61">
        <f t="shared" si="272"/>
        <v>0</v>
      </c>
      <c r="AO234" s="62">
        <f>((AM234-MAX(AM$16:AM234))/MAX(AM$16:AM234))</f>
        <v>0</v>
      </c>
      <c r="AP234" s="16">
        <f t="shared" si="273"/>
        <v>0</v>
      </c>
      <c r="AQ234" s="153"/>
      <c r="AS234" s="16">
        <f t="shared" si="387"/>
        <v>4.5401715228511859E-3</v>
      </c>
      <c r="AT234" s="77">
        <f t="shared" ref="AT234:AV234" si="427">AT233</f>
        <v>3.3855288764304109E-3</v>
      </c>
      <c r="AU234" s="16">
        <f t="shared" si="427"/>
        <v>6.6697511355849073E-4</v>
      </c>
      <c r="AV234" s="16" t="str">
        <f t="shared" si="427"/>
        <v>Low Volatility</v>
      </c>
      <c r="AW234" s="14" t="str">
        <f t="shared" si="412"/>
        <v>Stable</v>
      </c>
    </row>
    <row r="235" spans="1:49" ht="15.75" hidden="1" thickBot="1">
      <c r="A235" s="131" t="s">
        <v>608</v>
      </c>
      <c r="B235" s="131" t="s">
        <v>890</v>
      </c>
      <c r="C235" s="131" t="s">
        <v>891</v>
      </c>
      <c r="D235" s="15">
        <f t="shared" si="377"/>
        <v>45985</v>
      </c>
      <c r="E235" s="60">
        <f t="shared" si="390"/>
        <v>5636.99</v>
      </c>
      <c r="F235" s="61">
        <f t="shared" si="391"/>
        <v>84.889999999999418</v>
      </c>
      <c r="G235" s="62">
        <f>((E235-MAX(E$16:E235))/MAX(E$16:E235))</f>
        <v>-0.10807120253164561</v>
      </c>
      <c r="H235" s="16">
        <f t="shared" si="371"/>
        <v>1.5289710199744136E-2</v>
      </c>
      <c r="I235" s="153">
        <f>AVERAGEIFS(E235:E242, E235:E242, "&gt;=0")</f>
        <v>5712.77</v>
      </c>
      <c r="K235" s="16">
        <f t="shared" si="399"/>
        <v>2.5608415935257558E-2</v>
      </c>
      <c r="L235" s="77">
        <f t="shared" ref="L235" si="428">(I235-I228)/I228</f>
        <v>2.8577112967764013E-2</v>
      </c>
      <c r="M235" s="16" cm="1">
        <f t="array" ref="M235">_xlfn.STDEV.S(_xlfn._xlws.FILTER(F235:F241, ISNUMBER(F235:F241))) / I235</f>
        <v>7.4479351067131558E-3</v>
      </c>
      <c r="N235" s="16" t="str" cm="1">
        <f t="array" ref="N235">_xlfn.LET(
  _xlpm.c, M56,
  IFERROR(
    _xlfn.IFS(_xlpm.c&lt;0.02,"Low Volatility",
        _xlpm.c&gt;0.1,"High Volatility",
        TRUE,"Medium Volatility"),
    "Insufficient data"
  )
)</f>
        <v>Low Volatility</v>
      </c>
      <c r="O235" s="14" t="str">
        <f t="shared" ref="O235:O298" si="429">IF(AND(K235 &gt; 0.01, L235 &gt; 0.01), "Strong Uptrend",
 IF(AND(K235 &lt; -0.01, L235 &lt; -0.01), "Strong Downtrend",
 IF(ABS(L235) &lt; 0.005, "Stable", "Weak/Unconfirmed")))</f>
        <v>Strong Uptrend</v>
      </c>
      <c r="S235" s="131" t="s">
        <v>608</v>
      </c>
      <c r="T235" s="131" t="s">
        <v>1264</v>
      </c>
      <c r="U235" s="131" t="s">
        <v>1265</v>
      </c>
      <c r="V235" s="15">
        <f t="shared" si="369"/>
        <v>45985</v>
      </c>
      <c r="W235" s="60">
        <f t="shared" si="243"/>
        <v>70.12</v>
      </c>
      <c r="X235" s="61">
        <f t="shared" si="244"/>
        <v>1.9399999999999977</v>
      </c>
      <c r="Y235" s="62">
        <f>((W235-MAX(W$16:W235))/MAX(W$16:W235))</f>
        <v>-5.2304365454791064E-2</v>
      </c>
      <c r="Z235" s="16">
        <f t="shared" si="245"/>
        <v>2.8454092109122874E-2</v>
      </c>
      <c r="AA235" s="153">
        <f>AVERAGEIFS(W235:W241, W235:W241, "&gt;=0")</f>
        <v>73.91857142857144</v>
      </c>
      <c r="AC235" s="16">
        <f t="shared" si="423"/>
        <v>2.7549824150058761E-2</v>
      </c>
      <c r="AD235" s="66">
        <f>(AA235-AA228)/AA228</f>
        <v>7.676780288841735E-2</v>
      </c>
      <c r="AE235" s="16" cm="1">
        <f t="array" ref="AE235">_xlfn.STDEV.S(_xlfn._xlws.FILTER(X235:X241, ISNUMBER(X235:X241))) / AA235</f>
        <v>2.2648216290079685E-2</v>
      </c>
      <c r="AF235" s="16" t="str">
        <f t="shared" ref="AF235:AF240" si="430">AF234</f>
        <v>Low Volatility</v>
      </c>
      <c r="AG235" s="14" t="str">
        <f t="shared" si="408"/>
        <v>Strong Uptrend</v>
      </c>
      <c r="AI235" s="131" t="s">
        <v>608</v>
      </c>
      <c r="AJ235" s="131">
        <v>424402</v>
      </c>
      <c r="AK235" s="131">
        <v>424184</v>
      </c>
      <c r="AL235" s="15">
        <f t="shared" si="281"/>
        <v>45985</v>
      </c>
      <c r="AM235" s="60">
        <f t="shared" si="271"/>
        <v>42.418399999999998</v>
      </c>
      <c r="AN235" s="61">
        <f t="shared" si="272"/>
        <v>-1.850000000000307E-2</v>
      </c>
      <c r="AO235" s="62">
        <f>((AM235-MAX(AM$16:AM235))/MAX(AM$16:AM235))</f>
        <v>-4.3594136235217628E-4</v>
      </c>
      <c r="AP235" s="16">
        <f t="shared" si="273"/>
        <v>-4.3594136235217628E-4</v>
      </c>
      <c r="AQ235" s="153">
        <f t="shared" ref="AQ235" si="431">AVERAGEIFS(AM235:AM241, AM235:AM241, "&gt;=0")</f>
        <v>42.45851428571428</v>
      </c>
      <c r="AS235" s="16">
        <f t="shared" si="387"/>
        <v>2.5881079394642036E-3</v>
      </c>
      <c r="AT235" s="77">
        <f t="shared" ref="AT235" si="432">(AQ235-AQ228)/AQ228</f>
        <v>1.8148037288417864E-3</v>
      </c>
      <c r="AU235" s="16" cm="1">
        <f t="array" ref="AU235">_xlfn.STDEV.S(_xlfn._xlws.FILTER(AN235:AN241, ISNUMBER(AN235:AN241))) / AQ235</f>
        <v>6.6306241791636142E-4</v>
      </c>
      <c r="AV235" s="16" t="str">
        <f t="shared" ref="AV235" si="433">IF(AU235 &lt; 0.02, "Low Volatility",
 IF(AU235 &gt; 0.1, "High Volatility", "Medium Volatility"))</f>
        <v>Low Volatility</v>
      </c>
      <c r="AW235" s="14" t="str">
        <f t="shared" si="412"/>
        <v>Stable</v>
      </c>
    </row>
    <row r="236" spans="1:49" ht="15.75" hidden="1" thickBot="1">
      <c r="A236" s="131" t="s">
        <v>609</v>
      </c>
      <c r="B236" s="131" t="s">
        <v>892</v>
      </c>
      <c r="C236" s="131" t="s">
        <v>893</v>
      </c>
      <c r="D236" s="15">
        <f t="shared" si="377"/>
        <v>45986</v>
      </c>
      <c r="E236" s="60">
        <f t="shared" si="390"/>
        <v>5635.23</v>
      </c>
      <c r="F236" s="61">
        <f t="shared" si="391"/>
        <v>-1.7600000000002183</v>
      </c>
      <c r="G236" s="62">
        <f>((E236-MAX(E$16:E236))/MAX(E$16:E236))</f>
        <v>-0.10834968354430387</v>
      </c>
      <c r="H236" s="16">
        <f t="shared" si="371"/>
        <v>-3.1222336743549629E-4</v>
      </c>
      <c r="I236" s="153"/>
      <c r="K236" s="16">
        <f t="shared" si="399"/>
        <v>1.7461343463596613E-2</v>
      </c>
      <c r="L236" s="77">
        <f t="shared" ref="L236:N236" si="434">L235</f>
        <v>2.8577112967764013E-2</v>
      </c>
      <c r="M236" s="16">
        <f t="shared" si="434"/>
        <v>7.4479351067131558E-3</v>
      </c>
      <c r="N236" s="16" t="str">
        <f t="shared" si="434"/>
        <v>Low Volatility</v>
      </c>
      <c r="O236" s="14" t="str">
        <f t="shared" si="429"/>
        <v>Strong Uptrend</v>
      </c>
      <c r="S236" s="131" t="s">
        <v>609</v>
      </c>
      <c r="T236" s="131" t="s">
        <v>1266</v>
      </c>
      <c r="U236" s="131" t="s">
        <v>1267</v>
      </c>
      <c r="V236" s="15">
        <f t="shared" si="369"/>
        <v>45986</v>
      </c>
      <c r="W236" s="60">
        <f t="shared" ref="W236:W299" si="435">VALUE(SUBSTITUTE(SUBSTITUTE(U236, ".", ""), ",", "."))</f>
        <v>70.209999999999994</v>
      </c>
      <c r="X236" s="61">
        <f t="shared" ref="X236:X299" si="436">W236-W235</f>
        <v>8.99999999999892E-2</v>
      </c>
      <c r="Y236" s="62">
        <f>((W236-MAX(W$16:W236))/MAX(W$16:W236))</f>
        <v>-5.1087984862819319E-2</v>
      </c>
      <c r="Z236" s="16">
        <f t="shared" ref="Z236:Z299" si="437">(W236-W235)/W235</f>
        <v>1.2835139760409182E-3</v>
      </c>
      <c r="AA236" s="153"/>
      <c r="AC236" s="16">
        <f t="shared" si="423"/>
        <v>1.4742014742014685E-2</v>
      </c>
      <c r="AD236" s="16">
        <f>AD235</f>
        <v>7.676780288841735E-2</v>
      </c>
      <c r="AE236" s="16">
        <f>AE235</f>
        <v>2.2648216290079685E-2</v>
      </c>
      <c r="AF236" s="16" t="str">
        <f t="shared" si="430"/>
        <v>Low Volatility</v>
      </c>
      <c r="AG236" s="14" t="str">
        <f t="shared" si="408"/>
        <v>Strong Uptrend</v>
      </c>
      <c r="AI236" s="131" t="s">
        <v>609</v>
      </c>
      <c r="AJ236" s="131">
        <v>424184</v>
      </c>
      <c r="AK236" s="131">
        <v>424144</v>
      </c>
      <c r="AL236" s="15">
        <f t="shared" si="281"/>
        <v>45986</v>
      </c>
      <c r="AM236" s="60">
        <f t="shared" si="271"/>
        <v>42.414400000000001</v>
      </c>
      <c r="AN236" s="61">
        <f t="shared" si="272"/>
        <v>-3.9999999999977831E-3</v>
      </c>
      <c r="AO236" s="62">
        <f>((AM236-MAX(AM$16:AM236))/MAX(AM$16:AM236))</f>
        <v>-5.3019895421203844E-4</v>
      </c>
      <c r="AP236" s="16">
        <f t="shared" si="273"/>
        <v>-9.4298700563853969E-5</v>
      </c>
      <c r="AQ236" s="153"/>
      <c r="AS236" s="16">
        <f t="shared" si="387"/>
        <v>1.9417842682402586E-3</v>
      </c>
      <c r="AT236" s="77">
        <f t="shared" ref="AT236:AV236" si="438">AT235</f>
        <v>1.8148037288417864E-3</v>
      </c>
      <c r="AU236" s="16">
        <f t="shared" si="438"/>
        <v>6.6306241791636142E-4</v>
      </c>
      <c r="AV236" s="16" t="str">
        <f t="shared" si="438"/>
        <v>Low Volatility</v>
      </c>
      <c r="AW236" s="14" t="str">
        <f t="shared" si="412"/>
        <v>Stable</v>
      </c>
    </row>
    <row r="237" spans="1:49" ht="15.75" hidden="1" thickBot="1">
      <c r="A237" s="131" t="s">
        <v>610</v>
      </c>
      <c r="B237" s="131" t="s">
        <v>894</v>
      </c>
      <c r="C237" s="131" t="s">
        <v>895</v>
      </c>
      <c r="D237" s="15">
        <f t="shared" si="377"/>
        <v>45987</v>
      </c>
      <c r="E237" s="60">
        <f t="shared" si="390"/>
        <v>5682.5</v>
      </c>
      <c r="F237" s="61">
        <f t="shared" si="391"/>
        <v>47.270000000000437</v>
      </c>
      <c r="G237" s="62">
        <f>((E237-MAX(E$16:E237))/MAX(E$16:E237))</f>
        <v>-0.10087025316455696</v>
      </c>
      <c r="H237" s="16">
        <f t="shared" si="371"/>
        <v>8.3883000338939914E-3</v>
      </c>
      <c r="I237" s="153"/>
      <c r="K237" s="16">
        <f t="shared" si="399"/>
        <v>2.3746597269889043E-2</v>
      </c>
      <c r="L237" s="77">
        <f t="shared" ref="L237:N237" si="439">L236</f>
        <v>2.8577112967764013E-2</v>
      </c>
      <c r="M237" s="16">
        <f t="shared" si="439"/>
        <v>7.4479351067131558E-3</v>
      </c>
      <c r="N237" s="16" t="str">
        <f t="shared" si="439"/>
        <v>Low Volatility</v>
      </c>
      <c r="O237" s="14" t="str">
        <f t="shared" si="429"/>
        <v>Strong Uptrend</v>
      </c>
      <c r="S237" s="131" t="s">
        <v>610</v>
      </c>
      <c r="T237" s="131" t="s">
        <v>1268</v>
      </c>
      <c r="U237" s="131" t="s">
        <v>1269</v>
      </c>
      <c r="V237" s="15">
        <f t="shared" si="369"/>
        <v>45987</v>
      </c>
      <c r="W237" s="60">
        <f t="shared" si="435"/>
        <v>72.819999999999993</v>
      </c>
      <c r="X237" s="61">
        <f t="shared" si="436"/>
        <v>2.6099999999999994</v>
      </c>
      <c r="Y237" s="62">
        <f>((W237-MAX(W$16:W237))/MAX(W$16:W237))</f>
        <v>-1.5812947695634568E-2</v>
      </c>
      <c r="Z237" s="16">
        <f t="shared" si="437"/>
        <v>3.7174191710582533E-2</v>
      </c>
      <c r="AA237" s="153"/>
      <c r="AC237" s="16">
        <f t="shared" si="423"/>
        <v>4.3715063780994656E-2</v>
      </c>
      <c r="AD237" s="16">
        <f>AD235</f>
        <v>7.676780288841735E-2</v>
      </c>
      <c r="AE237" s="16">
        <f>AE236</f>
        <v>2.2648216290079685E-2</v>
      </c>
      <c r="AF237" s="16" t="str">
        <f t="shared" si="430"/>
        <v>Low Volatility</v>
      </c>
      <c r="AG237" s="14" t="str">
        <f t="shared" si="408"/>
        <v>Strong Uptrend</v>
      </c>
      <c r="AI237" s="131" t="s">
        <v>610</v>
      </c>
      <c r="AJ237" s="131">
        <v>424159</v>
      </c>
      <c r="AK237" s="131">
        <v>424397</v>
      </c>
      <c r="AL237" s="15">
        <f t="shared" si="281"/>
        <v>45987</v>
      </c>
      <c r="AM237" s="60">
        <f t="shared" si="271"/>
        <v>42.439700000000002</v>
      </c>
      <c r="AN237" s="61">
        <f t="shared" si="272"/>
        <v>2.5300000000001432E-2</v>
      </c>
      <c r="AO237" s="62">
        <f>((AM237-MAX(AM$16:AM237))/MAX(AM$16:AM237))</f>
        <v>0</v>
      </c>
      <c r="AP237" s="16">
        <f t="shared" si="273"/>
        <v>5.9649552982009486E-4</v>
      </c>
      <c r="AQ237" s="153"/>
      <c r="AS237" s="16">
        <f t="shared" si="387"/>
        <v>2.0754725891226527E-3</v>
      </c>
      <c r="AT237" s="77">
        <f t="shared" ref="AT237:AV237" si="440">AT236</f>
        <v>1.8148037288417864E-3</v>
      </c>
      <c r="AU237" s="16">
        <f t="shared" si="440"/>
        <v>6.6306241791636142E-4</v>
      </c>
      <c r="AV237" s="16" t="str">
        <f t="shared" si="440"/>
        <v>Low Volatility</v>
      </c>
      <c r="AW237" s="14" t="str">
        <f t="shared" si="412"/>
        <v>Stable</v>
      </c>
    </row>
    <row r="238" spans="1:49" ht="15.75" hidden="1" thickBot="1">
      <c r="A238" s="131" t="s">
        <v>611</v>
      </c>
      <c r="B238" s="131" t="s">
        <v>896</v>
      </c>
      <c r="C238" s="131" t="s">
        <v>897</v>
      </c>
      <c r="D238" s="15">
        <f t="shared" si="377"/>
        <v>45988</v>
      </c>
      <c r="E238" s="60">
        <f t="shared" si="390"/>
        <v>5675.48</v>
      </c>
      <c r="F238" s="61">
        <f t="shared" si="391"/>
        <v>-7.0200000000004366</v>
      </c>
      <c r="G238" s="62">
        <f>((E238-MAX(E$16:E238))/MAX(E$16:E238))</f>
        <v>-0.10198101265822791</v>
      </c>
      <c r="H238" s="16">
        <f t="shared" si="371"/>
        <v>-1.2353717553894301E-3</v>
      </c>
      <c r="I238" s="153"/>
      <c r="K238" s="16">
        <f t="shared" si="399"/>
        <v>2.1933244143062063E-2</v>
      </c>
      <c r="L238" s="77">
        <f t="shared" ref="L238:N238" si="441">L237</f>
        <v>2.8577112967764013E-2</v>
      </c>
      <c r="M238" s="16">
        <f t="shared" si="441"/>
        <v>7.4479351067131558E-3</v>
      </c>
      <c r="N238" s="16" t="str">
        <f t="shared" si="441"/>
        <v>Low Volatility</v>
      </c>
      <c r="O238" s="14" t="str">
        <f t="shared" si="429"/>
        <v>Strong Uptrend</v>
      </c>
      <c r="S238" s="131" t="s">
        <v>611</v>
      </c>
      <c r="T238" s="131" t="s">
        <v>1269</v>
      </c>
      <c r="U238" s="131" t="s">
        <v>1270</v>
      </c>
      <c r="V238" s="15">
        <f t="shared" si="369"/>
        <v>45988</v>
      </c>
      <c r="W238" s="60">
        <f t="shared" si="435"/>
        <v>72.92</v>
      </c>
      <c r="X238" s="61">
        <f t="shared" si="436"/>
        <v>0.10000000000000853</v>
      </c>
      <c r="Y238" s="62">
        <f>((W238-MAX(W$16:W238))/MAX(W$16:W238))</f>
        <v>-1.4461413704554579E-2</v>
      </c>
      <c r="Z238" s="16">
        <f t="shared" si="437"/>
        <v>1.3732491073881975E-3</v>
      </c>
      <c r="AA238" s="153"/>
      <c r="AC238" s="16">
        <f>(W238-W231)/W231</f>
        <v>5.9883720930232628E-2</v>
      </c>
      <c r="AD238" s="16">
        <f>AD235</f>
        <v>7.676780288841735E-2</v>
      </c>
      <c r="AE238" s="16">
        <f>AE237</f>
        <v>2.2648216290079685E-2</v>
      </c>
      <c r="AF238" s="16" t="str">
        <f t="shared" si="430"/>
        <v>Low Volatility</v>
      </c>
      <c r="AG238" s="14" t="str">
        <f t="shared" si="408"/>
        <v>Strong Uptrend</v>
      </c>
      <c r="AI238" s="131" t="s">
        <v>611</v>
      </c>
      <c r="AJ238" s="131">
        <v>424397</v>
      </c>
      <c r="AK238" s="131">
        <v>424350</v>
      </c>
      <c r="AL238" s="15">
        <f t="shared" si="281"/>
        <v>45988</v>
      </c>
      <c r="AM238" s="60">
        <f t="shared" si="271"/>
        <v>42.435000000000002</v>
      </c>
      <c r="AN238" s="61">
        <f t="shared" si="272"/>
        <v>-4.6999999999997044E-3</v>
      </c>
      <c r="AO238" s="62">
        <f>((AM238-MAX(AM$16:AM238))/MAX(AM$16:AM238))</f>
        <v>-1.1074536342150637E-4</v>
      </c>
      <c r="AP238" s="16">
        <f t="shared" si="273"/>
        <v>-1.1074536342150637E-4</v>
      </c>
      <c r="AQ238" s="153"/>
      <c r="AS238" s="16">
        <f t="shared" si="387"/>
        <v>1.5908382820834608E-3</v>
      </c>
      <c r="AT238" s="77">
        <f t="shared" ref="AT238:AV238" si="442">AT237</f>
        <v>1.8148037288417864E-3</v>
      </c>
      <c r="AU238" s="16">
        <f t="shared" si="442"/>
        <v>6.6306241791636142E-4</v>
      </c>
      <c r="AV238" s="16" t="str">
        <f t="shared" si="442"/>
        <v>Low Volatility</v>
      </c>
      <c r="AW238" s="14" t="str">
        <f t="shared" si="412"/>
        <v>Stable</v>
      </c>
    </row>
    <row r="239" spans="1:49" ht="15.75" hidden="1" thickBot="1">
      <c r="A239" s="131" t="s">
        <v>612</v>
      </c>
      <c r="B239" s="131" t="s">
        <v>897</v>
      </c>
      <c r="C239" s="131" t="s">
        <v>898</v>
      </c>
      <c r="D239" s="15">
        <f t="shared" si="377"/>
        <v>45989</v>
      </c>
      <c r="E239" s="60">
        <f t="shared" si="390"/>
        <v>5763.55</v>
      </c>
      <c r="F239" s="61">
        <f t="shared" si="391"/>
        <v>88.070000000000618</v>
      </c>
      <c r="G239" s="62">
        <f>((E239-MAX(E$16:E239))/MAX(E$16:E239))</f>
        <v>-8.8045886075949334E-2</v>
      </c>
      <c r="H239" s="16">
        <f t="shared" si="371"/>
        <v>1.5517630226870789E-2</v>
      </c>
      <c r="I239" s="153"/>
      <c r="K239" s="16">
        <f t="shared" si="399"/>
        <v>3.8084688676356657E-2</v>
      </c>
      <c r="L239" s="77">
        <f t="shared" ref="L239:N239" si="443">L238</f>
        <v>2.8577112967764013E-2</v>
      </c>
      <c r="M239" s="16">
        <f t="shared" si="443"/>
        <v>7.4479351067131558E-3</v>
      </c>
      <c r="N239" s="16" t="str">
        <f t="shared" si="443"/>
        <v>Low Volatility</v>
      </c>
      <c r="O239" s="14" t="str">
        <f t="shared" si="429"/>
        <v>Strong Uptrend</v>
      </c>
      <c r="S239" s="131" t="s">
        <v>612</v>
      </c>
      <c r="T239" s="131" t="s">
        <v>1270</v>
      </c>
      <c r="U239" s="131" t="s">
        <v>1271</v>
      </c>
      <c r="V239" s="15">
        <f t="shared" si="369"/>
        <v>45989</v>
      </c>
      <c r="W239" s="60">
        <f t="shared" si="435"/>
        <v>77.12</v>
      </c>
      <c r="X239" s="61">
        <f t="shared" si="436"/>
        <v>4.2000000000000028</v>
      </c>
      <c r="Y239" s="62">
        <f>((W239-MAX(W$16:W239))/MAX(W$16:W239))</f>
        <v>0</v>
      </c>
      <c r="Z239" s="16">
        <f t="shared" si="437"/>
        <v>5.759736697750964E-2</v>
      </c>
      <c r="AA239" s="153"/>
      <c r="AC239" s="16">
        <f>(W239-W232)/W232</f>
        <v>0.13112349662657666</v>
      </c>
      <c r="AD239" s="16">
        <f>AD235</f>
        <v>7.676780288841735E-2</v>
      </c>
      <c r="AE239" s="16">
        <f>AE238</f>
        <v>2.2648216290079685E-2</v>
      </c>
      <c r="AF239" s="16" t="str">
        <f t="shared" si="430"/>
        <v>Low Volatility</v>
      </c>
      <c r="AG239" s="14" t="str">
        <f t="shared" si="408"/>
        <v>Strong Uptrend</v>
      </c>
      <c r="AI239" s="131" t="s">
        <v>612</v>
      </c>
      <c r="AJ239" s="131">
        <v>424350</v>
      </c>
      <c r="AK239" s="131">
        <v>425007</v>
      </c>
      <c r="AL239" s="15">
        <f t="shared" si="281"/>
        <v>45989</v>
      </c>
      <c r="AM239" s="60">
        <f t="shared" si="271"/>
        <v>42.500700000000002</v>
      </c>
      <c r="AN239" s="61">
        <f t="shared" si="272"/>
        <v>6.5699999999999648E-2</v>
      </c>
      <c r="AO239" s="62">
        <f>((AM239-MAX(AM$16:AM239))/MAX(AM$16:AM239))</f>
        <v>0</v>
      </c>
      <c r="AP239" s="16">
        <f t="shared" si="273"/>
        <v>1.5482502651113384E-3</v>
      </c>
      <c r="AQ239" s="153"/>
      <c r="AS239" s="16">
        <f t="shared" si="387"/>
        <v>1.5034085901656465E-3</v>
      </c>
      <c r="AT239" s="77">
        <f t="shared" ref="AT239:AV239" si="444">AT238</f>
        <v>1.8148037288417864E-3</v>
      </c>
      <c r="AU239" s="16">
        <f t="shared" si="444"/>
        <v>6.6306241791636142E-4</v>
      </c>
      <c r="AV239" s="16" t="str">
        <f t="shared" si="444"/>
        <v>Low Volatility</v>
      </c>
      <c r="AW239" s="14" t="str">
        <f t="shared" si="412"/>
        <v>Stable</v>
      </c>
    </row>
    <row r="240" spans="1:49" ht="15.75" hidden="1" thickBot="1">
      <c r="A240" s="131" t="s">
        <v>613</v>
      </c>
      <c r="B240" s="131" t="s">
        <v>897</v>
      </c>
      <c r="C240" s="131" t="s">
        <v>898</v>
      </c>
      <c r="D240" s="15">
        <f t="shared" si="377"/>
        <v>45990</v>
      </c>
      <c r="E240" s="60">
        <f t="shared" si="390"/>
        <v>5763.55</v>
      </c>
      <c r="F240" s="61">
        <f t="shared" si="391"/>
        <v>0</v>
      </c>
      <c r="G240" s="62">
        <f>((E240-MAX(E$16:E240))/MAX(E$16:E240))</f>
        <v>-8.8045886075949334E-2</v>
      </c>
      <c r="H240" s="16">
        <f t="shared" si="371"/>
        <v>0</v>
      </c>
      <c r="I240" s="153"/>
      <c r="K240" s="16">
        <f t="shared" si="399"/>
        <v>3.8084688676356657E-2</v>
      </c>
      <c r="L240" s="77">
        <f t="shared" ref="L240:N240" si="445">L239</f>
        <v>2.8577112967764013E-2</v>
      </c>
      <c r="M240" s="16">
        <f t="shared" si="445"/>
        <v>7.4479351067131558E-3</v>
      </c>
      <c r="N240" s="16" t="str">
        <f t="shared" si="445"/>
        <v>Low Volatility</v>
      </c>
      <c r="O240" s="14" t="str">
        <f t="shared" si="429"/>
        <v>Strong Uptrend</v>
      </c>
      <c r="S240" s="131" t="s">
        <v>613</v>
      </c>
      <c r="T240" s="131" t="s">
        <v>1270</v>
      </c>
      <c r="U240" s="131" t="s">
        <v>1271</v>
      </c>
      <c r="V240" s="15">
        <f t="shared" si="369"/>
        <v>45990</v>
      </c>
      <c r="W240" s="60">
        <f t="shared" si="435"/>
        <v>77.12</v>
      </c>
      <c r="X240" s="61">
        <f t="shared" si="436"/>
        <v>0</v>
      </c>
      <c r="Y240" s="62">
        <f>((W240-MAX(W$16:W240))/MAX(W$16:W240))</f>
        <v>0</v>
      </c>
      <c r="Z240" s="16">
        <f t="shared" si="437"/>
        <v>0</v>
      </c>
      <c r="AA240" s="153"/>
      <c r="AC240" s="16">
        <f>(W240-W233)/W233</f>
        <v>0.13112349662657666</v>
      </c>
      <c r="AD240" s="16">
        <f>AD235</f>
        <v>7.676780288841735E-2</v>
      </c>
      <c r="AE240" s="16">
        <f>AE239</f>
        <v>2.2648216290079685E-2</v>
      </c>
      <c r="AF240" s="16" t="str">
        <f t="shared" si="430"/>
        <v>Low Volatility</v>
      </c>
      <c r="AG240" s="14" t="str">
        <f t="shared" si="408"/>
        <v>Strong Uptrend</v>
      </c>
      <c r="AI240" s="131" t="s">
        <v>613</v>
      </c>
      <c r="AJ240" s="131">
        <v>424350</v>
      </c>
      <c r="AK240" s="131">
        <v>425007</v>
      </c>
      <c r="AL240" s="15">
        <f t="shared" si="281"/>
        <v>45990</v>
      </c>
      <c r="AM240" s="60">
        <f t="shared" si="271"/>
        <v>42.500700000000002</v>
      </c>
      <c r="AN240" s="61">
        <f t="shared" si="272"/>
        <v>0</v>
      </c>
      <c r="AO240" s="62">
        <f>((AM240-MAX(AM$16:AM240))/MAX(AM$16:AM240))</f>
        <v>0</v>
      </c>
      <c r="AP240" s="16">
        <f t="shared" si="273"/>
        <v>0</v>
      </c>
      <c r="AQ240" s="153"/>
      <c r="AS240" s="16">
        <f t="shared" si="387"/>
        <v>1.5034085901656465E-3</v>
      </c>
      <c r="AT240" s="77">
        <f t="shared" ref="AT240:AV240" si="446">AT239</f>
        <v>1.8148037288417864E-3</v>
      </c>
      <c r="AU240" s="16">
        <f t="shared" si="446"/>
        <v>6.6306241791636142E-4</v>
      </c>
      <c r="AV240" s="16" t="str">
        <f t="shared" si="446"/>
        <v>Low Volatility</v>
      </c>
      <c r="AW240" s="14" t="str">
        <f t="shared" si="412"/>
        <v>Stable</v>
      </c>
    </row>
    <row r="241" spans="1:49" ht="15.75" hidden="1" thickBot="1">
      <c r="A241" s="131" t="s">
        <v>614</v>
      </c>
      <c r="B241" s="131" t="s">
        <v>897</v>
      </c>
      <c r="C241" s="131" t="s">
        <v>898</v>
      </c>
      <c r="D241" s="15">
        <f t="shared" si="377"/>
        <v>45991</v>
      </c>
      <c r="E241" s="60">
        <f t="shared" si="390"/>
        <v>5763.55</v>
      </c>
      <c r="F241" s="61">
        <f t="shared" si="391"/>
        <v>0</v>
      </c>
      <c r="G241" s="62">
        <f>((E241-MAX(E$16:E241))/MAX(E$16:E241))</f>
        <v>-8.8045886075949334E-2</v>
      </c>
      <c r="H241" s="16">
        <f t="shared" si="371"/>
        <v>0</v>
      </c>
      <c r="I241" s="153"/>
      <c r="K241" s="16">
        <f t="shared" si="399"/>
        <v>3.8084688676356657E-2</v>
      </c>
      <c r="L241" s="77">
        <f t="shared" ref="L241:N241" si="447">L240</f>
        <v>2.8577112967764013E-2</v>
      </c>
      <c r="M241" s="16">
        <f t="shared" si="447"/>
        <v>7.4479351067131558E-3</v>
      </c>
      <c r="N241" s="16" t="str">
        <f t="shared" si="447"/>
        <v>Low Volatility</v>
      </c>
      <c r="O241" s="14" t="str">
        <f t="shared" si="429"/>
        <v>Strong Uptrend</v>
      </c>
      <c r="S241" s="131" t="s">
        <v>614</v>
      </c>
      <c r="T241" s="131" t="s">
        <v>1270</v>
      </c>
      <c r="U241" s="131" t="s">
        <v>1271</v>
      </c>
      <c r="V241" s="15">
        <f t="shared" si="369"/>
        <v>45991</v>
      </c>
      <c r="W241" s="60">
        <f t="shared" si="435"/>
        <v>77.12</v>
      </c>
      <c r="X241" s="61">
        <f t="shared" si="436"/>
        <v>0</v>
      </c>
      <c r="Y241" s="62">
        <f>((W241-MAX(W$16:W241))/MAX(W$16:W241))</f>
        <v>0</v>
      </c>
      <c r="Z241" s="16">
        <f t="shared" si="437"/>
        <v>0</v>
      </c>
      <c r="AA241" s="153"/>
      <c r="AC241" s="16">
        <f>(W241-W234)/W234</f>
        <v>0.13112349662657666</v>
      </c>
      <c r="AD241" s="16">
        <f>AD235</f>
        <v>7.676780288841735E-2</v>
      </c>
      <c r="AE241" s="16">
        <f>AE235</f>
        <v>2.2648216290079685E-2</v>
      </c>
      <c r="AF241" s="16" t="str">
        <f>IF(AE241 &lt; 0.02, "Low Volatility",
 IF(AE241 &gt; 0.1, "High Volatility", "Medium Volatility"))</f>
        <v>Medium Volatility</v>
      </c>
      <c r="AG241" s="14" t="str">
        <f t="shared" si="408"/>
        <v>Strong Uptrend</v>
      </c>
      <c r="AI241" s="131" t="s">
        <v>614</v>
      </c>
      <c r="AJ241" s="131">
        <v>424350</v>
      </c>
      <c r="AK241" s="131">
        <v>425007</v>
      </c>
      <c r="AL241" s="15">
        <f t="shared" si="281"/>
        <v>45991</v>
      </c>
      <c r="AM241" s="60">
        <f t="shared" si="271"/>
        <v>42.500700000000002</v>
      </c>
      <c r="AN241" s="61">
        <f t="shared" si="272"/>
        <v>0</v>
      </c>
      <c r="AO241" s="62">
        <f>((AM241-MAX(AM$16:AM241))/MAX(AM$16:AM241))</f>
        <v>0</v>
      </c>
      <c r="AP241" s="16">
        <f t="shared" si="273"/>
        <v>0</v>
      </c>
      <c r="AQ241" s="153"/>
      <c r="AS241" s="16">
        <f t="shared" si="387"/>
        <v>1.5034085901656465E-3</v>
      </c>
      <c r="AT241" s="77">
        <f t="shared" ref="AT241:AV241" si="448">AT240</f>
        <v>1.8148037288417864E-3</v>
      </c>
      <c r="AU241" s="16">
        <f t="shared" si="448"/>
        <v>6.6306241791636142E-4</v>
      </c>
      <c r="AV241" s="16" t="str">
        <f t="shared" si="448"/>
        <v>Low Volatility</v>
      </c>
      <c r="AW241" s="14" t="str">
        <f t="shared" si="412"/>
        <v>Stable</v>
      </c>
    </row>
    <row r="242" spans="1:49" ht="15.75" hidden="1" thickBot="1">
      <c r="A242" s="131" t="s">
        <v>615</v>
      </c>
      <c r="B242" s="131" t="s">
        <v>899</v>
      </c>
      <c r="C242" s="131" t="s">
        <v>900</v>
      </c>
      <c r="D242" s="15">
        <f t="shared" si="377"/>
        <v>45992</v>
      </c>
      <c r="E242" s="60">
        <f t="shared" si="390"/>
        <v>5781.31</v>
      </c>
      <c r="F242" s="61">
        <f t="shared" si="391"/>
        <v>17.760000000000218</v>
      </c>
      <c r="G242" s="62">
        <f>((E242-MAX(E$16:E242))/MAX(E$16:E242))</f>
        <v>-8.5235759493670821E-2</v>
      </c>
      <c r="H242" s="16">
        <f t="shared" si="371"/>
        <v>3.0814341855280544E-3</v>
      </c>
      <c r="I242" s="153">
        <f>AVERAGEIFS(E242:E249, E242:E249, "&gt;=0")</f>
        <v>5749.5375000000004</v>
      </c>
      <c r="K242" s="16">
        <f t="shared" si="399"/>
        <v>2.5602316129707633E-2</v>
      </c>
      <c r="L242" s="77">
        <f t="shared" ref="L242" si="449">(I242-I235)/I235</f>
        <v>6.4360196542132672E-3</v>
      </c>
      <c r="M242" s="16" cm="1">
        <f t="array" ref="M242">_xlfn.STDEV.S(_xlfn._xlws.FILTER(F242:F248, ISNUMBER(F242:F248))) / I242</f>
        <v>2.979613557028428E-3</v>
      </c>
      <c r="N242" s="16" t="str" cm="1">
        <f t="array" ref="N242">_xlfn.LET(
  _xlpm.c, M63,
  IFERROR(
    _xlfn.IFS(_xlpm.c&lt;0.02,"Low Volatility",
        _xlpm.c&gt;0.1,"High Volatility",
        TRUE,"Medium Volatility"),
    "Insufficient data"
  )
)</f>
        <v>Low Volatility</v>
      </c>
      <c r="O242" s="14" t="str">
        <f t="shared" si="429"/>
        <v>Weak/Unconfirmed</v>
      </c>
      <c r="S242" s="131" t="s">
        <v>615</v>
      </c>
      <c r="T242" s="131" t="s">
        <v>1272</v>
      </c>
      <c r="U242" s="131" t="s">
        <v>1273</v>
      </c>
      <c r="V242" s="15">
        <f t="shared" si="369"/>
        <v>45992</v>
      </c>
      <c r="W242" s="60">
        <f t="shared" si="435"/>
        <v>79.03</v>
      </c>
      <c r="X242" s="61">
        <f t="shared" si="436"/>
        <v>1.9099999999999966</v>
      </c>
      <c r="Y242" s="62">
        <f>((W242-MAX(W$16:W242))/MAX(W$16:W242))</f>
        <v>0</v>
      </c>
      <c r="Z242" s="16">
        <f t="shared" si="437"/>
        <v>2.4766597510373398E-2</v>
      </c>
      <c r="AA242" s="153">
        <f t="shared" ref="AA242" si="450">AVERAGEIFS(W242:W248, W242:W248, "&gt;=0")</f>
        <v>79.497142857142862</v>
      </c>
      <c r="AC242" s="16">
        <f t="shared" ref="AC242:AC305" si="451">(W242-W235)/W235</f>
        <v>0.12706788362806612</v>
      </c>
      <c r="AD242" s="66">
        <f t="shared" ref="AD242" si="452">(AA242-AA235)/AA235</f>
        <v>7.5469145584909941E-2</v>
      </c>
      <c r="AE242" s="16" cm="1">
        <f t="array" ref="AE242">_xlfn.STDEV.S(_xlfn._xlws.FILTER(X242:X248, ISNUMBER(X242:X248))) / AA242</f>
        <v>1.6108740166460786E-2</v>
      </c>
      <c r="AF242" s="16" t="str">
        <f t="shared" ref="AF242" si="453">IF(AE242 &lt; 0.02, "Low Volatility",
 IF(AE242 &gt; 0.1, "High Volatility", "Medium Volatility"))</f>
        <v>Low Volatility</v>
      </c>
      <c r="AG242" s="14" t="str">
        <f t="shared" si="408"/>
        <v>Strong Uptrend</v>
      </c>
      <c r="AI242" s="131" t="s">
        <v>615</v>
      </c>
      <c r="AJ242" s="131">
        <v>425023</v>
      </c>
      <c r="AK242" s="131">
        <v>424321</v>
      </c>
      <c r="AL242" s="15">
        <f t="shared" si="281"/>
        <v>45992</v>
      </c>
      <c r="AM242" s="60">
        <f t="shared" si="271"/>
        <v>42.432099999999998</v>
      </c>
      <c r="AN242" s="61">
        <f t="shared" si="272"/>
        <v>-6.8600000000003547E-2</v>
      </c>
      <c r="AO242" s="62">
        <f>((AM242-MAX(AM$16:AM242))/MAX(AM$16:AM242))</f>
        <v>-1.6140910620296499E-3</v>
      </c>
      <c r="AP242" s="16">
        <f t="shared" si="273"/>
        <v>-1.6140910620296499E-3</v>
      </c>
      <c r="AQ242" s="153">
        <f t="shared" ref="AQ242" si="454">AVERAGEIFS(AM242:AM248, AM242:AM248, "&gt;=0")</f>
        <v>42.486742857142858</v>
      </c>
      <c r="AS242" s="16">
        <f t="shared" si="387"/>
        <v>3.2297304943137994E-4</v>
      </c>
      <c r="AT242" s="77">
        <f t="shared" ref="AT242" si="455">(AQ242-AQ235)/AQ235</f>
        <v>6.6485066431247171E-4</v>
      </c>
      <c r="AU242" s="16" cm="1">
        <f t="array" ref="AU242">_xlfn.STDEV.S(_xlfn._xlws.FILTER(AN242:AN248, ISNUMBER(AN242:AN248))) / AQ242</f>
        <v>8.9805784075631544E-4</v>
      </c>
      <c r="AV242" s="16" t="str">
        <f t="shared" ref="AV242" si="456">IF(AU242 &lt; 0.02, "Low Volatility",
 IF(AU242 &gt; 0.1, "High Volatility", "Medium Volatility"))</f>
        <v>Low Volatility</v>
      </c>
      <c r="AW242" s="14" t="str">
        <f t="shared" si="412"/>
        <v>Stable</v>
      </c>
    </row>
    <row r="243" spans="1:49" ht="15.75" hidden="1" thickBot="1">
      <c r="A243" s="131" t="s">
        <v>616</v>
      </c>
      <c r="B243" s="131" t="s">
        <v>901</v>
      </c>
      <c r="C243" s="131" t="s">
        <v>902</v>
      </c>
      <c r="D243" s="15">
        <f t="shared" si="377"/>
        <v>45993</v>
      </c>
      <c r="E243" s="60">
        <f t="shared" si="390"/>
        <v>5745.87</v>
      </c>
      <c r="F243" s="61">
        <f t="shared" si="391"/>
        <v>-35.440000000000509</v>
      </c>
      <c r="G243" s="62">
        <f>((E243-MAX(E$16:E243))/MAX(E$16:E243))</f>
        <v>-9.0843354430379761E-2</v>
      </c>
      <c r="H243" s="16">
        <f t="shared" si="371"/>
        <v>-6.1300985416800876E-3</v>
      </c>
      <c r="I243" s="153"/>
      <c r="K243" s="16">
        <f t="shared" si="399"/>
        <v>1.9633626311614669E-2</v>
      </c>
      <c r="L243" s="77">
        <f t="shared" ref="L243:N243" si="457">L242</f>
        <v>6.4360196542132672E-3</v>
      </c>
      <c r="M243" s="16">
        <f t="shared" si="457"/>
        <v>2.979613557028428E-3</v>
      </c>
      <c r="N243" s="16" t="str">
        <f t="shared" si="457"/>
        <v>Low Volatility</v>
      </c>
      <c r="O243" s="14" t="str">
        <f t="shared" si="429"/>
        <v>Weak/Unconfirmed</v>
      </c>
      <c r="S243" s="131" t="s">
        <v>616</v>
      </c>
      <c r="T243" s="131" t="s">
        <v>1274</v>
      </c>
      <c r="U243" s="131" t="s">
        <v>1275</v>
      </c>
      <c r="V243" s="15">
        <f t="shared" si="369"/>
        <v>45993</v>
      </c>
      <c r="W243" s="60">
        <f t="shared" si="435"/>
        <v>79.98</v>
      </c>
      <c r="X243" s="61">
        <f t="shared" si="436"/>
        <v>0.95000000000000284</v>
      </c>
      <c r="Y243" s="62">
        <f>((W243-MAX(W$16:W243))/MAX(W$16:W243))</f>
        <v>0</v>
      </c>
      <c r="Z243" s="16">
        <f t="shared" si="437"/>
        <v>1.2020751613311436E-2</v>
      </c>
      <c r="AA243" s="153"/>
      <c r="AC243" s="16">
        <f t="shared" si="451"/>
        <v>0.1391539666714145</v>
      </c>
      <c r="AD243" s="16">
        <f t="shared" ref="AD243:AF247" si="458">AD242</f>
        <v>7.5469145584909941E-2</v>
      </c>
      <c r="AE243" s="16">
        <f t="shared" si="458"/>
        <v>1.6108740166460786E-2</v>
      </c>
      <c r="AF243" s="16" t="str">
        <f t="shared" si="458"/>
        <v>Low Volatility</v>
      </c>
      <c r="AG243" s="14" t="str">
        <f t="shared" si="408"/>
        <v>Strong Uptrend</v>
      </c>
      <c r="AI243" s="131" t="s">
        <v>616</v>
      </c>
      <c r="AJ243" s="131">
        <v>424321</v>
      </c>
      <c r="AK243" s="131">
        <v>424447</v>
      </c>
      <c r="AL243" s="15">
        <f t="shared" si="281"/>
        <v>45993</v>
      </c>
      <c r="AM243" s="60">
        <f t="shared" si="271"/>
        <v>42.444699999999997</v>
      </c>
      <c r="AN243" s="61">
        <f t="shared" si="272"/>
        <v>1.2599999999999056E-2</v>
      </c>
      <c r="AO243" s="62">
        <f>((AM243-MAX(AM$16:AM243))/MAX(AM$16:AM243))</f>
        <v>-1.3176253567589355E-3</v>
      </c>
      <c r="AP243" s="16">
        <f t="shared" si="273"/>
        <v>2.9694500154362044E-4</v>
      </c>
      <c r="AQ243" s="153"/>
      <c r="AS243" s="16">
        <f t="shared" si="387"/>
        <v>7.1438002187928823E-4</v>
      </c>
      <c r="AT243" s="77">
        <f t="shared" ref="AT243:AV243" si="459">AT242</f>
        <v>6.6485066431247171E-4</v>
      </c>
      <c r="AU243" s="16">
        <f t="shared" si="459"/>
        <v>8.9805784075631544E-4</v>
      </c>
      <c r="AV243" s="16" t="str">
        <f t="shared" si="459"/>
        <v>Low Volatility</v>
      </c>
      <c r="AW243" s="14" t="str">
        <f t="shared" si="412"/>
        <v>Stable</v>
      </c>
    </row>
    <row r="244" spans="1:49" ht="15.75" hidden="1" thickBot="1">
      <c r="A244" s="131" t="s">
        <v>617</v>
      </c>
      <c r="B244" s="131" t="s">
        <v>903</v>
      </c>
      <c r="C244" s="131" t="s">
        <v>904</v>
      </c>
      <c r="D244" s="15">
        <f t="shared" si="377"/>
        <v>45994</v>
      </c>
      <c r="E244" s="60">
        <f t="shared" si="390"/>
        <v>5740.46</v>
      </c>
      <c r="F244" s="61">
        <f t="shared" si="391"/>
        <v>-5.4099999999998545</v>
      </c>
      <c r="G244" s="62">
        <f>((E244-MAX(E$16:E244))/MAX(E$16:E244))</f>
        <v>-9.1699367088607583E-2</v>
      </c>
      <c r="H244" s="16">
        <f t="shared" si="371"/>
        <v>-9.4154584075167988E-4</v>
      </c>
      <c r="I244" s="153"/>
      <c r="K244" s="16">
        <f t="shared" si="399"/>
        <v>1.0199736031676206E-2</v>
      </c>
      <c r="L244" s="77">
        <f t="shared" ref="L244:N244" si="460">L243</f>
        <v>6.4360196542132672E-3</v>
      </c>
      <c r="M244" s="16">
        <f t="shared" si="460"/>
        <v>2.979613557028428E-3</v>
      </c>
      <c r="N244" s="16" t="str">
        <f t="shared" si="460"/>
        <v>Low Volatility</v>
      </c>
      <c r="O244" s="14" t="str">
        <f t="shared" si="429"/>
        <v>Weak/Unconfirmed</v>
      </c>
      <c r="S244" s="131" t="s">
        <v>617</v>
      </c>
      <c r="T244" s="131" t="s">
        <v>1276</v>
      </c>
      <c r="U244" s="131" t="s">
        <v>1277</v>
      </c>
      <c r="V244" s="15">
        <f t="shared" si="369"/>
        <v>45994</v>
      </c>
      <c r="W244" s="60">
        <f t="shared" si="435"/>
        <v>79.849999999999994</v>
      </c>
      <c r="X244" s="61">
        <f t="shared" si="436"/>
        <v>-0.13000000000000966</v>
      </c>
      <c r="Y244" s="62">
        <f>((W244-MAX(W$16:W244))/MAX(W$16:W244))</f>
        <v>-1.6254063515880176E-3</v>
      </c>
      <c r="Z244" s="16">
        <f t="shared" si="437"/>
        <v>-1.6254063515880176E-3</v>
      </c>
      <c r="AA244" s="153"/>
      <c r="AC244" s="16">
        <f t="shared" si="451"/>
        <v>9.6539412249382062E-2</v>
      </c>
      <c r="AD244" s="16">
        <f t="shared" ref="AD244" si="461">AD242</f>
        <v>7.5469145584909941E-2</v>
      </c>
      <c r="AE244" s="16">
        <f t="shared" si="458"/>
        <v>1.6108740166460786E-2</v>
      </c>
      <c r="AF244" s="16" t="str">
        <f t="shared" si="458"/>
        <v>Low Volatility</v>
      </c>
      <c r="AG244" s="14" t="str">
        <f t="shared" si="408"/>
        <v>Strong Uptrend</v>
      </c>
      <c r="AI244" s="131" t="s">
        <v>617</v>
      </c>
      <c r="AJ244" s="131">
        <v>424373</v>
      </c>
      <c r="AK244" s="131">
        <v>424437</v>
      </c>
      <c r="AL244" s="15">
        <f t="shared" si="281"/>
        <v>45994</v>
      </c>
      <c r="AM244" s="60">
        <f t="shared" si="271"/>
        <v>42.4437</v>
      </c>
      <c r="AN244" s="61">
        <f t="shared" si="272"/>
        <v>-9.9999999999766942E-4</v>
      </c>
      <c r="AO244" s="62">
        <f>((AM244-MAX(AM$16:AM244))/MAX(AM$16:AM244))</f>
        <v>-1.3411543809867168E-3</v>
      </c>
      <c r="AP244" s="16">
        <f t="shared" si="273"/>
        <v>-2.3560067570218885E-5</v>
      </c>
      <c r="AQ244" s="153"/>
      <c r="AS244" s="16">
        <f t="shared" si="387"/>
        <v>9.4251373124639966E-5</v>
      </c>
      <c r="AT244" s="77">
        <f t="shared" ref="AT244:AV244" si="462">AT243</f>
        <v>6.6485066431247171E-4</v>
      </c>
      <c r="AU244" s="16">
        <f t="shared" si="462"/>
        <v>8.9805784075631544E-4</v>
      </c>
      <c r="AV244" s="16" t="str">
        <f t="shared" si="462"/>
        <v>Low Volatility</v>
      </c>
      <c r="AW244" s="14" t="str">
        <f t="shared" si="412"/>
        <v>Stable</v>
      </c>
    </row>
    <row r="245" spans="1:49" ht="15.75" hidden="1" thickBot="1">
      <c r="A245" s="131" t="s">
        <v>618</v>
      </c>
      <c r="B245" s="131" t="s">
        <v>905</v>
      </c>
      <c r="C245" s="131" t="s">
        <v>555</v>
      </c>
      <c r="D245" s="15">
        <f t="shared" si="366"/>
        <v>45995</v>
      </c>
      <c r="E245" s="60">
        <f t="shared" si="390"/>
        <v>5753</v>
      </c>
      <c r="F245" s="61">
        <f t="shared" si="391"/>
        <v>12.539999999999964</v>
      </c>
      <c r="G245" s="62">
        <f>((E245-MAX(E$16:E245))/MAX(E$16:E245))</f>
        <v>-8.9715189873417728E-2</v>
      </c>
      <c r="H245" s="16">
        <f t="shared" si="371"/>
        <v>2.1844939255739023E-3</v>
      </c>
      <c r="I245" s="153"/>
      <c r="K245" s="16">
        <f t="shared" si="399"/>
        <v>1.3658756616180559E-2</v>
      </c>
      <c r="L245" s="77">
        <f t="shared" ref="L245:N245" si="463">L244</f>
        <v>6.4360196542132672E-3</v>
      </c>
      <c r="M245" s="16">
        <f t="shared" si="463"/>
        <v>2.979613557028428E-3</v>
      </c>
      <c r="N245" s="16" t="str">
        <f t="shared" si="463"/>
        <v>Low Volatility</v>
      </c>
      <c r="O245" s="14" t="str">
        <f t="shared" si="429"/>
        <v>Weak/Unconfirmed</v>
      </c>
      <c r="S245" s="131" t="s">
        <v>618</v>
      </c>
      <c r="T245" s="131" t="s">
        <v>1278</v>
      </c>
      <c r="U245" s="131" t="s">
        <v>1279</v>
      </c>
      <c r="V245" s="15">
        <f t="shared" si="369"/>
        <v>45995</v>
      </c>
      <c r="W245" s="60">
        <f t="shared" si="435"/>
        <v>78.069999999999993</v>
      </c>
      <c r="X245" s="61">
        <f t="shared" si="436"/>
        <v>-1.7800000000000011</v>
      </c>
      <c r="Y245" s="62">
        <f>((W245-MAX(W$16:W245))/MAX(W$16:W245))</f>
        <v>-2.3880970242560775E-2</v>
      </c>
      <c r="Z245" s="16">
        <f t="shared" si="437"/>
        <v>-2.2291797119599263E-2</v>
      </c>
      <c r="AA245" s="153"/>
      <c r="AC245" s="16">
        <f t="shared" si="451"/>
        <v>7.0625342841469985E-2</v>
      </c>
      <c r="AD245" s="16">
        <f t="shared" ref="AD245" si="464">AD242</f>
        <v>7.5469145584909941E-2</v>
      </c>
      <c r="AE245" s="16">
        <f t="shared" si="458"/>
        <v>1.6108740166460786E-2</v>
      </c>
      <c r="AF245" s="16" t="str">
        <f t="shared" si="458"/>
        <v>Low Volatility</v>
      </c>
      <c r="AG245" s="14" t="str">
        <f t="shared" si="408"/>
        <v>Strong Uptrend</v>
      </c>
      <c r="AI245" s="131" t="s">
        <v>618</v>
      </c>
      <c r="AJ245" s="131">
        <v>424437</v>
      </c>
      <c r="AK245" s="131">
        <v>424994</v>
      </c>
      <c r="AL245" s="15">
        <f t="shared" si="281"/>
        <v>45995</v>
      </c>
      <c r="AM245" s="60">
        <f t="shared" ref="AM245:AM308" si="465">VALUE(SUBSTITUTE(SUBSTITUTE(AK245, ".", ""), ",", "."))/10000</f>
        <v>42.499400000000001</v>
      </c>
      <c r="AN245" s="61">
        <f t="shared" ref="AN245:AN308" si="466">AM245-AM244</f>
        <v>5.5700000000001637E-2</v>
      </c>
      <c r="AO245" s="62">
        <f>((AM245-MAX(AM$16:AM245))/MAX(AM$16:AM245))</f>
        <v>-3.0587731496199426E-5</v>
      </c>
      <c r="AP245" s="16">
        <f t="shared" ref="AP245:AP308" si="467">(AM245-AM244)/AM244</f>
        <v>1.3123266821695951E-3</v>
      </c>
      <c r="AQ245" s="153"/>
      <c r="AS245" s="16">
        <f t="shared" si="387"/>
        <v>1.5176151761517407E-3</v>
      </c>
      <c r="AT245" s="77">
        <f t="shared" ref="AT245:AV245" si="468">AT244</f>
        <v>6.6485066431247171E-4</v>
      </c>
      <c r="AU245" s="16">
        <f t="shared" si="468"/>
        <v>8.9805784075631544E-4</v>
      </c>
      <c r="AV245" s="16" t="str">
        <f t="shared" si="468"/>
        <v>Low Volatility</v>
      </c>
      <c r="AW245" s="14" t="str">
        <f t="shared" si="412"/>
        <v>Stable</v>
      </c>
    </row>
    <row r="246" spans="1:49" ht="15.75" hidden="1" thickBot="1">
      <c r="A246" s="131" t="s">
        <v>619</v>
      </c>
      <c r="B246" s="131" t="s">
        <v>906</v>
      </c>
      <c r="C246" s="131" t="s">
        <v>907</v>
      </c>
      <c r="D246" s="15">
        <f t="shared" si="366"/>
        <v>45996</v>
      </c>
      <c r="E246" s="60">
        <f t="shared" si="390"/>
        <v>5746.23</v>
      </c>
      <c r="F246" s="61">
        <f t="shared" si="391"/>
        <v>-6.7700000000004366</v>
      </c>
      <c r="G246" s="62">
        <f>((E246-MAX(E$16:E246))/MAX(E$16:E246))</f>
        <v>-9.0786392405063365E-2</v>
      </c>
      <c r="H246" s="16">
        <f t="shared" si="371"/>
        <v>-1.1767773335651724E-3</v>
      </c>
      <c r="I246" s="153"/>
      <c r="K246" s="16">
        <f t="shared" si="399"/>
        <v>-3.0050923475983754E-3</v>
      </c>
      <c r="L246" s="77">
        <f t="shared" ref="L246:N246" si="469">L245</f>
        <v>6.4360196542132672E-3</v>
      </c>
      <c r="M246" s="16">
        <f t="shared" si="469"/>
        <v>2.979613557028428E-3</v>
      </c>
      <c r="N246" s="16" t="str">
        <f t="shared" si="469"/>
        <v>Low Volatility</v>
      </c>
      <c r="O246" s="14" t="str">
        <f t="shared" si="429"/>
        <v>Weak/Unconfirmed</v>
      </c>
      <c r="S246" s="131" t="s">
        <v>619</v>
      </c>
      <c r="T246" s="131" t="s">
        <v>1279</v>
      </c>
      <c r="U246" s="131" t="s">
        <v>1277</v>
      </c>
      <c r="V246" s="15">
        <f t="shared" si="369"/>
        <v>45996</v>
      </c>
      <c r="W246" s="60">
        <f t="shared" si="435"/>
        <v>79.849999999999994</v>
      </c>
      <c r="X246" s="61">
        <f t="shared" si="436"/>
        <v>1.7800000000000011</v>
      </c>
      <c r="Y246" s="62">
        <f>((W246-MAX(W$16:W246))/MAX(W$16:W246))</f>
        <v>-1.6254063515880176E-3</v>
      </c>
      <c r="Z246" s="16">
        <f t="shared" si="437"/>
        <v>2.280005123607021E-2</v>
      </c>
      <c r="AA246" s="153"/>
      <c r="AC246" s="16">
        <f t="shared" si="451"/>
        <v>3.5399377593360863E-2</v>
      </c>
      <c r="AD246" s="16">
        <f t="shared" ref="AD246" si="470">AD242</f>
        <v>7.5469145584909941E-2</v>
      </c>
      <c r="AE246" s="16">
        <f t="shared" si="458"/>
        <v>1.6108740166460786E-2</v>
      </c>
      <c r="AF246" s="16" t="str">
        <f t="shared" si="458"/>
        <v>Low Volatility</v>
      </c>
      <c r="AG246" s="14" t="str">
        <f t="shared" si="408"/>
        <v>Strong Uptrend</v>
      </c>
      <c r="AI246" s="131" t="s">
        <v>619</v>
      </c>
      <c r="AJ246" s="131">
        <v>424990</v>
      </c>
      <c r="AK246" s="131">
        <v>425291</v>
      </c>
      <c r="AL246" s="15">
        <f t="shared" si="281"/>
        <v>45996</v>
      </c>
      <c r="AM246" s="60">
        <f t="shared" si="465"/>
        <v>42.5291</v>
      </c>
      <c r="AN246" s="61">
        <f t="shared" si="466"/>
        <v>2.9699999999998283E-2</v>
      </c>
      <c r="AO246" s="62">
        <f>((AM246-MAX(AM$16:AM246))/MAX(AM$16:AM246))</f>
        <v>0</v>
      </c>
      <c r="AP246" s="16">
        <f t="shared" si="467"/>
        <v>6.9883339529495199E-4</v>
      </c>
      <c r="AQ246" s="153"/>
      <c r="AS246" s="16">
        <f t="shared" si="387"/>
        <v>6.6822428807049674E-4</v>
      </c>
      <c r="AT246" s="77">
        <f t="shared" ref="AT246:AV246" si="471">AT245</f>
        <v>6.6485066431247171E-4</v>
      </c>
      <c r="AU246" s="16">
        <f t="shared" si="471"/>
        <v>8.9805784075631544E-4</v>
      </c>
      <c r="AV246" s="16" t="str">
        <f t="shared" si="471"/>
        <v>Low Volatility</v>
      </c>
      <c r="AW246" s="14" t="str">
        <f t="shared" si="412"/>
        <v>Stable</v>
      </c>
    </row>
    <row r="247" spans="1:49" ht="15.75" hidden="1" thickBot="1">
      <c r="A247" s="131" t="s">
        <v>620</v>
      </c>
      <c r="B247" s="131" t="s">
        <v>906</v>
      </c>
      <c r="C247" s="131" t="s">
        <v>907</v>
      </c>
      <c r="D247" s="15">
        <f t="shared" si="366"/>
        <v>45997</v>
      </c>
      <c r="E247" s="60">
        <f t="shared" si="390"/>
        <v>5746.23</v>
      </c>
      <c r="F247" s="61">
        <f t="shared" si="391"/>
        <v>0</v>
      </c>
      <c r="G247" s="62">
        <f>((E247-MAX(E$16:E247))/MAX(E$16:E247))</f>
        <v>-9.0786392405063365E-2</v>
      </c>
      <c r="H247" s="16">
        <f t="shared" si="371"/>
        <v>0</v>
      </c>
      <c r="I247" s="153"/>
      <c r="K247" s="16">
        <f t="shared" si="399"/>
        <v>-3.0050923475983754E-3</v>
      </c>
      <c r="L247" s="77">
        <f t="shared" ref="L247:N247" si="472">L246</f>
        <v>6.4360196542132672E-3</v>
      </c>
      <c r="M247" s="16">
        <f t="shared" si="472"/>
        <v>2.979613557028428E-3</v>
      </c>
      <c r="N247" s="16" t="str">
        <f t="shared" si="472"/>
        <v>Low Volatility</v>
      </c>
      <c r="O247" s="14" t="str">
        <f t="shared" si="429"/>
        <v>Weak/Unconfirmed</v>
      </c>
      <c r="S247" s="131" t="s">
        <v>620</v>
      </c>
      <c r="T247" s="131" t="s">
        <v>1279</v>
      </c>
      <c r="U247" s="131" t="s">
        <v>1277</v>
      </c>
      <c r="V247" s="15">
        <f t="shared" si="369"/>
        <v>45997</v>
      </c>
      <c r="W247" s="60">
        <f t="shared" si="435"/>
        <v>79.849999999999994</v>
      </c>
      <c r="X247" s="61">
        <f t="shared" si="436"/>
        <v>0</v>
      </c>
      <c r="Y247" s="62">
        <f>((W247-MAX(W$16:W247))/MAX(W$16:W247))</f>
        <v>-1.6254063515880176E-3</v>
      </c>
      <c r="Z247" s="16">
        <f t="shared" si="437"/>
        <v>0</v>
      </c>
      <c r="AA247" s="153"/>
      <c r="AC247" s="16">
        <f t="shared" si="451"/>
        <v>3.5399377593360863E-2</v>
      </c>
      <c r="AD247" s="16">
        <f t="shared" ref="AD247" si="473">AD242</f>
        <v>7.5469145584909941E-2</v>
      </c>
      <c r="AE247" s="16">
        <f t="shared" si="458"/>
        <v>1.6108740166460786E-2</v>
      </c>
      <c r="AF247" s="16" t="str">
        <f t="shared" si="458"/>
        <v>Low Volatility</v>
      </c>
      <c r="AG247" s="14" t="str">
        <f t="shared" si="408"/>
        <v>Strong Uptrend</v>
      </c>
      <c r="AI247" s="131" t="s">
        <v>620</v>
      </c>
      <c r="AJ247" s="131">
        <v>424990</v>
      </c>
      <c r="AK247" s="131">
        <v>425291</v>
      </c>
      <c r="AL247" s="15">
        <f t="shared" ref="AL247:AL310" si="474">D247</f>
        <v>45997</v>
      </c>
      <c r="AM247" s="60">
        <f t="shared" si="465"/>
        <v>42.5291</v>
      </c>
      <c r="AN247" s="61">
        <f t="shared" si="466"/>
        <v>0</v>
      </c>
      <c r="AO247" s="62">
        <f>((AM247-MAX(AM$16:AM247))/MAX(AM$16:AM247))</f>
        <v>0</v>
      </c>
      <c r="AP247" s="16">
        <f t="shared" si="467"/>
        <v>0</v>
      </c>
      <c r="AQ247" s="153"/>
      <c r="AS247" s="16">
        <f t="shared" si="387"/>
        <v>6.6822428807049674E-4</v>
      </c>
      <c r="AT247" s="77">
        <f t="shared" ref="AT247:AV247" si="475">AT246</f>
        <v>6.6485066431247171E-4</v>
      </c>
      <c r="AU247" s="16">
        <f t="shared" si="475"/>
        <v>8.9805784075631544E-4</v>
      </c>
      <c r="AV247" s="16" t="str">
        <f t="shared" si="475"/>
        <v>Low Volatility</v>
      </c>
      <c r="AW247" s="14" t="str">
        <f t="shared" si="412"/>
        <v>Stable</v>
      </c>
    </row>
    <row r="248" spans="1:49" ht="15.75" hidden="1" thickBot="1">
      <c r="A248" s="131" t="s">
        <v>621</v>
      </c>
      <c r="B248" s="131" t="s">
        <v>906</v>
      </c>
      <c r="C248" s="131" t="s">
        <v>907</v>
      </c>
      <c r="D248" s="15">
        <f t="shared" si="366"/>
        <v>45998</v>
      </c>
      <c r="E248" s="60">
        <f t="shared" si="390"/>
        <v>5746.23</v>
      </c>
      <c r="F248" s="61">
        <f t="shared" si="391"/>
        <v>0</v>
      </c>
      <c r="G248" s="62">
        <f>((E248-MAX(E$16:E248))/MAX(E$16:E248))</f>
        <v>-9.0786392405063365E-2</v>
      </c>
      <c r="H248" s="16">
        <f t="shared" si="371"/>
        <v>0</v>
      </c>
      <c r="I248" s="153"/>
      <c r="K248" s="16">
        <f t="shared" si="399"/>
        <v>-3.0050923475983754E-3</v>
      </c>
      <c r="L248" s="77">
        <f t="shared" ref="L248:N248" si="476">L247</f>
        <v>6.4360196542132672E-3</v>
      </c>
      <c r="M248" s="16">
        <f t="shared" si="476"/>
        <v>2.979613557028428E-3</v>
      </c>
      <c r="N248" s="16" t="str">
        <f t="shared" si="476"/>
        <v>Low Volatility</v>
      </c>
      <c r="O248" s="14" t="str">
        <f t="shared" si="429"/>
        <v>Weak/Unconfirmed</v>
      </c>
      <c r="S248" s="131" t="s">
        <v>621</v>
      </c>
      <c r="T248" s="131" t="s">
        <v>1279</v>
      </c>
      <c r="U248" s="131" t="s">
        <v>1277</v>
      </c>
      <c r="V248" s="15">
        <f t="shared" si="369"/>
        <v>45998</v>
      </c>
      <c r="W248" s="60">
        <f t="shared" si="435"/>
        <v>79.849999999999994</v>
      </c>
      <c r="X248" s="61">
        <f t="shared" si="436"/>
        <v>0</v>
      </c>
      <c r="Y248" s="62">
        <f>((W248-MAX(W$16:W248))/MAX(W$16:W248))</f>
        <v>-1.6254063515880176E-3</v>
      </c>
      <c r="Z248" s="16">
        <f t="shared" si="437"/>
        <v>0</v>
      </c>
      <c r="AA248" s="153"/>
      <c r="AC248" s="16">
        <f t="shared" si="451"/>
        <v>3.5399377593360863E-2</v>
      </c>
      <c r="AD248" s="16">
        <f t="shared" ref="AD248:AE248" si="477">AD242</f>
        <v>7.5469145584909941E-2</v>
      </c>
      <c r="AE248" s="16">
        <f t="shared" si="477"/>
        <v>1.6108740166460786E-2</v>
      </c>
      <c r="AF248" s="16" t="str">
        <f t="shared" ref="AF248" si="478">IF(AE248 &lt; 0.02, "Low Volatility",
 IF(AE248 &gt; 0.1, "High Volatility", "Medium Volatility"))</f>
        <v>Low Volatility</v>
      </c>
      <c r="AG248" s="14" t="str">
        <f t="shared" si="408"/>
        <v>Strong Uptrend</v>
      </c>
      <c r="AI248" s="131" t="s">
        <v>621</v>
      </c>
      <c r="AJ248" s="131">
        <v>424990</v>
      </c>
      <c r="AK248" s="131">
        <v>425291</v>
      </c>
      <c r="AL248" s="15">
        <f t="shared" si="474"/>
        <v>45998</v>
      </c>
      <c r="AM248" s="60">
        <f t="shared" si="465"/>
        <v>42.5291</v>
      </c>
      <c r="AN248" s="61">
        <f t="shared" si="466"/>
        <v>0</v>
      </c>
      <c r="AO248" s="62">
        <f>((AM248-MAX(AM$16:AM248))/MAX(AM$16:AM248))</f>
        <v>0</v>
      </c>
      <c r="AP248" s="16">
        <f t="shared" si="467"/>
        <v>0</v>
      </c>
      <c r="AQ248" s="153"/>
      <c r="AS248" s="16">
        <f t="shared" si="387"/>
        <v>6.6822428807049674E-4</v>
      </c>
      <c r="AT248" s="77">
        <f t="shared" ref="AT248:AV248" si="479">AT247</f>
        <v>6.6485066431247171E-4</v>
      </c>
      <c r="AU248" s="16">
        <f t="shared" si="479"/>
        <v>8.9805784075631544E-4</v>
      </c>
      <c r="AV248" s="16" t="str">
        <f t="shared" si="479"/>
        <v>Low Volatility</v>
      </c>
      <c r="AW248" s="14" t="str">
        <f t="shared" si="412"/>
        <v>Stable</v>
      </c>
    </row>
    <row r="249" spans="1:49" ht="15.75" hidden="1" thickBot="1">
      <c r="A249" s="131" t="s">
        <v>622</v>
      </c>
      <c r="B249" s="131" t="s">
        <v>908</v>
      </c>
      <c r="C249" s="131" t="s">
        <v>909</v>
      </c>
      <c r="D249" s="15">
        <f t="shared" si="366"/>
        <v>45999</v>
      </c>
      <c r="E249" s="60">
        <f t="shared" si="390"/>
        <v>5736.97</v>
      </c>
      <c r="F249" s="61">
        <f t="shared" si="391"/>
        <v>-9.2599999999993088</v>
      </c>
      <c r="G249" s="62">
        <f>((E249-MAX(E$16:E249))/MAX(E$16:E249))</f>
        <v>-9.2251582278480973E-2</v>
      </c>
      <c r="H249" s="16">
        <f t="shared" si="371"/>
        <v>-1.6114913604222784E-3</v>
      </c>
      <c r="I249" s="153">
        <f>AVERAGEIFS(E249:E256, E249:E256, "&gt;=0")</f>
        <v>5846.4187500000007</v>
      </c>
      <c r="K249" s="16">
        <f t="shared" si="399"/>
        <v>-7.6695420242125301E-3</v>
      </c>
      <c r="L249" s="77">
        <f t="shared" ref="L249" si="480">(I249-I242)/I242</f>
        <v>1.6850268391153264E-2</v>
      </c>
      <c r="M249" s="16" cm="1">
        <f t="array" ref="M249">_xlfn.STDEV.S(_xlfn._xlws.FILTER(F249:F255, ISNUMBER(F249:F255))) / I249</f>
        <v>4.5881866564807415E-3</v>
      </c>
      <c r="N249" s="16" t="str" cm="1">
        <f t="array" ref="N249">_xlfn.LET(
  _xlpm.c, M70,
  IFERROR(
    _xlfn.IFS(_xlpm.c&lt;0.02,"Low Volatility",
        _xlpm.c&gt;0.1,"High Volatility",
        TRUE,"Medium Volatility"),
    "Insufficient data"
  )
)</f>
        <v>Low Volatility</v>
      </c>
      <c r="O249" s="14" t="str">
        <f t="shared" si="429"/>
        <v>Weak/Unconfirmed</v>
      </c>
      <c r="S249" s="131" t="s">
        <v>622</v>
      </c>
      <c r="T249" s="131" t="s">
        <v>1280</v>
      </c>
      <c r="U249" s="131" t="s">
        <v>1281</v>
      </c>
      <c r="V249" s="15">
        <f t="shared" si="369"/>
        <v>45999</v>
      </c>
      <c r="W249" s="60">
        <f t="shared" si="435"/>
        <v>79.569999999999993</v>
      </c>
      <c r="X249" s="61">
        <f t="shared" si="436"/>
        <v>-0.28000000000000114</v>
      </c>
      <c r="Y249" s="62">
        <f>((W249-MAX(W$16:W249))/MAX(W$16:W249))</f>
        <v>-5.1262815703927329E-3</v>
      </c>
      <c r="Z249" s="16">
        <f t="shared" si="437"/>
        <v>-3.5065748278021434E-3</v>
      </c>
      <c r="AA249" s="153">
        <f t="shared" ref="AA249" si="481">AVERAGEIFS(W249:W255, W249:W255, "&gt;=0")</f>
        <v>84.200000000000017</v>
      </c>
      <c r="AC249" s="16">
        <f t="shared" si="451"/>
        <v>6.8328482854611164E-3</v>
      </c>
      <c r="AD249" s="66">
        <f t="shared" ref="AD249" si="482">(AA249-AA242)/AA242</f>
        <v>5.9157561817136439E-2</v>
      </c>
      <c r="AE249" s="16" cm="1">
        <f t="array" ref="AE249">_xlfn.STDEV.S(_xlfn._xlws.FILTER(X249:X255, ISNUMBER(X249:X255))) / AA249</f>
        <v>2.3093244676987201E-2</v>
      </c>
      <c r="AF249" s="16" t="str">
        <f t="shared" ref="AF249:AF254" si="483">AF248</f>
        <v>Low Volatility</v>
      </c>
      <c r="AG249" s="14" t="str">
        <f t="shared" si="408"/>
        <v>Weak/Unconfirmed</v>
      </c>
      <c r="AI249" s="131" t="s">
        <v>622</v>
      </c>
      <c r="AJ249" s="131">
        <v>425444</v>
      </c>
      <c r="AK249" s="131">
        <v>425687</v>
      </c>
      <c r="AL249" s="15">
        <f t="shared" si="474"/>
        <v>45999</v>
      </c>
      <c r="AM249" s="60">
        <f t="shared" si="465"/>
        <v>42.5687</v>
      </c>
      <c r="AN249" s="61">
        <f t="shared" si="466"/>
        <v>3.960000000000008E-2</v>
      </c>
      <c r="AO249" s="62">
        <f>((AM249-MAX(AM$16:AM249))/MAX(AM$16:AM249))</f>
        <v>0</v>
      </c>
      <c r="AP249" s="16">
        <f t="shared" si="467"/>
        <v>9.3112715764029992E-4</v>
      </c>
      <c r="AQ249" s="153">
        <f t="shared" ref="AQ249" si="484">AVERAGEIFS(AM249:AM255, AM249:AM255, "&gt;=0")</f>
        <v>42.632942857142858</v>
      </c>
      <c r="AS249" s="16">
        <f t="shared" si="387"/>
        <v>3.2192608897509524E-3</v>
      </c>
      <c r="AT249" s="77">
        <f t="shared" ref="AT249" si="485">(AQ249-AQ242)/AQ242</f>
        <v>3.4410733835630149E-3</v>
      </c>
      <c r="AU249" s="16" cm="1">
        <f t="array" ref="AU249">_xlfn.STDEV.S(_xlfn._xlws.FILTER(AN249:AN255, ISNUMBER(AN249:AN255))) / AQ249</f>
        <v>8.320986297155839E-4</v>
      </c>
      <c r="AV249" s="16" t="str">
        <f t="shared" ref="AV249" si="486">IF(AU249 &lt; 0.02, "Low Volatility",
 IF(AU249 &gt; 0.1, "High Volatility", "Medium Volatility"))</f>
        <v>Low Volatility</v>
      </c>
      <c r="AW249" s="14" t="str">
        <f t="shared" si="412"/>
        <v>Stable</v>
      </c>
    </row>
    <row r="250" spans="1:49" ht="15.75" hidden="1" thickBot="1">
      <c r="A250" s="131" t="s">
        <v>623</v>
      </c>
      <c r="B250" s="131" t="s">
        <v>910</v>
      </c>
      <c r="C250" s="131" t="s">
        <v>911</v>
      </c>
      <c r="D250" s="15">
        <f t="shared" si="366"/>
        <v>46000</v>
      </c>
      <c r="E250" s="60">
        <f t="shared" si="390"/>
        <v>5768.24</v>
      </c>
      <c r="F250" s="61">
        <f t="shared" si="391"/>
        <v>31.269999999999527</v>
      </c>
      <c r="G250" s="62">
        <f>((E250-MAX(E$16:E250))/MAX(E$16:E250))</f>
        <v>-8.7303797468354469E-2</v>
      </c>
      <c r="H250" s="16">
        <f t="shared" si="371"/>
        <v>5.4506124313007604E-3</v>
      </c>
      <c r="I250" s="153"/>
      <c r="K250" s="16">
        <f t="shared" si="399"/>
        <v>3.8932311381914123E-3</v>
      </c>
      <c r="L250" s="77">
        <f t="shared" ref="L250:N250" si="487">L249</f>
        <v>1.6850268391153264E-2</v>
      </c>
      <c r="M250" s="16">
        <f t="shared" si="487"/>
        <v>4.5881866564807415E-3</v>
      </c>
      <c r="N250" s="16" t="str">
        <f t="shared" si="487"/>
        <v>Low Volatility</v>
      </c>
      <c r="O250" s="14" t="str">
        <f t="shared" si="429"/>
        <v>Weak/Unconfirmed</v>
      </c>
      <c r="S250" s="131" t="s">
        <v>623</v>
      </c>
      <c r="T250" s="131" t="s">
        <v>1281</v>
      </c>
      <c r="U250" s="131" t="s">
        <v>1282</v>
      </c>
      <c r="V250" s="15">
        <f t="shared" si="369"/>
        <v>46000</v>
      </c>
      <c r="W250" s="60">
        <f t="shared" si="435"/>
        <v>83.29</v>
      </c>
      <c r="X250" s="61">
        <f t="shared" si="436"/>
        <v>3.7200000000000131</v>
      </c>
      <c r="Y250" s="62">
        <f>((W250-MAX(W$16:W250))/MAX(W$16:W250))</f>
        <v>0</v>
      </c>
      <c r="Z250" s="16">
        <f t="shared" si="437"/>
        <v>4.675128817393507E-2</v>
      </c>
      <c r="AA250" s="153"/>
      <c r="AC250" s="16">
        <f t="shared" si="451"/>
        <v>4.1385346336584174E-2</v>
      </c>
      <c r="AD250" s="16">
        <f t="shared" ref="AD250" si="488">AD249</f>
        <v>5.9157561817136439E-2</v>
      </c>
      <c r="AE250" s="16">
        <f t="shared" ref="AE250:AE254" si="489">AE249</f>
        <v>2.3093244676987201E-2</v>
      </c>
      <c r="AF250" s="16" t="str">
        <f t="shared" si="483"/>
        <v>Low Volatility</v>
      </c>
      <c r="AG250" s="14" t="str">
        <f t="shared" si="408"/>
        <v>Strong Uptrend</v>
      </c>
      <c r="AI250" s="131" t="s">
        <v>623</v>
      </c>
      <c r="AJ250" s="131">
        <v>425690</v>
      </c>
      <c r="AK250" s="131">
        <v>425875</v>
      </c>
      <c r="AL250" s="15">
        <f t="shared" si="474"/>
        <v>46000</v>
      </c>
      <c r="AM250" s="60">
        <f t="shared" si="465"/>
        <v>42.587499999999999</v>
      </c>
      <c r="AN250" s="61">
        <f t="shared" si="466"/>
        <v>1.8799999999998818E-2</v>
      </c>
      <c r="AO250" s="62">
        <f>((AM250-MAX(AM$16:AM250))/MAX(AM$16:AM250))</f>
        <v>0</v>
      </c>
      <c r="AP250" s="16">
        <f t="shared" si="467"/>
        <v>4.4163904465014948E-4</v>
      </c>
      <c r="AQ250" s="153"/>
      <c r="AS250" s="16">
        <f t="shared" si="387"/>
        <v>3.3643776490351247E-3</v>
      </c>
      <c r="AT250" s="77">
        <f t="shared" ref="AT250:AV250" si="490">AT249</f>
        <v>3.4410733835630149E-3</v>
      </c>
      <c r="AU250" s="16">
        <f t="shared" si="490"/>
        <v>8.320986297155839E-4</v>
      </c>
      <c r="AV250" s="16" t="str">
        <f t="shared" si="490"/>
        <v>Low Volatility</v>
      </c>
      <c r="AW250" s="14" t="str">
        <f t="shared" si="412"/>
        <v>Stable</v>
      </c>
    </row>
    <row r="251" spans="1:49" ht="15.75" hidden="1" thickBot="1">
      <c r="A251" s="131" t="s">
        <v>624</v>
      </c>
      <c r="B251" s="131" t="s">
        <v>912</v>
      </c>
      <c r="C251" s="131" t="s">
        <v>913</v>
      </c>
      <c r="D251" s="15">
        <f t="shared" si="366"/>
        <v>46001</v>
      </c>
      <c r="E251" s="60">
        <f t="shared" si="390"/>
        <v>5793.26</v>
      </c>
      <c r="F251" s="61">
        <f t="shared" si="391"/>
        <v>25.020000000000437</v>
      </c>
      <c r="G251" s="62">
        <f>((E251-MAX(E$16:E251))/MAX(E$16:E251))</f>
        <v>-8.3344936708860728E-2</v>
      </c>
      <c r="H251" s="16">
        <f t="shared" si="371"/>
        <v>4.3375449010444149E-3</v>
      </c>
      <c r="I251" s="153"/>
      <c r="K251" s="16">
        <f t="shared" si="399"/>
        <v>9.197869160311227E-3</v>
      </c>
      <c r="L251" s="77">
        <f t="shared" ref="L251:N251" si="491">L250</f>
        <v>1.6850268391153264E-2</v>
      </c>
      <c r="M251" s="16">
        <f t="shared" si="491"/>
        <v>4.5881866564807415E-3</v>
      </c>
      <c r="N251" s="16" t="str">
        <f t="shared" si="491"/>
        <v>Low Volatility</v>
      </c>
      <c r="O251" s="14" t="str">
        <f t="shared" si="429"/>
        <v>Weak/Unconfirmed</v>
      </c>
      <c r="S251" s="131" t="s">
        <v>624</v>
      </c>
      <c r="T251" s="131" t="s">
        <v>1283</v>
      </c>
      <c r="U251" s="131" t="s">
        <v>1284</v>
      </c>
      <c r="V251" s="15">
        <f t="shared" si="369"/>
        <v>46001</v>
      </c>
      <c r="W251" s="60">
        <f t="shared" si="435"/>
        <v>84.63</v>
      </c>
      <c r="X251" s="61">
        <f t="shared" si="436"/>
        <v>1.3399999999999892</v>
      </c>
      <c r="Y251" s="62">
        <f>((W251-MAX(W$16:W251))/MAX(W$16:W251))</f>
        <v>0</v>
      </c>
      <c r="Z251" s="16">
        <f t="shared" si="437"/>
        <v>1.6088365950294021E-2</v>
      </c>
      <c r="AA251" s="153"/>
      <c r="AC251" s="16">
        <f t="shared" si="451"/>
        <v>5.9862241703193507E-2</v>
      </c>
      <c r="AD251" s="16">
        <f t="shared" ref="AD251" si="492">AD249</f>
        <v>5.9157561817136439E-2</v>
      </c>
      <c r="AE251" s="16">
        <f t="shared" si="489"/>
        <v>2.3093244676987201E-2</v>
      </c>
      <c r="AF251" s="16" t="str">
        <f t="shared" si="483"/>
        <v>Low Volatility</v>
      </c>
      <c r="AG251" s="14" t="str">
        <f t="shared" si="408"/>
        <v>Strong Uptrend</v>
      </c>
      <c r="AI251" s="131" t="s">
        <v>624</v>
      </c>
      <c r="AJ251" s="131">
        <v>425861</v>
      </c>
      <c r="AK251" s="131">
        <v>425938</v>
      </c>
      <c r="AL251" s="15">
        <f t="shared" si="474"/>
        <v>46001</v>
      </c>
      <c r="AM251" s="60">
        <f t="shared" si="465"/>
        <v>42.593800000000002</v>
      </c>
      <c r="AN251" s="61">
        <f t="shared" si="466"/>
        <v>6.3000000000030809E-3</v>
      </c>
      <c r="AO251" s="62">
        <f>((AM251-MAX(AM$16:AM251))/MAX(AM$16:AM251))</f>
        <v>0</v>
      </c>
      <c r="AP251" s="16">
        <f t="shared" si="467"/>
        <v>1.4793073084832595E-4</v>
      </c>
      <c r="AQ251" s="153"/>
      <c r="AS251" s="16">
        <f t="shared" si="387"/>
        <v>3.5364494612864076E-3</v>
      </c>
      <c r="AT251" s="77">
        <f t="shared" ref="AT251:AV251" si="493">AT250</f>
        <v>3.4410733835630149E-3</v>
      </c>
      <c r="AU251" s="16">
        <f t="shared" si="493"/>
        <v>8.320986297155839E-4</v>
      </c>
      <c r="AV251" s="16" t="str">
        <f t="shared" si="493"/>
        <v>Low Volatility</v>
      </c>
      <c r="AW251" s="14" t="str">
        <f t="shared" si="412"/>
        <v>Stable</v>
      </c>
    </row>
    <row r="252" spans="1:49" ht="15.75" hidden="1" thickBot="1">
      <c r="A252" s="131" t="s">
        <v>625</v>
      </c>
      <c r="B252" s="131" t="s">
        <v>914</v>
      </c>
      <c r="C252" s="131" t="s">
        <v>915</v>
      </c>
      <c r="D252" s="15">
        <f t="shared" si="366"/>
        <v>46002</v>
      </c>
      <c r="E252" s="60">
        <f t="shared" si="390"/>
        <v>5856.86</v>
      </c>
      <c r="F252" s="61">
        <f t="shared" si="391"/>
        <v>63.599999999999454</v>
      </c>
      <c r="G252" s="62">
        <f>((E252-MAX(E$16:E252))/MAX(E$16:E252))</f>
        <v>-7.3281645569620302E-2</v>
      </c>
      <c r="H252" s="16">
        <f t="shared" si="371"/>
        <v>1.0978274753765489E-2</v>
      </c>
      <c r="I252" s="153"/>
      <c r="K252" s="16">
        <f t="shared" si="399"/>
        <v>1.8053189640187671E-2</v>
      </c>
      <c r="L252" s="77">
        <f t="shared" ref="L252:N252" si="494">L251</f>
        <v>1.6850268391153264E-2</v>
      </c>
      <c r="M252" s="16">
        <f t="shared" si="494"/>
        <v>4.5881866564807415E-3</v>
      </c>
      <c r="N252" s="16" t="str">
        <f t="shared" si="494"/>
        <v>Low Volatility</v>
      </c>
      <c r="O252" s="14" t="str">
        <f t="shared" si="429"/>
        <v>Strong Uptrend</v>
      </c>
      <c r="S252" s="131" t="s">
        <v>625</v>
      </c>
      <c r="T252" s="131" t="s">
        <v>1285</v>
      </c>
      <c r="U252" s="131" t="s">
        <v>1286</v>
      </c>
      <c r="V252" s="15">
        <f t="shared" si="369"/>
        <v>46002</v>
      </c>
      <c r="W252" s="60">
        <f t="shared" si="435"/>
        <v>87.09</v>
      </c>
      <c r="X252" s="61">
        <f t="shared" si="436"/>
        <v>2.460000000000008</v>
      </c>
      <c r="Y252" s="62">
        <f>((W252-MAX(W$16:W252))/MAX(W$16:W252))</f>
        <v>0</v>
      </c>
      <c r="Z252" s="16">
        <f t="shared" si="437"/>
        <v>2.9067706487061421E-2</v>
      </c>
      <c r="AA252" s="153"/>
      <c r="AC252" s="16">
        <f t="shared" si="451"/>
        <v>0.11553733828615359</v>
      </c>
      <c r="AD252" s="16">
        <f t="shared" ref="AD252" si="495">AD249</f>
        <v>5.9157561817136439E-2</v>
      </c>
      <c r="AE252" s="16">
        <f t="shared" si="489"/>
        <v>2.3093244676987201E-2</v>
      </c>
      <c r="AF252" s="16" t="str">
        <f t="shared" si="483"/>
        <v>Low Volatility</v>
      </c>
      <c r="AG252" s="14" t="str">
        <f t="shared" si="408"/>
        <v>Strong Uptrend</v>
      </c>
      <c r="AI252" s="131" t="s">
        <v>625</v>
      </c>
      <c r="AJ252" s="131">
        <v>425939</v>
      </c>
      <c r="AK252" s="131">
        <v>425971</v>
      </c>
      <c r="AL252" s="15">
        <f t="shared" si="474"/>
        <v>46002</v>
      </c>
      <c r="AM252" s="60">
        <f t="shared" si="465"/>
        <v>42.597099999999998</v>
      </c>
      <c r="AN252" s="61">
        <f t="shared" si="466"/>
        <v>3.2999999999958618E-3</v>
      </c>
      <c r="AO252" s="62">
        <f>((AM252-MAX(AM$16:AM252))/MAX(AM$16:AM252))</f>
        <v>0</v>
      </c>
      <c r="AP252" s="16">
        <f t="shared" si="467"/>
        <v>7.747606459146312E-5</v>
      </c>
      <c r="AQ252" s="153"/>
      <c r="AS252" s="16">
        <f t="shared" si="387"/>
        <v>2.2988559838490923E-3</v>
      </c>
      <c r="AT252" s="77">
        <f t="shared" ref="AT252:AV252" si="496">AT251</f>
        <v>3.4410733835630149E-3</v>
      </c>
      <c r="AU252" s="16">
        <f t="shared" si="496"/>
        <v>8.320986297155839E-4</v>
      </c>
      <c r="AV252" s="16" t="str">
        <f t="shared" si="496"/>
        <v>Low Volatility</v>
      </c>
      <c r="AW252" s="14" t="str">
        <f t="shared" si="412"/>
        <v>Stable</v>
      </c>
    </row>
    <row r="253" spans="1:49" ht="15.75" hidden="1" thickBot="1">
      <c r="A253" s="131" t="s">
        <v>626</v>
      </c>
      <c r="B253" s="131" t="s">
        <v>916</v>
      </c>
      <c r="C253" s="131" t="s">
        <v>917</v>
      </c>
      <c r="D253" s="15">
        <f t="shared" si="366"/>
        <v>46003</v>
      </c>
      <c r="E253" s="60">
        <f t="shared" si="390"/>
        <v>5902.25</v>
      </c>
      <c r="F253" s="61">
        <f t="shared" si="391"/>
        <v>45.390000000000327</v>
      </c>
      <c r="G253" s="62">
        <f>((E253-MAX(E$16:E253))/MAX(E$16:E253))</f>
        <v>-6.6099683544303803E-2</v>
      </c>
      <c r="H253" s="16">
        <f t="shared" si="371"/>
        <v>7.7498864579314394E-3</v>
      </c>
      <c r="I253" s="153"/>
      <c r="K253" s="16">
        <f t="shared" si="399"/>
        <v>2.7151715124525203E-2</v>
      </c>
      <c r="L253" s="77">
        <f t="shared" ref="L253:N253" si="497">L252</f>
        <v>1.6850268391153264E-2</v>
      </c>
      <c r="M253" s="16">
        <f t="shared" si="497"/>
        <v>4.5881866564807415E-3</v>
      </c>
      <c r="N253" s="16" t="str">
        <f t="shared" si="497"/>
        <v>Low Volatility</v>
      </c>
      <c r="O253" s="14" t="str">
        <f t="shared" si="429"/>
        <v>Strong Uptrend</v>
      </c>
      <c r="S253" s="131" t="s">
        <v>626</v>
      </c>
      <c r="T253" s="131" t="s">
        <v>1287</v>
      </c>
      <c r="U253" s="131" t="s">
        <v>1288</v>
      </c>
      <c r="V253" s="15">
        <f t="shared" si="369"/>
        <v>46003</v>
      </c>
      <c r="W253" s="60">
        <f t="shared" si="435"/>
        <v>84.94</v>
      </c>
      <c r="X253" s="61">
        <f t="shared" si="436"/>
        <v>-2.1500000000000057</v>
      </c>
      <c r="Y253" s="62">
        <f>((W253-MAX(W$16:W253))/MAX(W$16:W253))</f>
        <v>-2.4687105293374735E-2</v>
      </c>
      <c r="Z253" s="16">
        <f t="shared" si="437"/>
        <v>-2.4687105293374735E-2</v>
      </c>
      <c r="AA253" s="153"/>
      <c r="AC253" s="16">
        <f t="shared" si="451"/>
        <v>6.3744520976831601E-2</v>
      </c>
      <c r="AD253" s="16">
        <f t="shared" ref="AD253" si="498">AD249</f>
        <v>5.9157561817136439E-2</v>
      </c>
      <c r="AE253" s="16">
        <f t="shared" si="489"/>
        <v>2.3093244676987201E-2</v>
      </c>
      <c r="AF253" s="16" t="str">
        <f t="shared" si="483"/>
        <v>Low Volatility</v>
      </c>
      <c r="AG253" s="14" t="str">
        <f t="shared" si="408"/>
        <v>Strong Uptrend</v>
      </c>
      <c r="AI253" s="131" t="s">
        <v>626</v>
      </c>
      <c r="AJ253" s="131">
        <v>425979</v>
      </c>
      <c r="AK253" s="131">
        <v>426945</v>
      </c>
      <c r="AL253" s="15">
        <f t="shared" si="474"/>
        <v>46003</v>
      </c>
      <c r="AM253" s="60">
        <f t="shared" si="465"/>
        <v>42.694499999999998</v>
      </c>
      <c r="AN253" s="61">
        <f t="shared" si="466"/>
        <v>9.7400000000000375E-2</v>
      </c>
      <c r="AO253" s="62">
        <f>((AM253-MAX(AM$16:AM253))/MAX(AM$16:AM253))</f>
        <v>0</v>
      </c>
      <c r="AP253" s="16">
        <f t="shared" si="467"/>
        <v>2.2865406330477987E-3</v>
      </c>
      <c r="AQ253" s="153"/>
      <c r="AS253" s="16">
        <f t="shared" si="387"/>
        <v>3.889101814992516E-3</v>
      </c>
      <c r="AT253" s="77">
        <f t="shared" ref="AT253:AV253" si="499">AT252</f>
        <v>3.4410733835630149E-3</v>
      </c>
      <c r="AU253" s="16">
        <f t="shared" si="499"/>
        <v>8.320986297155839E-4</v>
      </c>
      <c r="AV253" s="16" t="str">
        <f t="shared" si="499"/>
        <v>Low Volatility</v>
      </c>
      <c r="AW253" s="14" t="str">
        <f t="shared" si="412"/>
        <v>Stable</v>
      </c>
    </row>
    <row r="254" spans="1:49" ht="15.75" hidden="1" thickBot="1">
      <c r="A254" s="131" t="s">
        <v>627</v>
      </c>
      <c r="B254" s="131" t="s">
        <v>916</v>
      </c>
      <c r="C254" s="131" t="s">
        <v>917</v>
      </c>
      <c r="D254" s="15">
        <f t="shared" si="366"/>
        <v>46004</v>
      </c>
      <c r="E254" s="60">
        <f t="shared" si="390"/>
        <v>5902.25</v>
      </c>
      <c r="F254" s="61">
        <f t="shared" si="391"/>
        <v>0</v>
      </c>
      <c r="G254" s="62">
        <f>((E254-MAX(E$16:E254))/MAX(E$16:E254))</f>
        <v>-6.6099683544303803E-2</v>
      </c>
      <c r="H254" s="16">
        <f t="shared" si="371"/>
        <v>0</v>
      </c>
      <c r="I254" s="153"/>
      <c r="K254" s="16">
        <f t="shared" si="399"/>
        <v>2.7151715124525203E-2</v>
      </c>
      <c r="L254" s="77">
        <f t="shared" ref="L254:N254" si="500">L253</f>
        <v>1.6850268391153264E-2</v>
      </c>
      <c r="M254" s="16">
        <f t="shared" si="500"/>
        <v>4.5881866564807415E-3</v>
      </c>
      <c r="N254" s="16" t="str">
        <f t="shared" si="500"/>
        <v>Low Volatility</v>
      </c>
      <c r="O254" s="14" t="str">
        <f t="shared" si="429"/>
        <v>Strong Uptrend</v>
      </c>
      <c r="S254" s="131" t="s">
        <v>627</v>
      </c>
      <c r="T254" s="131" t="s">
        <v>1287</v>
      </c>
      <c r="U254" s="131" t="s">
        <v>1288</v>
      </c>
      <c r="V254" s="15">
        <f t="shared" si="369"/>
        <v>46004</v>
      </c>
      <c r="W254" s="60">
        <f t="shared" si="435"/>
        <v>84.94</v>
      </c>
      <c r="X254" s="61">
        <f t="shared" si="436"/>
        <v>0</v>
      </c>
      <c r="Y254" s="62">
        <f>((W254-MAX(W$16:W254))/MAX(W$16:W254))</f>
        <v>-2.4687105293374735E-2</v>
      </c>
      <c r="Z254" s="16">
        <f t="shared" si="437"/>
        <v>0</v>
      </c>
      <c r="AA254" s="153"/>
      <c r="AC254" s="16">
        <f t="shared" si="451"/>
        <v>6.3744520976831601E-2</v>
      </c>
      <c r="AD254" s="16">
        <f t="shared" ref="AD254" si="501">AD249</f>
        <v>5.9157561817136439E-2</v>
      </c>
      <c r="AE254" s="16">
        <f t="shared" si="489"/>
        <v>2.3093244676987201E-2</v>
      </c>
      <c r="AF254" s="16" t="str">
        <f t="shared" si="483"/>
        <v>Low Volatility</v>
      </c>
      <c r="AG254" s="14" t="str">
        <f t="shared" si="408"/>
        <v>Strong Uptrend</v>
      </c>
      <c r="AI254" s="131" t="s">
        <v>627</v>
      </c>
      <c r="AJ254" s="131">
        <v>425979</v>
      </c>
      <c r="AK254" s="131">
        <v>426945</v>
      </c>
      <c r="AL254" s="15">
        <f t="shared" si="474"/>
        <v>46004</v>
      </c>
      <c r="AM254" s="60">
        <f t="shared" si="465"/>
        <v>42.694499999999998</v>
      </c>
      <c r="AN254" s="61">
        <f t="shared" si="466"/>
        <v>0</v>
      </c>
      <c r="AO254" s="62">
        <f>((AM254-MAX(AM$16:AM254))/MAX(AM$16:AM254))</f>
        <v>0</v>
      </c>
      <c r="AP254" s="16">
        <f t="shared" si="467"/>
        <v>0</v>
      </c>
      <c r="AQ254" s="153"/>
      <c r="AS254" s="16">
        <f t="shared" si="387"/>
        <v>3.889101814992516E-3</v>
      </c>
      <c r="AT254" s="77">
        <f t="shared" ref="AT254:AV254" si="502">AT253</f>
        <v>3.4410733835630149E-3</v>
      </c>
      <c r="AU254" s="16">
        <f t="shared" si="502"/>
        <v>8.320986297155839E-4</v>
      </c>
      <c r="AV254" s="16" t="str">
        <f t="shared" si="502"/>
        <v>Low Volatility</v>
      </c>
      <c r="AW254" s="14" t="str">
        <f t="shared" si="412"/>
        <v>Stable</v>
      </c>
    </row>
    <row r="255" spans="1:49" ht="15.75" hidden="1" thickBot="1">
      <c r="A255" s="131" t="s">
        <v>628</v>
      </c>
      <c r="B255" s="131" t="s">
        <v>916</v>
      </c>
      <c r="C255" s="131" t="s">
        <v>917</v>
      </c>
      <c r="D255" s="15">
        <f t="shared" si="366"/>
        <v>46005</v>
      </c>
      <c r="E255" s="60">
        <f t="shared" si="390"/>
        <v>5902.25</v>
      </c>
      <c r="F255" s="61">
        <f t="shared" si="391"/>
        <v>0</v>
      </c>
      <c r="G255" s="62">
        <f>((E255-MAX(E$16:E255))/MAX(E$16:E255))</f>
        <v>-6.6099683544303803E-2</v>
      </c>
      <c r="H255" s="16">
        <f t="shared" si="371"/>
        <v>0</v>
      </c>
      <c r="I255" s="153"/>
      <c r="K255" s="16">
        <f t="shared" si="399"/>
        <v>2.7151715124525203E-2</v>
      </c>
      <c r="L255" s="77">
        <f t="shared" ref="L255:N255" si="503">L254</f>
        <v>1.6850268391153264E-2</v>
      </c>
      <c r="M255" s="16">
        <f t="shared" si="503"/>
        <v>4.5881866564807415E-3</v>
      </c>
      <c r="N255" s="16" t="str">
        <f t="shared" si="503"/>
        <v>Low Volatility</v>
      </c>
      <c r="O255" s="14" t="str">
        <f t="shared" si="429"/>
        <v>Strong Uptrend</v>
      </c>
      <c r="S255" s="131" t="s">
        <v>628</v>
      </c>
      <c r="T255" s="131" t="s">
        <v>1287</v>
      </c>
      <c r="U255" s="131" t="s">
        <v>1288</v>
      </c>
      <c r="V255" s="15">
        <f t="shared" si="369"/>
        <v>46005</v>
      </c>
      <c r="W255" s="60">
        <f t="shared" si="435"/>
        <v>84.94</v>
      </c>
      <c r="X255" s="61">
        <f t="shared" si="436"/>
        <v>0</v>
      </c>
      <c r="Y255" s="62">
        <f>((W255-MAX(W$16:W255))/MAX(W$16:W255))</f>
        <v>-2.4687105293374735E-2</v>
      </c>
      <c r="Z255" s="16">
        <f t="shared" si="437"/>
        <v>0</v>
      </c>
      <c r="AA255" s="153"/>
      <c r="AC255" s="16">
        <f t="shared" si="451"/>
        <v>6.3744520976831601E-2</v>
      </c>
      <c r="AD255" s="16">
        <f t="shared" ref="AD255:AE255" si="504">AD249</f>
        <v>5.9157561817136439E-2</v>
      </c>
      <c r="AE255" s="16">
        <f t="shared" si="504"/>
        <v>2.3093244676987201E-2</v>
      </c>
      <c r="AF255" s="16" t="str">
        <f t="shared" ref="AF255:AF256" si="505">IF(AE255 &lt; 0.02, "Low Volatility",
 IF(AE255 &gt; 0.1, "High Volatility", "Medium Volatility"))</f>
        <v>Medium Volatility</v>
      </c>
      <c r="AG255" s="14" t="str">
        <f t="shared" si="408"/>
        <v>Strong Uptrend</v>
      </c>
      <c r="AI255" s="131" t="s">
        <v>628</v>
      </c>
      <c r="AJ255" s="131">
        <v>425979</v>
      </c>
      <c r="AK255" s="131">
        <v>426945</v>
      </c>
      <c r="AL255" s="15">
        <f t="shared" si="474"/>
        <v>46005</v>
      </c>
      <c r="AM255" s="60">
        <f t="shared" si="465"/>
        <v>42.694499999999998</v>
      </c>
      <c r="AN255" s="61">
        <f t="shared" si="466"/>
        <v>0</v>
      </c>
      <c r="AO255" s="62">
        <f>((AM255-MAX(AM$16:AM255))/MAX(AM$16:AM255))</f>
        <v>0</v>
      </c>
      <c r="AP255" s="16">
        <f t="shared" si="467"/>
        <v>0</v>
      </c>
      <c r="AQ255" s="153"/>
      <c r="AS255" s="16">
        <f t="shared" si="387"/>
        <v>3.889101814992516E-3</v>
      </c>
      <c r="AT255" s="77">
        <f t="shared" ref="AT255:AV255" si="506">AT254</f>
        <v>3.4410733835630149E-3</v>
      </c>
      <c r="AU255" s="16">
        <f t="shared" si="506"/>
        <v>8.320986297155839E-4</v>
      </c>
      <c r="AV255" s="16" t="str">
        <f t="shared" si="506"/>
        <v>Low Volatility</v>
      </c>
      <c r="AW255" s="14" t="str">
        <f t="shared" si="412"/>
        <v>Stable</v>
      </c>
    </row>
    <row r="256" spans="1:49" ht="15.75" hidden="1" thickBot="1">
      <c r="A256" s="131" t="s">
        <v>629</v>
      </c>
      <c r="B256" s="131" t="s">
        <v>918</v>
      </c>
      <c r="C256" s="131" t="s">
        <v>919</v>
      </c>
      <c r="D256" s="15">
        <f t="shared" si="366"/>
        <v>46006</v>
      </c>
      <c r="E256" s="60">
        <f t="shared" si="390"/>
        <v>5909.27</v>
      </c>
      <c r="F256" s="61">
        <f t="shared" si="391"/>
        <v>7.0200000000004366</v>
      </c>
      <c r="G256" s="62">
        <f>((E256-MAX(E$16:E256))/MAX(E$16:E256))</f>
        <v>-6.4988924050632849E-2</v>
      </c>
      <c r="H256" s="16">
        <f t="shared" si="371"/>
        <v>1.1893769325258057E-3</v>
      </c>
      <c r="I256" s="153">
        <f>AVERAGEIFS(E256:E263, E256:E263, "&gt;=0")</f>
        <v>5970.5475000000006</v>
      </c>
      <c r="K256" s="16">
        <f t="shared" si="399"/>
        <v>3.0033275404961184E-2</v>
      </c>
      <c r="L256" s="77">
        <f>(I256-I249)/I249</f>
        <v>2.1231587285806347E-2</v>
      </c>
      <c r="M256" s="16" cm="1">
        <f t="array" ref="M256">_xlfn.STDEV.S(_xlfn._xlws.FILTER(F256:F262, ISNUMBER(F256:F262))) / I256</f>
        <v>3.5145283568044964E-3</v>
      </c>
      <c r="N256" s="16" t="str" cm="1">
        <f t="array" ref="N256">_xlfn.LET(
  _xlpm.c, M77,
  IFERROR(
    _xlfn.IFS(_xlpm.c&lt;0.02,"Low Volatility",
        _xlpm.c&gt;0.1,"High Volatility",
        TRUE,"Medium Volatility"),
    "Insufficient data"
  )
)</f>
        <v>Low Volatility</v>
      </c>
      <c r="O256" s="14" t="str">
        <f t="shared" si="429"/>
        <v>Strong Uptrend</v>
      </c>
      <c r="S256" s="131" t="s">
        <v>629</v>
      </c>
      <c r="T256" s="131" t="s">
        <v>1289</v>
      </c>
      <c r="U256" s="131" t="s">
        <v>1290</v>
      </c>
      <c r="V256" s="15">
        <f t="shared" si="369"/>
        <v>46006</v>
      </c>
      <c r="W256" s="60">
        <f t="shared" si="435"/>
        <v>87.97</v>
      </c>
      <c r="X256" s="61">
        <f t="shared" si="436"/>
        <v>3.0300000000000011</v>
      </c>
      <c r="Y256" s="62">
        <f>((W256-MAX(W$16:W256))/MAX(W$16:W256))</f>
        <v>0</v>
      </c>
      <c r="Z256" s="16">
        <f t="shared" si="437"/>
        <v>3.5672239227690146E-2</v>
      </c>
      <c r="AA256" s="153">
        <f t="shared" ref="AA256" si="507">AVERAGEIFS(W256:W262, W256:W262, "&gt;=0")</f>
        <v>90.592857142857142</v>
      </c>
      <c r="AC256" s="16">
        <f t="shared" si="451"/>
        <v>0.10556742490888534</v>
      </c>
      <c r="AD256" s="66">
        <f t="shared" ref="AD256" si="508">(AA256-AA249)/AA249</f>
        <v>7.5924669155072719E-2</v>
      </c>
      <c r="AE256" s="16" cm="1">
        <f t="array" ref="AE256">_xlfn.STDEV.S(_xlfn._xlws.FILTER(X256:X262, ISNUMBER(X256:X262))) / AA256</f>
        <v>2.2639520653852569E-2</v>
      </c>
      <c r="AF256" s="16" t="str">
        <f t="shared" si="505"/>
        <v>Medium Volatility</v>
      </c>
      <c r="AG256" s="14" t="str">
        <f t="shared" ref="AG256:AG319" si="509">IF(AND(AC256 &gt; 0.01, AD256 &gt; 0.01), "Strong Uptrend",
 IF(AND(AC256 &lt; -0.01, AD256 &lt; -0.01), "Strong Downtrend",
 IF(ABS(AD256) &lt; 0.005, "Stable", "Weak/Unconfirmed")))</f>
        <v>Strong Uptrend</v>
      </c>
      <c r="AI256" s="131" t="s">
        <v>629</v>
      </c>
      <c r="AJ256" s="131">
        <v>426917</v>
      </c>
      <c r="AK256" s="131">
        <v>426941</v>
      </c>
      <c r="AL256" s="15">
        <f t="shared" si="474"/>
        <v>46006</v>
      </c>
      <c r="AM256" s="60">
        <f t="shared" si="465"/>
        <v>42.694099999999999</v>
      </c>
      <c r="AN256" s="61">
        <f t="shared" si="466"/>
        <v>-3.9999999999906777E-4</v>
      </c>
      <c r="AO256" s="62">
        <f>((AM256-MAX(AM$16:AM256))/MAX(AM$16:AM256))</f>
        <v>-9.368888264274503E-6</v>
      </c>
      <c r="AP256" s="16">
        <f t="shared" si="467"/>
        <v>-9.368888264274503E-6</v>
      </c>
      <c r="AQ256" s="153">
        <f t="shared" ref="AQ256" si="510">AVERAGEIFS(AM256:AM262, AM256:AM262, "&gt;=0")</f>
        <v>42.748414285714283</v>
      </c>
      <c r="AS256" s="16">
        <f t="shared" si="387"/>
        <v>2.9458263935708412E-3</v>
      </c>
      <c r="AT256" s="77">
        <f t="shared" ref="AT256" si="511">(AQ256-AQ249)/AQ249</f>
        <v>2.7085024122860532E-3</v>
      </c>
      <c r="AU256" s="16" cm="1">
        <f t="array" ref="AU256">_xlfn.STDEV.S(_xlfn._xlws.FILTER(AN256:AN262, ISNUMBER(AN256:AN262))) / AQ256</f>
        <v>6.3215064817097289E-4</v>
      </c>
      <c r="AV256" s="16" t="str">
        <f t="shared" ref="AV256" si="512">IF(AU256 &lt; 0.02, "Low Volatility",
 IF(AU256 &gt; 0.1, "High Volatility", "Medium Volatility"))</f>
        <v>Low Volatility</v>
      </c>
      <c r="AW256" s="14" t="str">
        <f t="shared" si="412"/>
        <v>Stable</v>
      </c>
    </row>
    <row r="257" spans="1:49" ht="15.75" hidden="1" thickBot="1">
      <c r="A257" s="131" t="s">
        <v>630</v>
      </c>
      <c r="B257" s="131" t="s">
        <v>920</v>
      </c>
      <c r="C257" s="131" t="s">
        <v>921</v>
      </c>
      <c r="D257" s="15">
        <f t="shared" si="366"/>
        <v>46007</v>
      </c>
      <c r="E257" s="60">
        <f t="shared" si="390"/>
        <v>5909.09</v>
      </c>
      <c r="F257" s="61">
        <f t="shared" si="391"/>
        <v>-0.18000000000029104</v>
      </c>
      <c r="G257" s="62">
        <f>((E257-MAX(E$16:E257))/MAX(E$16:E257))</f>
        <v>-6.5017405063291123E-2</v>
      </c>
      <c r="H257" s="16">
        <f t="shared" si="371"/>
        <v>-3.0460615270632585E-5</v>
      </c>
      <c r="I257" s="153"/>
      <c r="K257" s="16">
        <f t="shared" si="399"/>
        <v>2.4418193417749673E-2</v>
      </c>
      <c r="L257" s="77">
        <f t="shared" ref="L257:N257" si="513">L256</f>
        <v>2.1231587285806347E-2</v>
      </c>
      <c r="M257" s="16">
        <f t="shared" si="513"/>
        <v>3.5145283568044964E-3</v>
      </c>
      <c r="N257" s="16" t="str">
        <f t="shared" si="513"/>
        <v>Low Volatility</v>
      </c>
      <c r="O257" s="14" t="str">
        <f t="shared" si="429"/>
        <v>Strong Uptrend</v>
      </c>
      <c r="S257" s="131" t="s">
        <v>630</v>
      </c>
      <c r="T257" s="131" t="s">
        <v>1291</v>
      </c>
      <c r="U257" s="131" t="s">
        <v>1292</v>
      </c>
      <c r="V257" s="15">
        <f t="shared" si="369"/>
        <v>46007</v>
      </c>
      <c r="W257" s="60">
        <f t="shared" si="435"/>
        <v>87.44</v>
      </c>
      <c r="X257" s="61">
        <f t="shared" si="436"/>
        <v>-0.53000000000000114</v>
      </c>
      <c r="Y257" s="62">
        <f>((W257-MAX(W$16:W257))/MAX(W$16:W257))</f>
        <v>-6.0247811754007181E-3</v>
      </c>
      <c r="Z257" s="16">
        <f t="shared" si="437"/>
        <v>-6.0247811754007181E-3</v>
      </c>
      <c r="AA257" s="153"/>
      <c r="AC257" s="16">
        <f t="shared" si="451"/>
        <v>4.9825909472925818E-2</v>
      </c>
      <c r="AD257" s="16">
        <f t="shared" ref="AD257:AF257" si="514">AD256</f>
        <v>7.5924669155072719E-2</v>
      </c>
      <c r="AE257" s="16">
        <f t="shared" si="514"/>
        <v>2.2639520653852569E-2</v>
      </c>
      <c r="AF257" s="16" t="str">
        <f t="shared" si="514"/>
        <v>Medium Volatility</v>
      </c>
      <c r="AG257" s="14" t="str">
        <f t="shared" si="509"/>
        <v>Strong Uptrend</v>
      </c>
      <c r="AI257" s="131" t="s">
        <v>630</v>
      </c>
      <c r="AJ257" s="131">
        <v>426943</v>
      </c>
      <c r="AK257" s="131">
        <v>426948</v>
      </c>
      <c r="AL257" s="15">
        <f t="shared" si="474"/>
        <v>46007</v>
      </c>
      <c r="AM257" s="60">
        <f t="shared" si="465"/>
        <v>42.694800000000001</v>
      </c>
      <c r="AN257" s="61">
        <f t="shared" si="466"/>
        <v>7.0000000000192131E-4</v>
      </c>
      <c r="AO257" s="62">
        <f>((AM257-MAX(AM$16:AM257))/MAX(AM$16:AM257))</f>
        <v>0</v>
      </c>
      <c r="AP257" s="16">
        <f t="shared" si="467"/>
        <v>1.6395708072120534E-5</v>
      </c>
      <c r="AQ257" s="153"/>
      <c r="AS257" s="16">
        <f t="shared" si="387"/>
        <v>2.5195186380980845E-3</v>
      </c>
      <c r="AT257" s="77">
        <f t="shared" ref="AT257:AV257" si="515">AT256</f>
        <v>2.7085024122860532E-3</v>
      </c>
      <c r="AU257" s="16">
        <f t="shared" si="515"/>
        <v>6.3215064817097289E-4</v>
      </c>
      <c r="AV257" s="16" t="str">
        <f t="shared" si="515"/>
        <v>Low Volatility</v>
      </c>
      <c r="AW257" s="14" t="str">
        <f t="shared" si="412"/>
        <v>Stable</v>
      </c>
    </row>
    <row r="258" spans="1:49" ht="15.75" hidden="1" thickBot="1">
      <c r="A258" s="131" t="s">
        <v>631</v>
      </c>
      <c r="B258" s="131" t="s">
        <v>920</v>
      </c>
      <c r="C258" s="131" t="s">
        <v>922</v>
      </c>
      <c r="D258" s="15">
        <f t="shared" si="366"/>
        <v>46008</v>
      </c>
      <c r="E258" s="60">
        <f t="shared" si="390"/>
        <v>5963.43</v>
      </c>
      <c r="F258" s="61">
        <f t="shared" si="391"/>
        <v>54.340000000000146</v>
      </c>
      <c r="G258" s="62">
        <f>((E258-MAX(E$16:E258))/MAX(E$16:E258))</f>
        <v>-5.6419303797468311E-2</v>
      </c>
      <c r="H258" s="16">
        <f t="shared" si="371"/>
        <v>9.1960014147694728E-3</v>
      </c>
      <c r="I258" s="153"/>
      <c r="K258" s="16">
        <f t="shared" si="399"/>
        <v>2.9373789541639779E-2</v>
      </c>
      <c r="L258" s="77">
        <f t="shared" ref="L258:N258" si="516">L257</f>
        <v>2.1231587285806347E-2</v>
      </c>
      <c r="M258" s="16">
        <f t="shared" si="516"/>
        <v>3.5145283568044964E-3</v>
      </c>
      <c r="N258" s="16" t="str">
        <f t="shared" si="516"/>
        <v>Low Volatility</v>
      </c>
      <c r="O258" s="14" t="str">
        <f t="shared" si="429"/>
        <v>Strong Uptrend</v>
      </c>
      <c r="S258" s="131" t="s">
        <v>631</v>
      </c>
      <c r="T258" s="131" t="s">
        <v>1293</v>
      </c>
      <c r="U258" s="131" t="s">
        <v>1294</v>
      </c>
      <c r="V258" s="15">
        <f t="shared" si="369"/>
        <v>46008</v>
      </c>
      <c r="W258" s="60">
        <f t="shared" si="435"/>
        <v>91.32</v>
      </c>
      <c r="X258" s="61">
        <f t="shared" si="436"/>
        <v>3.8799999999999955</v>
      </c>
      <c r="Y258" s="62">
        <f>((W258-MAX(W$16:W258))/MAX(W$16:W258))</f>
        <v>0</v>
      </c>
      <c r="Z258" s="16">
        <f t="shared" si="437"/>
        <v>4.4373284537968842E-2</v>
      </c>
      <c r="AA258" s="153"/>
      <c r="AC258" s="16">
        <f t="shared" si="451"/>
        <v>7.9049982275788702E-2</v>
      </c>
      <c r="AD258" s="16">
        <f t="shared" ref="AD258" si="517">AD256</f>
        <v>7.5924669155072719E-2</v>
      </c>
      <c r="AE258" s="16">
        <f t="shared" ref="AE258:AF258" si="518">AE257</f>
        <v>2.2639520653852569E-2</v>
      </c>
      <c r="AF258" s="16" t="str">
        <f t="shared" si="518"/>
        <v>Medium Volatility</v>
      </c>
      <c r="AG258" s="14" t="str">
        <f t="shared" si="509"/>
        <v>Strong Uptrend</v>
      </c>
      <c r="AI258" s="131" t="s">
        <v>631</v>
      </c>
      <c r="AJ258" s="131">
        <v>426951</v>
      </c>
      <c r="AK258" s="131">
        <v>427184</v>
      </c>
      <c r="AL258" s="15">
        <f t="shared" si="474"/>
        <v>46008</v>
      </c>
      <c r="AM258" s="60">
        <f t="shared" si="465"/>
        <v>42.718400000000003</v>
      </c>
      <c r="AN258" s="61">
        <f t="shared" si="466"/>
        <v>2.3600000000001842E-2</v>
      </c>
      <c r="AO258" s="62">
        <f>((AM258-MAX(AM$16:AM258))/MAX(AM$16:AM258))</f>
        <v>0</v>
      </c>
      <c r="AP258" s="16">
        <f t="shared" si="467"/>
        <v>5.5276052352984069E-4</v>
      </c>
      <c r="AQ258" s="153"/>
      <c r="AS258" s="16">
        <f t="shared" si="387"/>
        <v>2.9253083782146915E-3</v>
      </c>
      <c r="AT258" s="77">
        <f t="shared" ref="AT258:AV258" si="519">AT257</f>
        <v>2.7085024122860532E-3</v>
      </c>
      <c r="AU258" s="16">
        <f t="shared" si="519"/>
        <v>6.3215064817097289E-4</v>
      </c>
      <c r="AV258" s="16" t="str">
        <f t="shared" si="519"/>
        <v>Low Volatility</v>
      </c>
      <c r="AW258" s="14" t="str">
        <f t="shared" si="412"/>
        <v>Stable</v>
      </c>
    </row>
    <row r="259" spans="1:49" ht="15.75" hidden="1" thickBot="1">
      <c r="A259" s="131" t="s">
        <v>632</v>
      </c>
      <c r="B259" s="131" t="s">
        <v>923</v>
      </c>
      <c r="C259" s="131" t="s">
        <v>924</v>
      </c>
      <c r="D259" s="15">
        <f t="shared" si="366"/>
        <v>46009</v>
      </c>
      <c r="E259" s="60">
        <f t="shared" si="390"/>
        <v>5955.57</v>
      </c>
      <c r="F259" s="61">
        <f t="shared" si="391"/>
        <v>-7.8600000000005821</v>
      </c>
      <c r="G259" s="62">
        <f>((E259-MAX(E$16:E259))/MAX(E$16:E259))</f>
        <v>-5.7662974683544352E-2</v>
      </c>
      <c r="H259" s="16">
        <f t="shared" si="371"/>
        <v>-1.3180334136563322E-3</v>
      </c>
      <c r="I259" s="153"/>
      <c r="K259" s="16">
        <f t="shared" si="399"/>
        <v>1.6853740741626065E-2</v>
      </c>
      <c r="L259" s="77">
        <f t="shared" ref="L259:N259" si="520">L258</f>
        <v>2.1231587285806347E-2</v>
      </c>
      <c r="M259" s="16">
        <f t="shared" si="520"/>
        <v>3.5145283568044964E-3</v>
      </c>
      <c r="N259" s="16" t="str">
        <f t="shared" si="520"/>
        <v>Low Volatility</v>
      </c>
      <c r="O259" s="14" t="str">
        <f t="shared" si="429"/>
        <v>Strong Uptrend</v>
      </c>
      <c r="S259" s="131" t="s">
        <v>632</v>
      </c>
      <c r="T259" s="131" t="s">
        <v>1295</v>
      </c>
      <c r="U259" s="131" t="s">
        <v>1296</v>
      </c>
      <c r="V259" s="15">
        <f t="shared" si="369"/>
        <v>46009</v>
      </c>
      <c r="W259" s="60">
        <f t="shared" si="435"/>
        <v>89.89</v>
      </c>
      <c r="X259" s="61">
        <f t="shared" si="436"/>
        <v>-1.4299999999999926</v>
      </c>
      <c r="Y259" s="62">
        <f>((W259-MAX(W$16:W259))/MAX(W$16:W259))</f>
        <v>-1.5659220324134832E-2</v>
      </c>
      <c r="Z259" s="16">
        <f t="shared" si="437"/>
        <v>-1.5659220324134832E-2</v>
      </c>
      <c r="AA259" s="153"/>
      <c r="AC259" s="16">
        <f t="shared" si="451"/>
        <v>3.2150648754162327E-2</v>
      </c>
      <c r="AD259" s="16">
        <f t="shared" ref="AD259" si="521">AD256</f>
        <v>7.5924669155072719E-2</v>
      </c>
      <c r="AE259" s="16">
        <f t="shared" ref="AE259:AF259" si="522">AE258</f>
        <v>2.2639520653852569E-2</v>
      </c>
      <c r="AF259" s="16" t="str">
        <f t="shared" si="522"/>
        <v>Medium Volatility</v>
      </c>
      <c r="AG259" s="14" t="str">
        <f t="shared" si="509"/>
        <v>Strong Uptrend</v>
      </c>
      <c r="AI259" s="131" t="s">
        <v>632</v>
      </c>
      <c r="AJ259" s="131">
        <v>427185</v>
      </c>
      <c r="AK259" s="131">
        <v>427280</v>
      </c>
      <c r="AL259" s="15">
        <f t="shared" si="474"/>
        <v>46009</v>
      </c>
      <c r="AM259" s="60">
        <f t="shared" si="465"/>
        <v>42.728000000000002</v>
      </c>
      <c r="AN259" s="61">
        <f t="shared" si="466"/>
        <v>9.5999999999989427E-3</v>
      </c>
      <c r="AO259" s="62">
        <f>((AM259-MAX(AM$16:AM259))/MAX(AM$16:AM259))</f>
        <v>0</v>
      </c>
      <c r="AP259" s="16">
        <f t="shared" si="467"/>
        <v>2.2472751788454019E-4</v>
      </c>
      <c r="AQ259" s="153"/>
      <c r="AS259" s="16">
        <f t="shared" si="387"/>
        <v>3.0729791464678118E-3</v>
      </c>
      <c r="AT259" s="77">
        <f t="shared" ref="AT259:AV259" si="523">AT258</f>
        <v>2.7085024122860532E-3</v>
      </c>
      <c r="AU259" s="16">
        <f t="shared" si="523"/>
        <v>6.3215064817097289E-4</v>
      </c>
      <c r="AV259" s="16" t="str">
        <f t="shared" si="523"/>
        <v>Low Volatility</v>
      </c>
      <c r="AW259" s="14" t="str">
        <f t="shared" si="412"/>
        <v>Stable</v>
      </c>
    </row>
    <row r="260" spans="1:49" ht="15.75" hidden="1" thickBot="1">
      <c r="A260" s="131" t="s">
        <v>633</v>
      </c>
      <c r="B260" s="131" t="s">
        <v>925</v>
      </c>
      <c r="C260" s="131" t="s">
        <v>926</v>
      </c>
      <c r="D260" s="15">
        <f t="shared" si="366"/>
        <v>46010</v>
      </c>
      <c r="E260" s="60">
        <f t="shared" si="390"/>
        <v>5972.23</v>
      </c>
      <c r="F260" s="61">
        <f t="shared" si="391"/>
        <v>16.659999999999854</v>
      </c>
      <c r="G260" s="62">
        <f>((E260-MAX(E$16:E260))/MAX(E$16:E260))</f>
        <v>-5.5026898734177286E-2</v>
      </c>
      <c r="H260" s="16">
        <f t="shared" si="371"/>
        <v>2.7973812750080773E-3</v>
      </c>
      <c r="I260" s="153"/>
      <c r="K260" s="16">
        <f t="shared" si="399"/>
        <v>1.1856495404294898E-2</v>
      </c>
      <c r="L260" s="77">
        <f t="shared" ref="L260:N260" si="524">L259</f>
        <v>2.1231587285806347E-2</v>
      </c>
      <c r="M260" s="16">
        <f t="shared" si="524"/>
        <v>3.5145283568044964E-3</v>
      </c>
      <c r="N260" s="16" t="str">
        <f t="shared" si="524"/>
        <v>Low Volatility</v>
      </c>
      <c r="O260" s="14" t="str">
        <f t="shared" si="429"/>
        <v>Strong Uptrend</v>
      </c>
      <c r="S260" s="131" t="s">
        <v>633</v>
      </c>
      <c r="T260" s="131" t="s">
        <v>1296</v>
      </c>
      <c r="U260" s="131" t="s">
        <v>1297</v>
      </c>
      <c r="V260" s="15">
        <f t="shared" si="369"/>
        <v>46010</v>
      </c>
      <c r="W260" s="60">
        <f t="shared" si="435"/>
        <v>92.51</v>
      </c>
      <c r="X260" s="61">
        <f t="shared" si="436"/>
        <v>2.6200000000000045</v>
      </c>
      <c r="Y260" s="62">
        <f>((W260-MAX(W$16:W260))/MAX(W$16:W260))</f>
        <v>0</v>
      </c>
      <c r="Z260" s="16">
        <f t="shared" si="437"/>
        <v>2.9146734898208973E-2</v>
      </c>
      <c r="AA260" s="153"/>
      <c r="AC260" s="16">
        <f t="shared" si="451"/>
        <v>8.9121732987991614E-2</v>
      </c>
      <c r="AD260" s="16">
        <f t="shared" ref="AD260" si="525">AD256</f>
        <v>7.5924669155072719E-2</v>
      </c>
      <c r="AE260" s="16">
        <f t="shared" ref="AE260:AF260" si="526">AE259</f>
        <v>2.2639520653852569E-2</v>
      </c>
      <c r="AF260" s="16" t="str">
        <f t="shared" si="526"/>
        <v>Medium Volatility</v>
      </c>
      <c r="AG260" s="14" t="str">
        <f t="shared" si="509"/>
        <v>Strong Uptrend</v>
      </c>
      <c r="AI260" s="131" t="s">
        <v>633</v>
      </c>
      <c r="AJ260" s="131">
        <v>427276</v>
      </c>
      <c r="AK260" s="131">
        <v>428012</v>
      </c>
      <c r="AL260" s="15">
        <f t="shared" si="474"/>
        <v>46010</v>
      </c>
      <c r="AM260" s="60">
        <f t="shared" si="465"/>
        <v>42.801200000000001</v>
      </c>
      <c r="AN260" s="61">
        <f t="shared" si="466"/>
        <v>7.3199999999999932E-2</v>
      </c>
      <c r="AO260" s="62">
        <f>((AM260-MAX(AM$16:AM260))/MAX(AM$16:AM260))</f>
        <v>0</v>
      </c>
      <c r="AP260" s="16">
        <f t="shared" si="467"/>
        <v>1.7131623291518426E-3</v>
      </c>
      <c r="AQ260" s="153"/>
      <c r="AS260" s="16">
        <f t="shared" si="387"/>
        <v>2.4991509445011317E-3</v>
      </c>
      <c r="AT260" s="77">
        <f t="shared" ref="AT260:AV260" si="527">AT259</f>
        <v>2.7085024122860532E-3</v>
      </c>
      <c r="AU260" s="16">
        <f t="shared" si="527"/>
        <v>6.3215064817097289E-4</v>
      </c>
      <c r="AV260" s="16" t="str">
        <f t="shared" si="527"/>
        <v>Low Volatility</v>
      </c>
      <c r="AW260" s="14" t="str">
        <f t="shared" si="412"/>
        <v>Stable</v>
      </c>
    </row>
    <row r="261" spans="1:49" ht="15.75" hidden="1" thickBot="1">
      <c r="A261" s="131" t="s">
        <v>634</v>
      </c>
      <c r="B261" s="131" t="s">
        <v>925</v>
      </c>
      <c r="C261" s="131" t="s">
        <v>926</v>
      </c>
      <c r="D261" s="15">
        <f t="shared" si="366"/>
        <v>46011</v>
      </c>
      <c r="E261" s="60">
        <f t="shared" si="390"/>
        <v>5972.23</v>
      </c>
      <c r="F261" s="61">
        <f t="shared" si="391"/>
        <v>0</v>
      </c>
      <c r="G261" s="62">
        <f>((E261-MAX(E$16:E261))/MAX(E$16:E261))</f>
        <v>-5.5026898734177286E-2</v>
      </c>
      <c r="H261" s="16">
        <f t="shared" si="371"/>
        <v>0</v>
      </c>
      <c r="I261" s="153"/>
      <c r="K261" s="16">
        <f t="shared" si="399"/>
        <v>1.1856495404294898E-2</v>
      </c>
      <c r="L261" s="77">
        <f t="shared" ref="L261:N261" si="528">L260</f>
        <v>2.1231587285806347E-2</v>
      </c>
      <c r="M261" s="16">
        <f t="shared" si="528"/>
        <v>3.5145283568044964E-3</v>
      </c>
      <c r="N261" s="16" t="str">
        <f t="shared" si="528"/>
        <v>Low Volatility</v>
      </c>
      <c r="O261" s="14" t="str">
        <f t="shared" si="429"/>
        <v>Strong Uptrend</v>
      </c>
      <c r="S261" s="131" t="s">
        <v>634</v>
      </c>
      <c r="T261" s="131" t="s">
        <v>1296</v>
      </c>
      <c r="U261" s="131" t="s">
        <v>1297</v>
      </c>
      <c r="V261" s="15">
        <f t="shared" si="369"/>
        <v>46011</v>
      </c>
      <c r="W261" s="60">
        <f t="shared" si="435"/>
        <v>92.51</v>
      </c>
      <c r="X261" s="61">
        <f t="shared" si="436"/>
        <v>0</v>
      </c>
      <c r="Y261" s="62">
        <f>((W261-MAX(W$16:W261))/MAX(W$16:W261))</f>
        <v>0</v>
      </c>
      <c r="Z261" s="16">
        <f t="shared" si="437"/>
        <v>0</v>
      </c>
      <c r="AA261" s="153"/>
      <c r="AC261" s="16">
        <f t="shared" si="451"/>
        <v>8.9121732987991614E-2</v>
      </c>
      <c r="AD261" s="16">
        <f t="shared" ref="AD261" si="529">AD256</f>
        <v>7.5924669155072719E-2</v>
      </c>
      <c r="AE261" s="16">
        <f t="shared" ref="AE261:AF261" si="530">AE260</f>
        <v>2.2639520653852569E-2</v>
      </c>
      <c r="AF261" s="16" t="str">
        <f t="shared" si="530"/>
        <v>Medium Volatility</v>
      </c>
      <c r="AG261" s="14" t="str">
        <f t="shared" si="509"/>
        <v>Strong Uptrend</v>
      </c>
      <c r="AI261" s="131" t="s">
        <v>634</v>
      </c>
      <c r="AJ261" s="131">
        <v>427276</v>
      </c>
      <c r="AK261" s="131">
        <v>428012</v>
      </c>
      <c r="AL261" s="15">
        <f t="shared" si="474"/>
        <v>46011</v>
      </c>
      <c r="AM261" s="60">
        <f t="shared" si="465"/>
        <v>42.801200000000001</v>
      </c>
      <c r="AN261" s="61">
        <f t="shared" si="466"/>
        <v>0</v>
      </c>
      <c r="AO261" s="62">
        <f>((AM261-MAX(AM$16:AM261))/MAX(AM$16:AM261))</f>
        <v>0</v>
      </c>
      <c r="AP261" s="16">
        <f t="shared" si="467"/>
        <v>0</v>
      </c>
      <c r="AQ261" s="153"/>
      <c r="AS261" s="16">
        <f t="shared" si="387"/>
        <v>2.4991509445011317E-3</v>
      </c>
      <c r="AT261" s="77">
        <f t="shared" ref="AT261:AV261" si="531">AT260</f>
        <v>2.7085024122860532E-3</v>
      </c>
      <c r="AU261" s="16">
        <f t="shared" si="531"/>
        <v>6.3215064817097289E-4</v>
      </c>
      <c r="AV261" s="16" t="str">
        <f t="shared" si="531"/>
        <v>Low Volatility</v>
      </c>
      <c r="AW261" s="14" t="str">
        <f t="shared" si="412"/>
        <v>Stable</v>
      </c>
    </row>
    <row r="262" spans="1:49" ht="15.75" hidden="1" thickBot="1">
      <c r="A262" s="131" t="s">
        <v>635</v>
      </c>
      <c r="B262" s="131" t="s">
        <v>925</v>
      </c>
      <c r="C262" s="131" t="s">
        <v>926</v>
      </c>
      <c r="D262" s="15">
        <f t="shared" si="366"/>
        <v>46012</v>
      </c>
      <c r="E262" s="60">
        <f t="shared" si="390"/>
        <v>5972.23</v>
      </c>
      <c r="F262" s="61">
        <f t="shared" si="391"/>
        <v>0</v>
      </c>
      <c r="G262" s="62">
        <f>((E262-MAX(E$16:E262))/MAX(E$16:E262))</f>
        <v>-5.5026898734177286E-2</v>
      </c>
      <c r="H262" s="16">
        <f t="shared" si="371"/>
        <v>0</v>
      </c>
      <c r="I262" s="153"/>
      <c r="K262" s="16">
        <f t="shared" si="399"/>
        <v>1.1856495404294898E-2</v>
      </c>
      <c r="L262" s="77">
        <f t="shared" ref="L262:N262" si="532">L261</f>
        <v>2.1231587285806347E-2</v>
      </c>
      <c r="M262" s="16">
        <f t="shared" si="532"/>
        <v>3.5145283568044964E-3</v>
      </c>
      <c r="N262" s="16" t="str">
        <f t="shared" si="532"/>
        <v>Low Volatility</v>
      </c>
      <c r="O262" s="14" t="str">
        <f t="shared" si="429"/>
        <v>Strong Uptrend</v>
      </c>
      <c r="S262" s="131" t="s">
        <v>635</v>
      </c>
      <c r="T262" s="131" t="s">
        <v>1296</v>
      </c>
      <c r="U262" s="131" t="s">
        <v>1297</v>
      </c>
      <c r="V262" s="15">
        <f t="shared" si="369"/>
        <v>46012</v>
      </c>
      <c r="W262" s="60">
        <f t="shared" si="435"/>
        <v>92.51</v>
      </c>
      <c r="X262" s="61">
        <f t="shared" si="436"/>
        <v>0</v>
      </c>
      <c r="Y262" s="62">
        <f>((W262-MAX(W$16:W262))/MAX(W$16:W262))</f>
        <v>0</v>
      </c>
      <c r="Z262" s="16">
        <f t="shared" si="437"/>
        <v>0</v>
      </c>
      <c r="AA262" s="153"/>
      <c r="AC262" s="16">
        <f t="shared" si="451"/>
        <v>8.9121732987991614E-2</v>
      </c>
      <c r="AD262" s="16">
        <f t="shared" ref="AD262:AE262" si="533">AD256</f>
        <v>7.5924669155072719E-2</v>
      </c>
      <c r="AE262" s="16">
        <f t="shared" si="533"/>
        <v>2.2639520653852569E-2</v>
      </c>
      <c r="AF262" s="16" t="str">
        <f t="shared" ref="AF262" si="534">IF(AE262 &lt; 0.02, "Low Volatility",
 IF(AE262 &gt; 0.1, "High Volatility", "Medium Volatility"))</f>
        <v>Medium Volatility</v>
      </c>
      <c r="AG262" s="14" t="str">
        <f t="shared" si="509"/>
        <v>Strong Uptrend</v>
      </c>
      <c r="AI262" s="131" t="s">
        <v>635</v>
      </c>
      <c r="AJ262" s="131">
        <v>427276</v>
      </c>
      <c r="AK262" s="131">
        <v>428012</v>
      </c>
      <c r="AL262" s="15">
        <f t="shared" si="474"/>
        <v>46012</v>
      </c>
      <c r="AM262" s="60">
        <f t="shared" si="465"/>
        <v>42.801200000000001</v>
      </c>
      <c r="AN262" s="61">
        <f t="shared" si="466"/>
        <v>0</v>
      </c>
      <c r="AO262" s="62">
        <f>((AM262-MAX(AM$16:AM262))/MAX(AM$16:AM262))</f>
        <v>0</v>
      </c>
      <c r="AP262" s="16">
        <f t="shared" si="467"/>
        <v>0</v>
      </c>
      <c r="AQ262" s="153"/>
      <c r="AS262" s="16">
        <f t="shared" si="387"/>
        <v>2.4991509445011317E-3</v>
      </c>
      <c r="AT262" s="77">
        <f t="shared" ref="AT262:AV262" si="535">AT261</f>
        <v>2.7085024122860532E-3</v>
      </c>
      <c r="AU262" s="16">
        <f t="shared" si="535"/>
        <v>6.3215064817097289E-4</v>
      </c>
      <c r="AV262" s="16" t="str">
        <f t="shared" si="535"/>
        <v>Low Volatility</v>
      </c>
      <c r="AW262" s="14" t="str">
        <f t="shared" si="412"/>
        <v>Stable</v>
      </c>
    </row>
    <row r="263" spans="1:49" ht="15.75" hidden="1" thickBot="1">
      <c r="A263" s="131" t="s">
        <v>636</v>
      </c>
      <c r="B263" s="131" t="s">
        <v>927</v>
      </c>
      <c r="C263" s="131" t="s">
        <v>928</v>
      </c>
      <c r="D263" s="15">
        <f t="shared" si="366"/>
        <v>46013</v>
      </c>
      <c r="E263" s="60">
        <f t="shared" si="390"/>
        <v>6110.33</v>
      </c>
      <c r="F263" s="61">
        <f t="shared" si="391"/>
        <v>138.10000000000036</v>
      </c>
      <c r="G263" s="62">
        <f>((E263-MAX(E$16:E263))/MAX(E$16:E263))</f>
        <v>-3.3175632911392416E-2</v>
      </c>
      <c r="H263" s="16">
        <f t="shared" si="371"/>
        <v>2.3123690815658536E-2</v>
      </c>
      <c r="I263" s="153">
        <f>AVERAGEIFS(E263:E270, E263:E270, "&gt;=0")</f>
        <v>6172.3450000000012</v>
      </c>
      <c r="K263" s="16">
        <f t="shared" si="399"/>
        <v>3.4024507257241501E-2</v>
      </c>
      <c r="L263" s="77">
        <f t="shared" ref="L263" si="536">(I263-I256)/I256</f>
        <v>3.3798826657019401E-2</v>
      </c>
      <c r="M263" s="16" cm="1">
        <f t="array" ref="M263">_xlfn.STDEV.S(_xlfn._xlws.FILTER(F263:F269, ISNUMBER(F263:F269))) / I263</f>
        <v>9.7328251615518661E-3</v>
      </c>
      <c r="N263" s="16" t="str" cm="1">
        <f t="array" ref="N263">_xlfn.LET(
  _xlpm.c, M84,
  IFERROR(
    _xlfn.IFS(_xlpm.c&lt;0.02,"Low Volatility",
        _xlpm.c&gt;0.1,"High Volatility",
        TRUE,"Medium Volatility"),
    "Insufficient data"
  )
)</f>
        <v>Low Volatility</v>
      </c>
      <c r="O263" s="14" t="str">
        <f t="shared" si="429"/>
        <v>Strong Uptrend</v>
      </c>
      <c r="S263" s="131" t="s">
        <v>636</v>
      </c>
      <c r="T263" s="131" t="s">
        <v>1298</v>
      </c>
      <c r="U263" s="131" t="s">
        <v>1299</v>
      </c>
      <c r="V263" s="15">
        <f t="shared" si="369"/>
        <v>46013</v>
      </c>
      <c r="W263" s="60">
        <f t="shared" si="435"/>
        <v>94.85</v>
      </c>
      <c r="X263" s="61">
        <f t="shared" si="436"/>
        <v>2.3399999999999892</v>
      </c>
      <c r="Y263" s="62">
        <f>((W263-MAX(W$16:W263))/MAX(W$16:W263))</f>
        <v>0</v>
      </c>
      <c r="Z263" s="16">
        <f t="shared" si="437"/>
        <v>2.5294562749972858E-2</v>
      </c>
      <c r="AA263" s="153">
        <f t="shared" ref="AA263" si="537">AVERAGEIFS(W263:W269, W263:W269, "&gt;=0")</f>
        <v>102.2957142857143</v>
      </c>
      <c r="AC263" s="16">
        <f t="shared" si="451"/>
        <v>7.8208480163692112E-2</v>
      </c>
      <c r="AD263" s="66">
        <f t="shared" ref="AD263" si="538">(AA263-AA256)/AA256</f>
        <v>0.12918079318773174</v>
      </c>
      <c r="AE263" s="16" cm="1">
        <f t="array" ref="AE263">_xlfn.STDEV.S(_xlfn._xlws.FILTER(X263:X269, ISNUMBER(X263:X269))) / AA263</f>
        <v>3.2758351144632269E-2</v>
      </c>
      <c r="AF263" s="16" t="str">
        <f t="shared" ref="AF263:AF268" si="539">AF262</f>
        <v>Medium Volatility</v>
      </c>
      <c r="AG263" s="14" t="str">
        <f t="shared" si="509"/>
        <v>Strong Uptrend</v>
      </c>
      <c r="AI263" s="131" t="s">
        <v>636</v>
      </c>
      <c r="AJ263" s="131">
        <v>427319</v>
      </c>
      <c r="AK263" s="131">
        <v>428122</v>
      </c>
      <c r="AL263" s="15">
        <f t="shared" si="474"/>
        <v>46013</v>
      </c>
      <c r="AM263" s="60">
        <f t="shared" si="465"/>
        <v>42.812199999999997</v>
      </c>
      <c r="AN263" s="61">
        <f t="shared" si="466"/>
        <v>1.099999999999568E-2</v>
      </c>
      <c r="AO263" s="62">
        <f>((AM263-MAX(AM$16:AM263))/MAX(AM$16:AM263))</f>
        <v>0</v>
      </c>
      <c r="AP263" s="16">
        <f t="shared" si="467"/>
        <v>2.570021401268114E-4</v>
      </c>
      <c r="AQ263" s="153">
        <f t="shared" ref="AQ263" si="540">AVERAGEIFS(AM263:AM269, AM263:AM269, "&gt;=0")</f>
        <v>42.861457142857141</v>
      </c>
      <c r="AS263" s="16">
        <f t="shared" si="387"/>
        <v>2.7661901761601329E-3</v>
      </c>
      <c r="AT263" s="77">
        <f t="shared" ref="AT263" si="541">(AQ263-AQ256)/AQ256</f>
        <v>2.6443754471761755E-3</v>
      </c>
      <c r="AU263" s="16" cm="1">
        <f t="array" ref="AU263">_xlfn.STDEV.S(_xlfn._xlws.FILTER(AN263:AN269, ISNUMBER(AN263:AN269))) / AQ263</f>
        <v>4.5943086890515685E-4</v>
      </c>
      <c r="AV263" s="16" t="str">
        <f t="shared" ref="AV263" si="542">IF(AU263 &lt; 0.02, "Low Volatility",
 IF(AU263 &gt; 0.1, "High Volatility", "Medium Volatility"))</f>
        <v>Low Volatility</v>
      </c>
      <c r="AW263" s="14" t="str">
        <f t="shared" si="412"/>
        <v>Stable</v>
      </c>
    </row>
    <row r="264" spans="1:49" ht="15.75" hidden="1" thickBot="1">
      <c r="A264" s="131" t="s">
        <v>637</v>
      </c>
      <c r="B264" s="131" t="s">
        <v>43</v>
      </c>
      <c r="C264" s="131" t="s">
        <v>929</v>
      </c>
      <c r="D264" s="15">
        <v>46014</v>
      </c>
      <c r="E264" s="60">
        <f t="shared" si="390"/>
        <v>6192.84</v>
      </c>
      <c r="F264" s="61">
        <f t="shared" si="391"/>
        <v>82.510000000000218</v>
      </c>
      <c r="G264" s="62">
        <f>((E264-MAX(E$16:E264))/MAX(E$16:E264))</f>
        <v>-2.0120253164556939E-2</v>
      </c>
      <c r="H264" s="16">
        <f t="shared" si="371"/>
        <v>1.3503362338858984E-2</v>
      </c>
      <c r="I264" s="153"/>
      <c r="K264" s="16">
        <f t="shared" si="399"/>
        <v>4.8019238156805866E-2</v>
      </c>
      <c r="L264" s="77">
        <f t="shared" ref="L264:N264" si="543">L263</f>
        <v>3.3798826657019401E-2</v>
      </c>
      <c r="M264" s="16">
        <f t="shared" si="543"/>
        <v>9.7328251615518661E-3</v>
      </c>
      <c r="N264" s="16" t="str">
        <f t="shared" si="543"/>
        <v>Low Volatility</v>
      </c>
      <c r="O264" s="14" t="str">
        <f t="shared" si="429"/>
        <v>Strong Uptrend</v>
      </c>
      <c r="S264" s="131" t="s">
        <v>637</v>
      </c>
      <c r="T264" s="131" t="s">
        <v>1300</v>
      </c>
      <c r="U264" s="131" t="s">
        <v>1301</v>
      </c>
      <c r="V264" s="15">
        <f t="shared" si="369"/>
        <v>46014</v>
      </c>
      <c r="W264" s="60">
        <f t="shared" si="435"/>
        <v>98.51</v>
      </c>
      <c r="X264" s="61">
        <f t="shared" si="436"/>
        <v>3.6600000000000108</v>
      </c>
      <c r="Y264" s="62">
        <f>((W264-MAX(W$16:W264))/MAX(W$16:W264))</f>
        <v>0</v>
      </c>
      <c r="Z264" s="16">
        <f t="shared" si="437"/>
        <v>3.858724301528741E-2</v>
      </c>
      <c r="AA264" s="153"/>
      <c r="AC264" s="16">
        <f t="shared" si="451"/>
        <v>0.12660109789570001</v>
      </c>
      <c r="AD264" s="16">
        <f t="shared" ref="AD264" si="544">AD263</f>
        <v>0.12918079318773174</v>
      </c>
      <c r="AE264" s="16">
        <f t="shared" ref="AE264:AE268" si="545">AE263</f>
        <v>3.2758351144632269E-2</v>
      </c>
      <c r="AF264" s="16" t="str">
        <f t="shared" si="539"/>
        <v>Medium Volatility</v>
      </c>
      <c r="AG264" s="14" t="str">
        <f t="shared" si="509"/>
        <v>Strong Uptrend</v>
      </c>
      <c r="AI264" s="131" t="s">
        <v>637</v>
      </c>
      <c r="AJ264" s="131">
        <v>428128</v>
      </c>
      <c r="AK264" s="131">
        <v>428227</v>
      </c>
      <c r="AL264" s="15">
        <f t="shared" si="474"/>
        <v>46014</v>
      </c>
      <c r="AM264" s="60">
        <f t="shared" si="465"/>
        <v>42.822699999999998</v>
      </c>
      <c r="AN264" s="61">
        <f t="shared" si="466"/>
        <v>1.0500000000000398E-2</v>
      </c>
      <c r="AO264" s="62">
        <f>((AM264-MAX(AM$16:AM264))/MAX(AM$16:AM264))</f>
        <v>0</v>
      </c>
      <c r="AP264" s="16">
        <f t="shared" si="467"/>
        <v>2.4525719304311386E-4</v>
      </c>
      <c r="AQ264" s="153"/>
      <c r="AS264" s="16">
        <f t="shared" si="387"/>
        <v>2.9956809728584463E-3</v>
      </c>
      <c r="AT264" s="77">
        <f t="shared" ref="AT264:AV264" si="546">AT263</f>
        <v>2.6443754471761755E-3</v>
      </c>
      <c r="AU264" s="16">
        <f t="shared" si="546"/>
        <v>4.5943086890515685E-4</v>
      </c>
      <c r="AV264" s="16" t="str">
        <f t="shared" si="546"/>
        <v>Low Volatility</v>
      </c>
      <c r="AW264" s="14" t="str">
        <f t="shared" si="412"/>
        <v>Stable</v>
      </c>
    </row>
    <row r="265" spans="1:49" ht="15.75" hidden="1" thickBot="1">
      <c r="A265" s="131" t="s">
        <v>638</v>
      </c>
      <c r="B265" s="131" t="s">
        <v>930</v>
      </c>
      <c r="C265" s="131" t="s">
        <v>931</v>
      </c>
      <c r="D265" s="15">
        <v>46015</v>
      </c>
      <c r="E265" s="60">
        <f t="shared" si="390"/>
        <v>6170.59</v>
      </c>
      <c r="F265" s="61">
        <f t="shared" si="391"/>
        <v>-22.25</v>
      </c>
      <c r="G265" s="62">
        <f>((E265-MAX(E$16:E265))/MAX(E$16:E265))</f>
        <v>-2.3640822784810105E-2</v>
      </c>
      <c r="H265" s="16">
        <f t="shared" si="371"/>
        <v>-3.5928588498976236E-3</v>
      </c>
      <c r="I265" s="153"/>
      <c r="K265" s="16">
        <f t="shared" si="399"/>
        <v>3.4738397197585924E-2</v>
      </c>
      <c r="L265" s="77">
        <f t="shared" ref="L265:N265" si="547">L264</f>
        <v>3.3798826657019401E-2</v>
      </c>
      <c r="M265" s="16">
        <f t="shared" si="547"/>
        <v>9.7328251615518661E-3</v>
      </c>
      <c r="N265" s="16" t="str">
        <f t="shared" si="547"/>
        <v>Low Volatility</v>
      </c>
      <c r="O265" s="14" t="str">
        <f t="shared" si="429"/>
        <v>Strong Uptrend</v>
      </c>
      <c r="S265" s="131" t="s">
        <v>638</v>
      </c>
      <c r="T265" s="131" t="s">
        <v>1302</v>
      </c>
      <c r="U265" s="131" t="s">
        <v>1303</v>
      </c>
      <c r="V265" s="15">
        <f t="shared" si="369"/>
        <v>46015</v>
      </c>
      <c r="W265" s="60">
        <f t="shared" si="435"/>
        <v>98.97</v>
      </c>
      <c r="X265" s="61">
        <f t="shared" si="436"/>
        <v>0.45999999999999375</v>
      </c>
      <c r="Y265" s="62">
        <f>((W265-MAX(W$16:W265))/MAX(W$16:W265))</f>
        <v>0</v>
      </c>
      <c r="Z265" s="16">
        <f t="shared" si="437"/>
        <v>4.6695766927214877E-3</v>
      </c>
      <c r="AA265" s="153"/>
      <c r="AC265" s="16">
        <f t="shared" si="451"/>
        <v>8.3771353482260252E-2</v>
      </c>
      <c r="AD265" s="16">
        <f t="shared" ref="AD265" si="548">AD263</f>
        <v>0.12918079318773174</v>
      </c>
      <c r="AE265" s="16">
        <f t="shared" si="545"/>
        <v>3.2758351144632269E-2</v>
      </c>
      <c r="AF265" s="16" t="str">
        <f t="shared" si="539"/>
        <v>Medium Volatility</v>
      </c>
      <c r="AG265" s="14" t="str">
        <f t="shared" si="509"/>
        <v>Strong Uptrend</v>
      </c>
      <c r="AI265" s="131" t="s">
        <v>638</v>
      </c>
      <c r="AJ265" s="131">
        <v>428218</v>
      </c>
      <c r="AK265" s="131">
        <v>428411</v>
      </c>
      <c r="AL265" s="15">
        <f t="shared" si="474"/>
        <v>46015</v>
      </c>
      <c r="AM265" s="60">
        <f t="shared" si="465"/>
        <v>42.841099999999997</v>
      </c>
      <c r="AN265" s="61">
        <f t="shared" si="466"/>
        <v>1.839999999999975E-2</v>
      </c>
      <c r="AO265" s="62">
        <f>((AM265-MAX(AM$16:AM265))/MAX(AM$16:AM265))</f>
        <v>0</v>
      </c>
      <c r="AP265" s="16">
        <f t="shared" si="467"/>
        <v>4.2967865174311175E-4</v>
      </c>
      <c r="AQ265" s="153"/>
      <c r="AS265" s="16">
        <f t="shared" si="387"/>
        <v>2.8722985879619718E-3</v>
      </c>
      <c r="AT265" s="77">
        <f t="shared" ref="AT265:AV265" si="549">AT264</f>
        <v>2.6443754471761755E-3</v>
      </c>
      <c r="AU265" s="16">
        <f t="shared" si="549"/>
        <v>4.5943086890515685E-4</v>
      </c>
      <c r="AV265" s="16" t="str">
        <f t="shared" si="549"/>
        <v>Low Volatility</v>
      </c>
      <c r="AW265" s="14" t="str">
        <f t="shared" si="412"/>
        <v>Stable</v>
      </c>
    </row>
    <row r="266" spans="1:49" ht="15.75" hidden="1" thickBot="1">
      <c r="A266" s="131" t="s">
        <v>639</v>
      </c>
      <c r="B266" s="131" t="s">
        <v>932</v>
      </c>
      <c r="C266" s="131" t="s">
        <v>933</v>
      </c>
      <c r="D266" s="15">
        <v>46016</v>
      </c>
      <c r="E266" s="60">
        <f t="shared" si="390"/>
        <v>6170.88</v>
      </c>
      <c r="F266" s="61">
        <f t="shared" si="391"/>
        <v>0.28999999999996362</v>
      </c>
      <c r="G266" s="62">
        <f>((E266-MAX(E$16:E266))/MAX(E$16:E266))</f>
        <v>-2.3594936708860741E-2</v>
      </c>
      <c r="H266" s="16">
        <f t="shared" si="371"/>
        <v>4.6997126692903534E-5</v>
      </c>
      <c r="I266" s="153"/>
      <c r="K266" s="16">
        <f t="shared" si="399"/>
        <v>3.6152710823649188E-2</v>
      </c>
      <c r="L266" s="77">
        <f t="shared" ref="L266:N266" si="550">L265</f>
        <v>3.3798826657019401E-2</v>
      </c>
      <c r="M266" s="16">
        <f t="shared" si="550"/>
        <v>9.7328251615518661E-3</v>
      </c>
      <c r="N266" s="16" t="str">
        <f t="shared" si="550"/>
        <v>Low Volatility</v>
      </c>
      <c r="O266" s="14" t="str">
        <f t="shared" si="429"/>
        <v>Strong Uptrend</v>
      </c>
      <c r="S266" s="131" t="s">
        <v>639</v>
      </c>
      <c r="T266" s="131" t="s">
        <v>1304</v>
      </c>
      <c r="U266" s="131" t="s">
        <v>1305</v>
      </c>
      <c r="V266" s="15">
        <f t="shared" si="369"/>
        <v>46016</v>
      </c>
      <c r="W266" s="60">
        <f t="shared" si="435"/>
        <v>99.08</v>
      </c>
      <c r="X266" s="61">
        <f t="shared" si="436"/>
        <v>0.10999999999999943</v>
      </c>
      <c r="Y266" s="62">
        <f>((W266-MAX(W$16:W266))/MAX(W$16:W266))</f>
        <v>0</v>
      </c>
      <c r="Z266" s="16">
        <f t="shared" si="437"/>
        <v>1.1114479135091386E-3</v>
      </c>
      <c r="AA266" s="153"/>
      <c r="AC266" s="16">
        <f t="shared" si="451"/>
        <v>0.10223606630325952</v>
      </c>
      <c r="AD266" s="16">
        <f t="shared" ref="AD266" si="551">AD263</f>
        <v>0.12918079318773174</v>
      </c>
      <c r="AE266" s="16">
        <f t="shared" si="545"/>
        <v>3.2758351144632269E-2</v>
      </c>
      <c r="AF266" s="16" t="str">
        <f t="shared" si="539"/>
        <v>Medium Volatility</v>
      </c>
      <c r="AG266" s="14" t="str">
        <f t="shared" si="509"/>
        <v>Strong Uptrend</v>
      </c>
      <c r="AI266" s="131" t="s">
        <v>639</v>
      </c>
      <c r="AJ266" s="131">
        <v>428450</v>
      </c>
      <c r="AK266" s="131">
        <v>428461</v>
      </c>
      <c r="AL266" s="15">
        <f t="shared" si="474"/>
        <v>46016</v>
      </c>
      <c r="AM266" s="60">
        <f t="shared" si="465"/>
        <v>42.8461</v>
      </c>
      <c r="AN266" s="61">
        <f t="shared" si="466"/>
        <v>5.000000000002558E-3</v>
      </c>
      <c r="AO266" s="62">
        <f>((AM266-MAX(AM$16:AM266))/MAX(AM$16:AM266))</f>
        <v>0</v>
      </c>
      <c r="AP266" s="16">
        <f t="shared" si="467"/>
        <v>1.16710355243039E-4</v>
      </c>
      <c r="AQ266" s="153"/>
      <c r="AS266" s="16">
        <f t="shared" si="387"/>
        <v>2.7639955064594252E-3</v>
      </c>
      <c r="AT266" s="77">
        <f t="shared" ref="AT266:AV266" si="552">AT265</f>
        <v>2.6443754471761755E-3</v>
      </c>
      <c r="AU266" s="16">
        <f t="shared" si="552"/>
        <v>4.5943086890515685E-4</v>
      </c>
      <c r="AV266" s="16" t="str">
        <f t="shared" si="552"/>
        <v>Low Volatility</v>
      </c>
      <c r="AW266" s="14" t="str">
        <f t="shared" si="412"/>
        <v>Stable</v>
      </c>
    </row>
    <row r="267" spans="1:49" ht="15.75" hidden="1" thickBot="1">
      <c r="A267" s="131" t="s">
        <v>640</v>
      </c>
      <c r="B267" s="131" t="s">
        <v>933</v>
      </c>
      <c r="C267" s="131" t="s">
        <v>934</v>
      </c>
      <c r="D267" s="15">
        <v>46017</v>
      </c>
      <c r="E267" s="60">
        <f t="shared" si="390"/>
        <v>6250.52</v>
      </c>
      <c r="F267" s="61">
        <f t="shared" si="391"/>
        <v>79.640000000000327</v>
      </c>
      <c r="G267" s="62">
        <f>((E267-MAX(E$16:E267))/MAX(E$16:E267))</f>
        <v>-1.099367088607588E-2</v>
      </c>
      <c r="H267" s="16">
        <f t="shared" si="371"/>
        <v>1.2905776809790553E-2</v>
      </c>
      <c r="I267" s="153"/>
      <c r="K267" s="16">
        <f t="shared" si="399"/>
        <v>4.6597334663936403E-2</v>
      </c>
      <c r="L267" s="77">
        <f t="shared" ref="L267:N267" si="553">L266</f>
        <v>3.3798826657019401E-2</v>
      </c>
      <c r="M267" s="16">
        <f t="shared" si="553"/>
        <v>9.7328251615518661E-3</v>
      </c>
      <c r="N267" s="16" t="str">
        <f t="shared" si="553"/>
        <v>Low Volatility</v>
      </c>
      <c r="O267" s="14" t="str">
        <f t="shared" si="429"/>
        <v>Strong Uptrend</v>
      </c>
      <c r="S267" s="131" t="s">
        <v>640</v>
      </c>
      <c r="T267" s="131" t="s">
        <v>1305</v>
      </c>
      <c r="U267" s="131" t="s">
        <v>1306</v>
      </c>
      <c r="V267" s="15">
        <f t="shared" si="369"/>
        <v>46017</v>
      </c>
      <c r="W267" s="60">
        <f t="shared" si="435"/>
        <v>108.22</v>
      </c>
      <c r="X267" s="61">
        <f t="shared" si="436"/>
        <v>9.14</v>
      </c>
      <c r="Y267" s="62">
        <f>((W267-MAX(W$16:W267))/MAX(W$16:W267))</f>
        <v>0</v>
      </c>
      <c r="Z267" s="16">
        <f t="shared" si="437"/>
        <v>9.2248687928946319E-2</v>
      </c>
      <c r="AA267" s="153"/>
      <c r="AC267" s="16">
        <f t="shared" si="451"/>
        <v>0.16981947897524585</v>
      </c>
      <c r="AD267" s="16">
        <f t="shared" ref="AD267" si="554">AD263</f>
        <v>0.12918079318773174</v>
      </c>
      <c r="AE267" s="16">
        <f t="shared" si="545"/>
        <v>3.2758351144632269E-2</v>
      </c>
      <c r="AF267" s="16" t="str">
        <f t="shared" si="539"/>
        <v>Medium Volatility</v>
      </c>
      <c r="AG267" s="14" t="str">
        <f t="shared" si="509"/>
        <v>Strong Uptrend</v>
      </c>
      <c r="AI267" s="131" t="s">
        <v>640</v>
      </c>
      <c r="AJ267" s="131">
        <v>428461</v>
      </c>
      <c r="AK267" s="131">
        <v>429027</v>
      </c>
      <c r="AL267" s="15">
        <f t="shared" si="474"/>
        <v>46017</v>
      </c>
      <c r="AM267" s="60">
        <f t="shared" si="465"/>
        <v>42.902700000000003</v>
      </c>
      <c r="AN267" s="61">
        <f t="shared" si="466"/>
        <v>5.6600000000003092E-2</v>
      </c>
      <c r="AO267" s="62">
        <f>((AM267-MAX(AM$16:AM267))/MAX(AM$16:AM267))</f>
        <v>0</v>
      </c>
      <c r="AP267" s="16">
        <f t="shared" si="467"/>
        <v>1.3210070461489633E-3</v>
      </c>
      <c r="AQ267" s="153"/>
      <c r="AS267" s="16">
        <f t="shared" si="387"/>
        <v>2.3714288384438162E-3</v>
      </c>
      <c r="AT267" s="77">
        <f t="shared" ref="AT267:AV267" si="555">AT266</f>
        <v>2.6443754471761755E-3</v>
      </c>
      <c r="AU267" s="16">
        <f t="shared" si="555"/>
        <v>4.5943086890515685E-4</v>
      </c>
      <c r="AV267" s="16" t="str">
        <f t="shared" si="555"/>
        <v>Low Volatility</v>
      </c>
      <c r="AW267" s="14" t="str">
        <f t="shared" si="412"/>
        <v>Stable</v>
      </c>
    </row>
    <row r="268" spans="1:49" ht="15.75" hidden="1" thickBot="1">
      <c r="A268" s="131" t="s">
        <v>641</v>
      </c>
      <c r="B268" s="131" t="s">
        <v>933</v>
      </c>
      <c r="C268" s="131" t="s">
        <v>934</v>
      </c>
      <c r="D268" s="15">
        <v>46018</v>
      </c>
      <c r="E268" s="60">
        <f t="shared" si="390"/>
        <v>6250.52</v>
      </c>
      <c r="F268" s="61">
        <f t="shared" si="391"/>
        <v>0</v>
      </c>
      <c r="G268" s="62">
        <f>((E268-MAX(E$16:E268))/MAX(E$16:E268))</f>
        <v>-1.099367088607588E-2</v>
      </c>
      <c r="H268" s="16">
        <f t="shared" si="371"/>
        <v>0</v>
      </c>
      <c r="I268" s="153"/>
      <c r="K268" s="16">
        <f t="shared" si="399"/>
        <v>4.6597334663936403E-2</v>
      </c>
      <c r="L268" s="77">
        <f t="shared" ref="L268:N268" si="556">L267</f>
        <v>3.3798826657019401E-2</v>
      </c>
      <c r="M268" s="16">
        <f t="shared" si="556"/>
        <v>9.7328251615518661E-3</v>
      </c>
      <c r="N268" s="16" t="str">
        <f t="shared" si="556"/>
        <v>Low Volatility</v>
      </c>
      <c r="O268" s="14" t="str">
        <f t="shared" si="429"/>
        <v>Strong Uptrend</v>
      </c>
      <c r="S268" s="131" t="s">
        <v>641</v>
      </c>
      <c r="T268" s="131" t="s">
        <v>1305</v>
      </c>
      <c r="U268" s="131" t="s">
        <v>1306</v>
      </c>
      <c r="V268" s="15">
        <f t="shared" si="369"/>
        <v>46018</v>
      </c>
      <c r="W268" s="60">
        <f t="shared" si="435"/>
        <v>108.22</v>
      </c>
      <c r="X268" s="61">
        <f t="shared" si="436"/>
        <v>0</v>
      </c>
      <c r="Y268" s="62">
        <f>((W268-MAX(W$16:W268))/MAX(W$16:W268))</f>
        <v>0</v>
      </c>
      <c r="Z268" s="16">
        <f t="shared" si="437"/>
        <v>0</v>
      </c>
      <c r="AA268" s="153"/>
      <c r="AC268" s="16">
        <f t="shared" si="451"/>
        <v>0.16981947897524585</v>
      </c>
      <c r="AD268" s="16">
        <f t="shared" ref="AD268" si="557">AD263</f>
        <v>0.12918079318773174</v>
      </c>
      <c r="AE268" s="16">
        <f t="shared" si="545"/>
        <v>3.2758351144632269E-2</v>
      </c>
      <c r="AF268" s="16" t="str">
        <f t="shared" si="539"/>
        <v>Medium Volatility</v>
      </c>
      <c r="AG268" s="14" t="str">
        <f t="shared" si="509"/>
        <v>Strong Uptrend</v>
      </c>
      <c r="AI268" s="131" t="s">
        <v>641</v>
      </c>
      <c r="AJ268" s="131">
        <v>428461</v>
      </c>
      <c r="AK268" s="131">
        <v>429027</v>
      </c>
      <c r="AL268" s="15">
        <f t="shared" si="474"/>
        <v>46018</v>
      </c>
      <c r="AM268" s="60">
        <f t="shared" si="465"/>
        <v>42.902700000000003</v>
      </c>
      <c r="AN268" s="61">
        <f t="shared" si="466"/>
        <v>0</v>
      </c>
      <c r="AO268" s="62">
        <f>((AM268-MAX(AM$16:AM268))/MAX(AM$16:AM268))</f>
        <v>0</v>
      </c>
      <c r="AP268" s="16">
        <f t="shared" si="467"/>
        <v>0</v>
      </c>
      <c r="AQ268" s="153"/>
      <c r="AS268" s="16">
        <f t="shared" si="387"/>
        <v>2.3714288384438162E-3</v>
      </c>
      <c r="AT268" s="77">
        <f t="shared" ref="AT268:AV268" si="558">AT267</f>
        <v>2.6443754471761755E-3</v>
      </c>
      <c r="AU268" s="16">
        <f t="shared" si="558"/>
        <v>4.5943086890515685E-4</v>
      </c>
      <c r="AV268" s="16" t="str">
        <f t="shared" si="558"/>
        <v>Low Volatility</v>
      </c>
      <c r="AW268" s="14" t="str">
        <f t="shared" si="412"/>
        <v>Stable</v>
      </c>
    </row>
    <row r="269" spans="1:49" ht="15.75" hidden="1" thickBot="1">
      <c r="A269" s="131" t="s">
        <v>642</v>
      </c>
      <c r="B269" s="131" t="s">
        <v>933</v>
      </c>
      <c r="C269" s="131" t="s">
        <v>934</v>
      </c>
      <c r="D269" s="15">
        <v>46019</v>
      </c>
      <c r="E269" s="60">
        <f t="shared" si="390"/>
        <v>6250.52</v>
      </c>
      <c r="F269" s="61">
        <f t="shared" si="391"/>
        <v>0</v>
      </c>
      <c r="G269" s="62">
        <f>((E269-MAX(E$16:E269))/MAX(E$16:E269))</f>
        <v>-1.099367088607588E-2</v>
      </c>
      <c r="H269" s="16">
        <f t="shared" si="371"/>
        <v>0</v>
      </c>
      <c r="I269" s="153"/>
      <c r="K269" s="16">
        <f t="shared" si="399"/>
        <v>4.6597334663936403E-2</v>
      </c>
      <c r="L269" s="77">
        <f t="shared" ref="L269:N269" si="559">L268</f>
        <v>3.3798826657019401E-2</v>
      </c>
      <c r="M269" s="16">
        <f t="shared" si="559"/>
        <v>9.7328251615518661E-3</v>
      </c>
      <c r="N269" s="16" t="str">
        <f t="shared" si="559"/>
        <v>Low Volatility</v>
      </c>
      <c r="O269" s="14" t="str">
        <f t="shared" si="429"/>
        <v>Strong Uptrend</v>
      </c>
      <c r="S269" s="131" t="s">
        <v>642</v>
      </c>
      <c r="T269" s="131" t="s">
        <v>1305</v>
      </c>
      <c r="U269" s="131" t="s">
        <v>1306</v>
      </c>
      <c r="V269" s="15">
        <f t="shared" si="369"/>
        <v>46019</v>
      </c>
      <c r="W269" s="60">
        <f t="shared" si="435"/>
        <v>108.22</v>
      </c>
      <c r="X269" s="61">
        <f t="shared" si="436"/>
        <v>0</v>
      </c>
      <c r="Y269" s="62">
        <f>((W269-MAX(W$16:W269))/MAX(W$16:W269))</f>
        <v>0</v>
      </c>
      <c r="Z269" s="16">
        <f t="shared" si="437"/>
        <v>0</v>
      </c>
      <c r="AA269" s="153"/>
      <c r="AC269" s="16">
        <f t="shared" si="451"/>
        <v>0.16981947897524585</v>
      </c>
      <c r="AD269" s="16">
        <f t="shared" ref="AD269:AE269" si="560">AD263</f>
        <v>0.12918079318773174</v>
      </c>
      <c r="AE269" s="16">
        <f t="shared" si="560"/>
        <v>3.2758351144632269E-2</v>
      </c>
      <c r="AF269" s="16" t="str">
        <f t="shared" ref="AF269:AF270" si="561">IF(AE269 &lt; 0.02, "Low Volatility",
 IF(AE269 &gt; 0.1, "High Volatility", "Medium Volatility"))</f>
        <v>Medium Volatility</v>
      </c>
      <c r="AG269" s="14" t="str">
        <f t="shared" si="509"/>
        <v>Strong Uptrend</v>
      </c>
      <c r="AI269" s="131" t="s">
        <v>642</v>
      </c>
      <c r="AJ269" s="131">
        <v>428461</v>
      </c>
      <c r="AK269" s="131">
        <v>429027</v>
      </c>
      <c r="AL269" s="15">
        <f t="shared" si="474"/>
        <v>46019</v>
      </c>
      <c r="AM269" s="60">
        <f t="shared" si="465"/>
        <v>42.902700000000003</v>
      </c>
      <c r="AN269" s="61">
        <f t="shared" si="466"/>
        <v>0</v>
      </c>
      <c r="AO269" s="62">
        <f>((AM269-MAX(AM$16:AM269))/MAX(AM$16:AM269))</f>
        <v>0</v>
      </c>
      <c r="AP269" s="16">
        <f t="shared" si="467"/>
        <v>0</v>
      </c>
      <c r="AQ269" s="153"/>
      <c r="AS269" s="16">
        <f t="shared" si="387"/>
        <v>2.3714288384438162E-3</v>
      </c>
      <c r="AT269" s="77">
        <f t="shared" ref="AT269:AV269" si="562">AT268</f>
        <v>2.6443754471761755E-3</v>
      </c>
      <c r="AU269" s="16">
        <f t="shared" si="562"/>
        <v>4.5943086890515685E-4</v>
      </c>
      <c r="AV269" s="16" t="str">
        <f t="shared" si="562"/>
        <v>Low Volatility</v>
      </c>
      <c r="AW269" s="14" t="str">
        <f t="shared" si="412"/>
        <v>Stable</v>
      </c>
    </row>
    <row r="270" spans="1:49" ht="15.75" hidden="1" thickBot="1">
      <c r="A270" s="131" t="s">
        <v>643</v>
      </c>
      <c r="B270" s="131" t="s">
        <v>935</v>
      </c>
      <c r="C270" s="131" t="s">
        <v>936</v>
      </c>
      <c r="D270" s="15">
        <v>46020</v>
      </c>
      <c r="E270" s="60">
        <f t="shared" si="390"/>
        <v>5982.56</v>
      </c>
      <c r="F270" s="61">
        <f t="shared" si="391"/>
        <v>-267.96000000000004</v>
      </c>
      <c r="G270" s="62">
        <f>((E270-MAX(E$16:E270))/MAX(E$16:E270))</f>
        <v>-5.3392405063291078E-2</v>
      </c>
      <c r="H270" s="16">
        <f t="shared" si="371"/>
        <v>-4.2870033213236659E-2</v>
      </c>
      <c r="I270" s="153">
        <f>AVERAGEIFS(E270:E277, E270:E277, "&gt;=0")</f>
        <v>6002.1862499999997</v>
      </c>
      <c r="K270" s="16">
        <f t="shared" si="399"/>
        <v>-2.0910490922748777E-2</v>
      </c>
      <c r="L270" s="77">
        <f t="shared" ref="L270" si="563">(I270-I263)/I263</f>
        <v>-2.7567925966549407E-2</v>
      </c>
      <c r="M270" s="16" cm="1">
        <f t="array" ref="M270">_xlfn.STDEV.S(_xlfn._xlws.FILTER(F270:F276, ISNUMBER(F270:F276))) / I270</f>
        <v>1.7298786094762115E-2</v>
      </c>
      <c r="N270" s="16" t="str" cm="1">
        <f t="array" ref="N270">_xlfn.LET(
  _xlpm.c, M91,
  IFERROR(
    _xlfn.IFS(_xlpm.c&lt;0.02,"Low Volatility",
        _xlpm.c&gt;0.1,"High Volatility",
        TRUE,"Medium Volatility"),
    "Insufficient data"
  )
)</f>
        <v>Low Volatility</v>
      </c>
      <c r="O270" s="14" t="str">
        <f t="shared" si="429"/>
        <v>Strong Downtrend</v>
      </c>
      <c r="S270" s="131" t="s">
        <v>643</v>
      </c>
      <c r="T270" s="131" t="s">
        <v>1307</v>
      </c>
      <c r="U270" s="131" t="s">
        <v>1308</v>
      </c>
      <c r="V270" s="15">
        <f t="shared" si="369"/>
        <v>46020</v>
      </c>
      <c r="W270" s="60">
        <f t="shared" si="435"/>
        <v>100.53</v>
      </c>
      <c r="X270" s="61">
        <f t="shared" si="436"/>
        <v>-7.6899999999999977</v>
      </c>
      <c r="Y270" s="62">
        <f>((W270-MAX(W$16:W270))/MAX(W$16:W270))</f>
        <v>-7.1058953982627959E-2</v>
      </c>
      <c r="Z270" s="16">
        <f t="shared" si="437"/>
        <v>-7.1058953982627959E-2</v>
      </c>
      <c r="AA270" s="153">
        <f t="shared" ref="AA270" si="564">AVERAGEIFS(W270:W276, W270:W276, "&gt;=0")</f>
        <v>100.53999999999999</v>
      </c>
      <c r="AC270" s="16">
        <f t="shared" si="451"/>
        <v>5.9884027411702762E-2</v>
      </c>
      <c r="AD270" s="66">
        <f t="shared" ref="AD270" si="565">(AA270-AA263)/AA263</f>
        <v>-1.7163126509978262E-2</v>
      </c>
      <c r="AE270" s="16" cm="1">
        <f t="array" ref="AE270">_xlfn.STDEV.S(_xlfn._xlws.FILTER(X270:X276, ISNUMBER(X270:X276))) / AA270</f>
        <v>4.4722463106714495E-2</v>
      </c>
      <c r="AF270" s="16" t="str">
        <f t="shared" si="561"/>
        <v>Medium Volatility</v>
      </c>
      <c r="AG270" s="14" t="str">
        <f t="shared" si="509"/>
        <v>Weak/Unconfirmed</v>
      </c>
      <c r="AI270" s="131" t="s">
        <v>643</v>
      </c>
      <c r="AJ270" s="131">
        <v>428947</v>
      </c>
      <c r="AK270" s="131">
        <v>429289</v>
      </c>
      <c r="AL270" s="15">
        <f t="shared" si="474"/>
        <v>46020</v>
      </c>
      <c r="AM270" s="60">
        <f t="shared" si="465"/>
        <v>42.928899999999999</v>
      </c>
      <c r="AN270" s="61">
        <f t="shared" si="466"/>
        <v>2.6199999999995782E-2</v>
      </c>
      <c r="AO270" s="62">
        <f>((AM270-MAX(AM$16:AM270))/MAX(AM$16:AM270))</f>
        <v>0</v>
      </c>
      <c r="AP270" s="16">
        <f t="shared" si="467"/>
        <v>6.1068417605408939E-4</v>
      </c>
      <c r="AQ270" s="153">
        <f t="shared" ref="AQ270" si="566">AVERAGEIFS(AM270:AM276, AM270:AM276, "&gt;=0")</f>
        <v>42.973685714285715</v>
      </c>
      <c r="AS270" s="16">
        <f t="shared" si="387"/>
        <v>2.7258585169648276E-3</v>
      </c>
      <c r="AT270" s="77">
        <f t="shared" ref="AT270" si="567">(AQ270-AQ263)/AQ263</f>
        <v>2.6184030807565924E-3</v>
      </c>
      <c r="AU270" s="16" cm="1">
        <f t="array" ref="AU270">_xlfn.STDEV.S(_xlfn._xlws.FILTER(AN270:AN276, ISNUMBER(AN270:AN276))) / AQ270</f>
        <v>6.1449751397706456E-4</v>
      </c>
      <c r="AV270" s="16" t="str">
        <f t="shared" ref="AV270" si="568">IF(AU270 &lt; 0.02, "Low Volatility",
 IF(AU270 &gt; 0.1, "High Volatility", "Medium Volatility"))</f>
        <v>Low Volatility</v>
      </c>
      <c r="AW270" s="14" t="str">
        <f t="shared" si="412"/>
        <v>Stable</v>
      </c>
    </row>
    <row r="271" spans="1:49" ht="15.75" hidden="1" thickBot="1">
      <c r="A271" s="131" t="s">
        <v>644</v>
      </c>
      <c r="B271" s="131" t="s">
        <v>937</v>
      </c>
      <c r="C271" s="131" t="s">
        <v>938</v>
      </c>
      <c r="D271" s="15">
        <v>46021</v>
      </c>
      <c r="E271" s="60">
        <f t="shared" si="390"/>
        <v>5992.28</v>
      </c>
      <c r="F271" s="61">
        <f t="shared" si="391"/>
        <v>9.7199999999993452</v>
      </c>
      <c r="G271" s="62">
        <f>((E271-MAX(E$16:E271))/MAX(E$16:E271))</f>
        <v>-5.1854430379746873E-2</v>
      </c>
      <c r="H271" s="16">
        <f t="shared" si="371"/>
        <v>1.6247225268111551E-3</v>
      </c>
      <c r="I271" s="153"/>
      <c r="K271" s="16">
        <f t="shared" si="399"/>
        <v>-3.2385787457773881E-2</v>
      </c>
      <c r="L271" s="77">
        <f t="shared" ref="L271:N271" si="569">L270</f>
        <v>-2.7567925966549407E-2</v>
      </c>
      <c r="M271" s="16">
        <f t="shared" si="569"/>
        <v>1.7298786094762115E-2</v>
      </c>
      <c r="N271" s="16" t="str">
        <f t="shared" si="569"/>
        <v>Low Volatility</v>
      </c>
      <c r="O271" s="14" t="str">
        <f t="shared" si="429"/>
        <v>Strong Downtrend</v>
      </c>
      <c r="S271" s="131" t="s">
        <v>644</v>
      </c>
      <c r="T271" s="131" t="s">
        <v>1309</v>
      </c>
      <c r="U271" s="131" t="s">
        <v>1310</v>
      </c>
      <c r="V271" s="15">
        <f t="shared" si="369"/>
        <v>46021</v>
      </c>
      <c r="W271" s="60">
        <f t="shared" si="435"/>
        <v>105.03</v>
      </c>
      <c r="X271" s="61">
        <f t="shared" si="436"/>
        <v>4.5</v>
      </c>
      <c r="Y271" s="62">
        <f>((W271-MAX(W$16:W271))/MAX(W$16:W271))</f>
        <v>-2.9476991313989998E-2</v>
      </c>
      <c r="Z271" s="16">
        <f t="shared" si="437"/>
        <v>4.4762757385854966E-2</v>
      </c>
      <c r="AA271" s="153"/>
      <c r="AC271" s="16">
        <f t="shared" si="451"/>
        <v>6.6186173992488023E-2</v>
      </c>
      <c r="AD271" s="16">
        <f t="shared" ref="AD271:AF275" si="570">AD270</f>
        <v>-1.7163126509978262E-2</v>
      </c>
      <c r="AE271" s="16">
        <f t="shared" si="570"/>
        <v>4.4722463106714495E-2</v>
      </c>
      <c r="AF271" s="16" t="str">
        <f t="shared" si="570"/>
        <v>Medium Volatility</v>
      </c>
      <c r="AG271" s="14" t="str">
        <f t="shared" si="509"/>
        <v>Weak/Unconfirmed</v>
      </c>
      <c r="AI271" s="131" t="s">
        <v>644</v>
      </c>
      <c r="AJ271" s="131">
        <v>429292</v>
      </c>
      <c r="AK271" s="131">
        <v>429340</v>
      </c>
      <c r="AL271" s="15">
        <f t="shared" si="474"/>
        <v>46021</v>
      </c>
      <c r="AM271" s="60">
        <f t="shared" si="465"/>
        <v>42.933999999999997</v>
      </c>
      <c r="AN271" s="61">
        <f t="shared" si="466"/>
        <v>5.0999999999987722E-3</v>
      </c>
      <c r="AO271" s="62">
        <f>((AM271-MAX(AM$16:AM271))/MAX(AM$16:AM271))</f>
        <v>0</v>
      </c>
      <c r="AP271" s="16">
        <f t="shared" si="467"/>
        <v>1.1880108737933588E-4</v>
      </c>
      <c r="AQ271" s="153"/>
      <c r="AS271" s="16">
        <f t="shared" si="387"/>
        <v>2.599088801033096E-3</v>
      </c>
      <c r="AT271" s="77">
        <f t="shared" ref="AT271:AV271" si="571">AT270</f>
        <v>2.6184030807565924E-3</v>
      </c>
      <c r="AU271" s="16">
        <f t="shared" si="571"/>
        <v>6.1449751397706456E-4</v>
      </c>
      <c r="AV271" s="16" t="str">
        <f t="shared" si="571"/>
        <v>Low Volatility</v>
      </c>
      <c r="AW271" s="14" t="str">
        <f t="shared" si="412"/>
        <v>Stable</v>
      </c>
    </row>
    <row r="272" spans="1:49" ht="15.75" hidden="1" thickBot="1">
      <c r="A272" s="131" t="s">
        <v>645</v>
      </c>
      <c r="B272" s="131" t="s">
        <v>939</v>
      </c>
      <c r="C272" s="131" t="s">
        <v>940</v>
      </c>
      <c r="D272" s="15">
        <v>46022</v>
      </c>
      <c r="E272" s="60">
        <f t="shared" si="390"/>
        <v>5953.31</v>
      </c>
      <c r="F272" s="61">
        <f t="shared" si="391"/>
        <v>-38.969999999999345</v>
      </c>
      <c r="G272" s="62">
        <f>((E272-MAX(E$16:E272))/MAX(E$16:E272))</f>
        <v>-5.80205696202531E-2</v>
      </c>
      <c r="H272" s="16">
        <f t="shared" si="371"/>
        <v>-6.5033676663973222E-3</v>
      </c>
      <c r="I272" s="153"/>
      <c r="K272" s="16">
        <f t="shared" si="399"/>
        <v>-3.5212192027018446E-2</v>
      </c>
      <c r="L272" s="77">
        <f t="shared" ref="L272:N272" si="572">L271</f>
        <v>-2.7567925966549407E-2</v>
      </c>
      <c r="M272" s="16">
        <f t="shared" si="572"/>
        <v>1.7298786094762115E-2</v>
      </c>
      <c r="N272" s="16" t="str">
        <f t="shared" si="572"/>
        <v>Low Volatility</v>
      </c>
      <c r="O272" s="14" t="str">
        <f t="shared" si="429"/>
        <v>Strong Downtrend</v>
      </c>
      <c r="S272" s="131" t="s">
        <v>645</v>
      </c>
      <c r="T272" s="131" t="s">
        <v>1311</v>
      </c>
      <c r="U272" s="131" t="s">
        <v>1312</v>
      </c>
      <c r="V272" s="15">
        <f t="shared" ref="V272:V335" si="573">D272</f>
        <v>46022</v>
      </c>
      <c r="W272" s="60">
        <f t="shared" si="435"/>
        <v>98.11</v>
      </c>
      <c r="X272" s="61">
        <f t="shared" si="436"/>
        <v>-6.9200000000000017</v>
      </c>
      <c r="Y272" s="62">
        <f>((W272-MAX(W$16:W272))/MAX(W$16:W272))</f>
        <v>-9.3420809462206614E-2</v>
      </c>
      <c r="Z272" s="16">
        <f t="shared" si="437"/>
        <v>-6.5885937351232993E-2</v>
      </c>
      <c r="AA272" s="153"/>
      <c r="AC272" s="16">
        <f t="shared" si="451"/>
        <v>-8.6895018692533035E-3</v>
      </c>
      <c r="AD272" s="16">
        <f t="shared" ref="AD272" si="574">AD270</f>
        <v>-1.7163126509978262E-2</v>
      </c>
      <c r="AE272" s="16">
        <f t="shared" si="570"/>
        <v>4.4722463106714495E-2</v>
      </c>
      <c r="AF272" s="16" t="str">
        <f t="shared" si="570"/>
        <v>Medium Volatility</v>
      </c>
      <c r="AG272" s="14" t="str">
        <f t="shared" si="509"/>
        <v>Weak/Unconfirmed</v>
      </c>
      <c r="AI272" s="131" t="s">
        <v>645</v>
      </c>
      <c r="AJ272" s="131">
        <v>429340</v>
      </c>
      <c r="AK272" s="131">
        <v>429256</v>
      </c>
      <c r="AL272" s="15">
        <f t="shared" si="474"/>
        <v>46022</v>
      </c>
      <c r="AM272" s="60">
        <f t="shared" si="465"/>
        <v>42.925600000000003</v>
      </c>
      <c r="AN272" s="61">
        <f t="shared" si="466"/>
        <v>-8.399999999994634E-3</v>
      </c>
      <c r="AO272" s="62">
        <f>((AM272-MAX(AM$16:AM272))/MAX(AM$16:AM272))</f>
        <v>-1.9564913588285821E-4</v>
      </c>
      <c r="AP272" s="16">
        <f t="shared" si="467"/>
        <v>-1.9564913588285821E-4</v>
      </c>
      <c r="AQ272" s="153"/>
      <c r="AS272" s="16">
        <f t="shared" si="387"/>
        <v>1.9724050036064801E-3</v>
      </c>
      <c r="AT272" s="77">
        <f t="shared" ref="AT272:AV272" si="575">AT271</f>
        <v>2.6184030807565924E-3</v>
      </c>
      <c r="AU272" s="16">
        <f t="shared" si="575"/>
        <v>6.1449751397706456E-4</v>
      </c>
      <c r="AV272" s="16" t="str">
        <f t="shared" si="575"/>
        <v>Low Volatility</v>
      </c>
      <c r="AW272" s="14" t="str">
        <f t="shared" si="412"/>
        <v>Stable</v>
      </c>
    </row>
    <row r="273" spans="1:49" ht="15.75" hidden="1" thickBot="1">
      <c r="A273" s="131" t="s">
        <v>646</v>
      </c>
      <c r="B273" s="131" t="s">
        <v>941</v>
      </c>
      <c r="C273" s="131" t="s">
        <v>942</v>
      </c>
      <c r="D273" s="15">
        <v>46023</v>
      </c>
      <c r="E273" s="60">
        <f t="shared" si="390"/>
        <v>5966.21</v>
      </c>
      <c r="F273" s="61">
        <f t="shared" si="391"/>
        <v>12.899999999999636</v>
      </c>
      <c r="G273" s="62">
        <f>((E273-MAX(E$16:E273))/MAX(E$16:E273))</f>
        <v>-5.5979430379746828E-2</v>
      </c>
      <c r="H273" s="16">
        <f t="shared" ref="H273:H336" si="576">F273/E272</f>
        <v>2.1668617962107861E-3</v>
      </c>
      <c r="I273" s="153"/>
      <c r="K273" s="16">
        <f t="shared" si="399"/>
        <v>-3.3167068554241869E-2</v>
      </c>
      <c r="L273" s="77">
        <f t="shared" ref="L273:N273" si="577">L272</f>
        <v>-2.7567925966549407E-2</v>
      </c>
      <c r="M273" s="16">
        <f t="shared" si="577"/>
        <v>1.7298786094762115E-2</v>
      </c>
      <c r="N273" s="16" t="str">
        <f t="shared" si="577"/>
        <v>Low Volatility</v>
      </c>
      <c r="O273" s="14" t="str">
        <f t="shared" si="429"/>
        <v>Strong Downtrend</v>
      </c>
      <c r="S273" s="131" t="s">
        <v>646</v>
      </c>
      <c r="T273" s="131" t="s">
        <v>1313</v>
      </c>
      <c r="U273" s="131" t="s">
        <v>1314</v>
      </c>
      <c r="V273" s="15">
        <f t="shared" si="573"/>
        <v>46023</v>
      </c>
      <c r="W273" s="60">
        <f t="shared" si="435"/>
        <v>98.94</v>
      </c>
      <c r="X273" s="61">
        <f t="shared" si="436"/>
        <v>0.82999999999999829</v>
      </c>
      <c r="Y273" s="62">
        <f>((W273-MAX(W$16:W273))/MAX(W$16:W273))</f>
        <v>-8.5751247458880075E-2</v>
      </c>
      <c r="Z273" s="16">
        <f t="shared" si="437"/>
        <v>8.4598919580063017E-3</v>
      </c>
      <c r="AA273" s="153"/>
      <c r="AC273" s="16">
        <f t="shared" si="451"/>
        <v>-1.4129995962858354E-3</v>
      </c>
      <c r="AD273" s="16">
        <f t="shared" ref="AD273" si="578">AD270</f>
        <v>-1.7163126509978262E-2</v>
      </c>
      <c r="AE273" s="16">
        <f t="shared" si="570"/>
        <v>4.4722463106714495E-2</v>
      </c>
      <c r="AF273" s="16" t="str">
        <f t="shared" si="570"/>
        <v>Medium Volatility</v>
      </c>
      <c r="AG273" s="14" t="str">
        <f t="shared" si="509"/>
        <v>Weak/Unconfirmed</v>
      </c>
      <c r="AI273" s="131" t="s">
        <v>646</v>
      </c>
      <c r="AJ273" s="131">
        <v>429259</v>
      </c>
      <c r="AK273" s="131">
        <v>429562</v>
      </c>
      <c r="AL273" s="15">
        <f t="shared" si="474"/>
        <v>46023</v>
      </c>
      <c r="AM273" s="60">
        <f t="shared" si="465"/>
        <v>42.956200000000003</v>
      </c>
      <c r="AN273" s="61">
        <f t="shared" si="466"/>
        <v>3.0599999999999739E-2</v>
      </c>
      <c r="AO273" s="62">
        <f>((AM273-MAX(AM$16:AM273))/MAX(AM$16:AM273))</f>
        <v>0</v>
      </c>
      <c r="AP273" s="16">
        <f t="shared" si="467"/>
        <v>7.1286132284696625E-4</v>
      </c>
      <c r="AQ273" s="153"/>
      <c r="AS273" s="16">
        <f t="shared" si="387"/>
        <v>2.5696621162720236E-3</v>
      </c>
      <c r="AT273" s="77">
        <f t="shared" ref="AT273:AV273" si="579">AT272</f>
        <v>2.6184030807565924E-3</v>
      </c>
      <c r="AU273" s="16">
        <f t="shared" si="579"/>
        <v>6.1449751397706456E-4</v>
      </c>
      <c r="AV273" s="16" t="str">
        <f t="shared" si="579"/>
        <v>Low Volatility</v>
      </c>
      <c r="AW273" s="14" t="str">
        <f t="shared" si="412"/>
        <v>Stable</v>
      </c>
    </row>
    <row r="274" spans="1:49" ht="15.75" hidden="1" thickBot="1">
      <c r="A274" s="131" t="s">
        <v>647</v>
      </c>
      <c r="B274" s="131" t="s">
        <v>942</v>
      </c>
      <c r="C274" s="131" t="s">
        <v>943</v>
      </c>
      <c r="D274" s="15">
        <v>46024</v>
      </c>
      <c r="E274" s="60">
        <f t="shared" si="390"/>
        <v>5991.88</v>
      </c>
      <c r="F274" s="61">
        <f t="shared" si="391"/>
        <v>25.670000000000073</v>
      </c>
      <c r="G274" s="62">
        <f>((E274-MAX(E$16:E274))/MAX(E$16:E274))</f>
        <v>-5.1917721518987325E-2</v>
      </c>
      <c r="H274" s="16">
        <f t="shared" si="576"/>
        <v>4.3025639392512286E-3</v>
      </c>
      <c r="I274" s="153"/>
      <c r="K274" s="16">
        <f t="shared" si="399"/>
        <v>-4.1378957270755121E-2</v>
      </c>
      <c r="L274" s="77">
        <f t="shared" ref="L274:N274" si="580">L273</f>
        <v>-2.7567925966549407E-2</v>
      </c>
      <c r="M274" s="16">
        <f t="shared" si="580"/>
        <v>1.7298786094762115E-2</v>
      </c>
      <c r="N274" s="16" t="str">
        <f t="shared" si="580"/>
        <v>Low Volatility</v>
      </c>
      <c r="O274" s="14" t="str">
        <f t="shared" si="429"/>
        <v>Strong Downtrend</v>
      </c>
      <c r="S274" s="131" t="s">
        <v>647</v>
      </c>
      <c r="T274" s="131" t="s">
        <v>1314</v>
      </c>
      <c r="U274" s="131" t="s">
        <v>1315</v>
      </c>
      <c r="V274" s="15">
        <f t="shared" si="573"/>
        <v>46024</v>
      </c>
      <c r="W274" s="60">
        <f t="shared" si="435"/>
        <v>100.39</v>
      </c>
      <c r="X274" s="61">
        <f t="shared" si="436"/>
        <v>1.4500000000000028</v>
      </c>
      <c r="Y274" s="62">
        <f>((W274-MAX(W$16:W274))/MAX(W$16:W274))</f>
        <v>-7.2352615043430032E-2</v>
      </c>
      <c r="Z274" s="16">
        <f t="shared" si="437"/>
        <v>1.4655346674752405E-2</v>
      </c>
      <c r="AA274" s="153"/>
      <c r="AC274" s="16">
        <f t="shared" si="451"/>
        <v>-7.2352615043430032E-2</v>
      </c>
      <c r="AD274" s="16">
        <f t="shared" ref="AD274" si="581">AD270</f>
        <v>-1.7163126509978262E-2</v>
      </c>
      <c r="AE274" s="16">
        <f t="shared" si="570"/>
        <v>4.4722463106714495E-2</v>
      </c>
      <c r="AF274" s="16" t="str">
        <f t="shared" si="570"/>
        <v>Medium Volatility</v>
      </c>
      <c r="AG274" s="14" t="str">
        <f t="shared" si="509"/>
        <v>Strong Downtrend</v>
      </c>
      <c r="AI274" s="131" t="s">
        <v>647</v>
      </c>
      <c r="AJ274" s="131">
        <v>429562</v>
      </c>
      <c r="AK274" s="131">
        <v>430237</v>
      </c>
      <c r="AL274" s="15">
        <f t="shared" si="474"/>
        <v>46024</v>
      </c>
      <c r="AM274" s="60">
        <f t="shared" si="465"/>
        <v>43.023699999999998</v>
      </c>
      <c r="AN274" s="61">
        <f t="shared" si="466"/>
        <v>6.7499999999995453E-2</v>
      </c>
      <c r="AO274" s="62">
        <f>((AM274-MAX(AM$16:AM274))/MAX(AM$16:AM274))</f>
        <v>0</v>
      </c>
      <c r="AP274" s="16">
        <f t="shared" si="467"/>
        <v>1.5713680446593379E-3</v>
      </c>
      <c r="AQ274" s="153"/>
      <c r="AS274" s="16">
        <f t="shared" si="387"/>
        <v>2.8203353168913636E-3</v>
      </c>
      <c r="AT274" s="77">
        <f t="shared" ref="AT274:AV274" si="582">AT273</f>
        <v>2.6184030807565924E-3</v>
      </c>
      <c r="AU274" s="16">
        <f t="shared" si="582"/>
        <v>6.1449751397706456E-4</v>
      </c>
      <c r="AV274" s="16" t="str">
        <f t="shared" si="582"/>
        <v>Low Volatility</v>
      </c>
      <c r="AW274" s="14" t="str">
        <f t="shared" si="412"/>
        <v>Stable</v>
      </c>
    </row>
    <row r="275" spans="1:49" ht="15.75" hidden="1" thickBot="1">
      <c r="A275" s="131" t="s">
        <v>648</v>
      </c>
      <c r="B275" s="131" t="s">
        <v>942</v>
      </c>
      <c r="C275" s="131" t="s">
        <v>943</v>
      </c>
      <c r="D275" s="15">
        <v>46025</v>
      </c>
      <c r="E275" s="60">
        <f t="shared" si="390"/>
        <v>5991.88</v>
      </c>
      <c r="F275" s="61">
        <f t="shared" si="391"/>
        <v>0</v>
      </c>
      <c r="G275" s="62">
        <f>((E275-MAX(E$16:E275))/MAX(E$16:E275))</f>
        <v>-5.1917721518987325E-2</v>
      </c>
      <c r="H275" s="16">
        <f t="shared" si="576"/>
        <v>0</v>
      </c>
      <c r="I275" s="153"/>
      <c r="K275" s="16">
        <f t="shared" si="399"/>
        <v>-4.1378957270755121E-2</v>
      </c>
      <c r="L275" s="77">
        <f t="shared" ref="L275:N275" si="583">L274</f>
        <v>-2.7567925966549407E-2</v>
      </c>
      <c r="M275" s="16">
        <f t="shared" si="583"/>
        <v>1.7298786094762115E-2</v>
      </c>
      <c r="N275" s="16" t="str">
        <f t="shared" si="583"/>
        <v>Low Volatility</v>
      </c>
      <c r="O275" s="14" t="str">
        <f t="shared" si="429"/>
        <v>Strong Downtrend</v>
      </c>
      <c r="S275" s="131" t="s">
        <v>648</v>
      </c>
      <c r="T275" s="131" t="s">
        <v>1314</v>
      </c>
      <c r="U275" s="131" t="s">
        <v>1315</v>
      </c>
      <c r="V275" s="15">
        <f t="shared" si="573"/>
        <v>46025</v>
      </c>
      <c r="W275" s="60">
        <f t="shared" si="435"/>
        <v>100.39</v>
      </c>
      <c r="X275" s="61">
        <f t="shared" si="436"/>
        <v>0</v>
      </c>
      <c r="Y275" s="62">
        <f>((W275-MAX(W$16:W275))/MAX(W$16:W275))</f>
        <v>-7.2352615043430032E-2</v>
      </c>
      <c r="Z275" s="16">
        <f t="shared" si="437"/>
        <v>0</v>
      </c>
      <c r="AA275" s="153"/>
      <c r="AC275" s="16">
        <f t="shared" si="451"/>
        <v>-7.2352615043430032E-2</v>
      </c>
      <c r="AD275" s="16">
        <f t="shared" ref="AD275" si="584">AD270</f>
        <v>-1.7163126509978262E-2</v>
      </c>
      <c r="AE275" s="16">
        <f t="shared" si="570"/>
        <v>4.4722463106714495E-2</v>
      </c>
      <c r="AF275" s="16" t="str">
        <f t="shared" si="570"/>
        <v>Medium Volatility</v>
      </c>
      <c r="AG275" s="14" t="str">
        <f t="shared" si="509"/>
        <v>Strong Downtrend</v>
      </c>
      <c r="AI275" s="131" t="s">
        <v>648</v>
      </c>
      <c r="AJ275" s="131">
        <v>429562</v>
      </c>
      <c r="AK275" s="131">
        <v>430237</v>
      </c>
      <c r="AL275" s="15">
        <f t="shared" si="474"/>
        <v>46025</v>
      </c>
      <c r="AM275" s="60">
        <f t="shared" si="465"/>
        <v>43.023699999999998</v>
      </c>
      <c r="AN275" s="61">
        <f t="shared" si="466"/>
        <v>0</v>
      </c>
      <c r="AO275" s="62">
        <f>((AM275-MAX(AM$16:AM275))/MAX(AM$16:AM275))</f>
        <v>0</v>
      </c>
      <c r="AP275" s="16">
        <f t="shared" si="467"/>
        <v>0</v>
      </c>
      <c r="AQ275" s="153"/>
      <c r="AS275" s="16">
        <f t="shared" si="387"/>
        <v>2.8203353168913636E-3</v>
      </c>
      <c r="AT275" s="77">
        <f t="shared" ref="AT275:AV275" si="585">AT274</f>
        <v>2.6184030807565924E-3</v>
      </c>
      <c r="AU275" s="16">
        <f t="shared" si="585"/>
        <v>6.1449751397706456E-4</v>
      </c>
      <c r="AV275" s="16" t="str">
        <f t="shared" si="585"/>
        <v>Low Volatility</v>
      </c>
      <c r="AW275" s="14" t="str">
        <f t="shared" si="412"/>
        <v>Stable</v>
      </c>
    </row>
    <row r="276" spans="1:49" ht="15.75" hidden="1" thickBot="1">
      <c r="A276" s="131" t="s">
        <v>649</v>
      </c>
      <c r="B276" s="131" t="s">
        <v>942</v>
      </c>
      <c r="C276" s="131" t="s">
        <v>943</v>
      </c>
      <c r="D276" s="15">
        <v>46026</v>
      </c>
      <c r="E276" s="60">
        <f t="shared" si="390"/>
        <v>5991.88</v>
      </c>
      <c r="F276" s="61">
        <f t="shared" si="391"/>
        <v>0</v>
      </c>
      <c r="G276" s="62">
        <f>((E276-MAX(E$16:E276))/MAX(E$16:E276))</f>
        <v>-5.1917721518987325E-2</v>
      </c>
      <c r="H276" s="16">
        <f t="shared" si="576"/>
        <v>0</v>
      </c>
      <c r="I276" s="153"/>
      <c r="K276" s="16">
        <f t="shared" si="399"/>
        <v>-4.1378957270755121E-2</v>
      </c>
      <c r="L276" s="77">
        <f t="shared" ref="L276:N276" si="586">L275</f>
        <v>-2.7567925966549407E-2</v>
      </c>
      <c r="M276" s="16">
        <f t="shared" si="586"/>
        <v>1.7298786094762115E-2</v>
      </c>
      <c r="N276" s="16" t="str">
        <f t="shared" si="586"/>
        <v>Low Volatility</v>
      </c>
      <c r="O276" s="14" t="str">
        <f t="shared" si="429"/>
        <v>Strong Downtrend</v>
      </c>
      <c r="S276" s="131" t="s">
        <v>649</v>
      </c>
      <c r="T276" s="131" t="s">
        <v>1314</v>
      </c>
      <c r="U276" s="131" t="s">
        <v>1315</v>
      </c>
      <c r="V276" s="15">
        <f t="shared" si="573"/>
        <v>46026</v>
      </c>
      <c r="W276" s="60">
        <f t="shared" si="435"/>
        <v>100.39</v>
      </c>
      <c r="X276" s="61">
        <f t="shared" si="436"/>
        <v>0</v>
      </c>
      <c r="Y276" s="62">
        <f>((W276-MAX(W$16:W276))/MAX(W$16:W276))</f>
        <v>-7.2352615043430032E-2</v>
      </c>
      <c r="Z276" s="16">
        <f t="shared" si="437"/>
        <v>0</v>
      </c>
      <c r="AA276" s="153"/>
      <c r="AC276" s="16">
        <f t="shared" si="451"/>
        <v>-7.2352615043430032E-2</v>
      </c>
      <c r="AD276" s="16">
        <f t="shared" ref="AD276:AE276" si="587">AD270</f>
        <v>-1.7163126509978262E-2</v>
      </c>
      <c r="AE276" s="16">
        <f t="shared" si="587"/>
        <v>4.4722463106714495E-2</v>
      </c>
      <c r="AF276" s="16" t="str">
        <f t="shared" ref="AF276" si="588">IF(AE276 &lt; 0.02, "Low Volatility",
 IF(AE276 &gt; 0.1, "High Volatility", "Medium Volatility"))</f>
        <v>Medium Volatility</v>
      </c>
      <c r="AG276" s="14" t="str">
        <f t="shared" si="509"/>
        <v>Strong Downtrend</v>
      </c>
      <c r="AI276" s="131" t="s">
        <v>649</v>
      </c>
      <c r="AJ276" s="131">
        <v>429562</v>
      </c>
      <c r="AK276" s="131">
        <v>430237</v>
      </c>
      <c r="AL276" s="15">
        <f t="shared" si="474"/>
        <v>46026</v>
      </c>
      <c r="AM276" s="60">
        <f t="shared" si="465"/>
        <v>43.023699999999998</v>
      </c>
      <c r="AN276" s="61">
        <f t="shared" si="466"/>
        <v>0</v>
      </c>
      <c r="AO276" s="62">
        <f>((AM276-MAX(AM$16:AM276))/MAX(AM$16:AM276))</f>
        <v>0</v>
      </c>
      <c r="AP276" s="16">
        <f t="shared" si="467"/>
        <v>0</v>
      </c>
      <c r="AQ276" s="153"/>
      <c r="AS276" s="16">
        <f t="shared" si="387"/>
        <v>2.8203353168913636E-3</v>
      </c>
      <c r="AT276" s="77">
        <f t="shared" ref="AT276:AV276" si="589">AT275</f>
        <v>2.6184030807565924E-3</v>
      </c>
      <c r="AU276" s="16">
        <f t="shared" si="589"/>
        <v>6.1449751397706456E-4</v>
      </c>
      <c r="AV276" s="16" t="str">
        <f t="shared" si="589"/>
        <v>Low Volatility</v>
      </c>
      <c r="AW276" s="14" t="str">
        <f t="shared" si="412"/>
        <v>Stable</v>
      </c>
    </row>
    <row r="277" spans="1:49" ht="15.75" hidden="1" thickBot="1">
      <c r="A277" s="131" t="s">
        <v>650</v>
      </c>
      <c r="B277" s="131" t="s">
        <v>944</v>
      </c>
      <c r="C277" s="131" t="s">
        <v>945</v>
      </c>
      <c r="D277" s="15">
        <v>46027</v>
      </c>
      <c r="E277" s="60">
        <f t="shared" si="390"/>
        <v>6147.49</v>
      </c>
      <c r="F277" s="61">
        <f t="shared" si="391"/>
        <v>155.60999999999967</v>
      </c>
      <c r="G277" s="62">
        <f>((E277-MAX(E$16:E277))/MAX(E$16:E277))</f>
        <v>-2.7295886075949401E-2</v>
      </c>
      <c r="H277" s="16">
        <f t="shared" si="576"/>
        <v>2.5970146264611384E-2</v>
      </c>
      <c r="I277" s="153">
        <f>AVERAGEIFS(E277:E284, E277:E284, "&gt;=0")</f>
        <v>6230.0587499999992</v>
      </c>
      <c r="K277" s="16">
        <f t="shared" si="399"/>
        <v>2.7568465673557703E-2</v>
      </c>
      <c r="L277" s="77">
        <f t="shared" ref="L277" si="590">(I277-I270)/I270</f>
        <v>3.7964916533538007E-2</v>
      </c>
      <c r="M277" s="16" cm="1">
        <f t="array" ref="M277">_xlfn.STDEV.S(_xlfn._xlws.FILTER(F277:F283, ISNUMBER(F277:F283))) / I277</f>
        <v>1.0832377016506528E-2</v>
      </c>
      <c r="N277" s="16" t="str" cm="1">
        <f t="array" ref="N277">_xlfn.LET(
  _xlpm.c, M98,
  IFERROR(
    _xlfn.IFS(_xlpm.c&lt;0.02,"Low Volatility",
        _xlpm.c&gt;0.1,"High Volatility",
        TRUE,"Medium Volatility"),
    "Insufficient data"
  )
)</f>
        <v>Low Volatility</v>
      </c>
      <c r="O277" s="14" t="str">
        <f t="shared" si="429"/>
        <v>Strong Uptrend</v>
      </c>
      <c r="S277" s="131" t="s">
        <v>650</v>
      </c>
      <c r="T277" s="131" t="s">
        <v>1316</v>
      </c>
      <c r="U277" s="131" t="s">
        <v>1317</v>
      </c>
      <c r="V277" s="15">
        <f t="shared" si="573"/>
        <v>46027</v>
      </c>
      <c r="W277" s="60">
        <f t="shared" si="435"/>
        <v>105.4</v>
      </c>
      <c r="X277" s="61">
        <f t="shared" si="436"/>
        <v>5.0100000000000051</v>
      </c>
      <c r="Y277" s="62">
        <f>((W277-MAX(W$16:W277))/MAX(W$16:W277))</f>
        <v>-2.6058029939013058E-2</v>
      </c>
      <c r="Z277" s="16">
        <f t="shared" si="437"/>
        <v>4.9905369060663465E-2</v>
      </c>
      <c r="AA277" s="153">
        <f t="shared" ref="AA277" si="591">AVERAGEIFS(W277:W283, W277:W283, "&gt;=0")</f>
        <v>109.25571428571432</v>
      </c>
      <c r="AC277" s="16">
        <f t="shared" si="451"/>
        <v>4.8443250770914201E-2</v>
      </c>
      <c r="AD277" s="66">
        <f t="shared" ref="AD277" si="592">(AA277-AA270)/AA270</f>
        <v>8.6689022137600241E-2</v>
      </c>
      <c r="AE277" s="16" cm="1">
        <f t="array" ref="AE277">_xlfn.STDEV.S(_xlfn._xlws.FILTER(X277:X283, ISNUMBER(X277:X283))) / AA277</f>
        <v>3.7243675515669518E-2</v>
      </c>
      <c r="AF277" s="16" t="str">
        <f t="shared" ref="AF277:AF282" si="593">AF276</f>
        <v>Medium Volatility</v>
      </c>
      <c r="AG277" s="14" t="str">
        <f t="shared" si="509"/>
        <v>Strong Uptrend</v>
      </c>
      <c r="AI277" s="131" t="s">
        <v>650</v>
      </c>
      <c r="AJ277" s="131">
        <v>430253</v>
      </c>
      <c r="AK277" s="131">
        <v>430151</v>
      </c>
      <c r="AL277" s="15">
        <f t="shared" si="474"/>
        <v>46027</v>
      </c>
      <c r="AM277" s="60">
        <f t="shared" si="465"/>
        <v>43.015099999999997</v>
      </c>
      <c r="AN277" s="61">
        <f t="shared" si="466"/>
        <v>-8.6000000000012733E-3</v>
      </c>
      <c r="AO277" s="62">
        <f>((AM277-MAX(AM$16:AM277))/MAX(AM$16:AM277))</f>
        <v>-1.998898281645064E-4</v>
      </c>
      <c r="AP277" s="16">
        <f t="shared" si="467"/>
        <v>-1.998898281645064E-4</v>
      </c>
      <c r="AQ277" s="153">
        <f t="shared" ref="AQ277" si="594">AVERAGEIFS(AM277:AM283, AM277:AM283, "&gt;=0")</f>
        <v>43.072657142857146</v>
      </c>
      <c r="AS277" s="16">
        <f t="shared" si="387"/>
        <v>2.0079713200198013E-3</v>
      </c>
      <c r="AT277" s="77">
        <f t="shared" ref="AT277" si="595">(AQ277-AQ270)/AQ270</f>
        <v>2.3030705169077544E-3</v>
      </c>
      <c r="AU277" s="16" cm="1">
        <f t="array" ref="AU277">_xlfn.STDEV.S(_xlfn._xlws.FILTER(AN277:AN283, ISNUMBER(AN277:AN283))) / AQ277</f>
        <v>7.9788510446353387E-4</v>
      </c>
      <c r="AV277" s="16" t="str">
        <f t="shared" ref="AV277" si="596">IF(AU277 &lt; 0.02, "Low Volatility",
 IF(AU277 &gt; 0.1, "High Volatility", "Medium Volatility"))</f>
        <v>Low Volatility</v>
      </c>
      <c r="AW277" s="14" t="str">
        <f t="shared" si="412"/>
        <v>Stable</v>
      </c>
    </row>
    <row r="278" spans="1:49" ht="15.75" hidden="1" thickBot="1">
      <c r="A278" s="131" t="s">
        <v>651</v>
      </c>
      <c r="B278" s="131" t="s">
        <v>946</v>
      </c>
      <c r="C278" s="131" t="s">
        <v>947</v>
      </c>
      <c r="D278" s="15">
        <v>46028</v>
      </c>
      <c r="E278" s="60">
        <f t="shared" si="390"/>
        <v>6217.38</v>
      </c>
      <c r="F278" s="61">
        <f t="shared" si="391"/>
        <v>69.890000000000327</v>
      </c>
      <c r="G278" s="62">
        <f>((E278-MAX(E$16:E278))/MAX(E$16:E278))</f>
        <v>-1.6237341772151883E-2</v>
      </c>
      <c r="H278" s="16">
        <f t="shared" si="576"/>
        <v>1.1368867619142175E-2</v>
      </c>
      <c r="I278" s="153"/>
      <c r="K278" s="16">
        <f t="shared" si="399"/>
        <v>3.7565000300386557E-2</v>
      </c>
      <c r="L278" s="77">
        <f t="shared" ref="L278:N278" si="597">L277</f>
        <v>3.7964916533538007E-2</v>
      </c>
      <c r="M278" s="16">
        <f t="shared" si="597"/>
        <v>1.0832377016506528E-2</v>
      </c>
      <c r="N278" s="16" t="str">
        <f t="shared" si="597"/>
        <v>Low Volatility</v>
      </c>
      <c r="O278" s="14" t="str">
        <f t="shared" si="429"/>
        <v>Strong Uptrend</v>
      </c>
      <c r="S278" s="131" t="s">
        <v>651</v>
      </c>
      <c r="T278" s="131" t="s">
        <v>1318</v>
      </c>
      <c r="U278" s="131" t="s">
        <v>1319</v>
      </c>
      <c r="V278" s="15">
        <f t="shared" si="573"/>
        <v>46028</v>
      </c>
      <c r="W278" s="60">
        <f t="shared" si="435"/>
        <v>112.51</v>
      </c>
      <c r="X278" s="61">
        <f t="shared" si="436"/>
        <v>7.1099999999999994</v>
      </c>
      <c r="Y278" s="62">
        <f>((W278-MAX(W$16:W278))/MAX(W$16:W278))</f>
        <v>0</v>
      </c>
      <c r="Z278" s="16">
        <f t="shared" si="437"/>
        <v>6.7457305502846288E-2</v>
      </c>
      <c r="AA278" s="153"/>
      <c r="AC278" s="16">
        <f t="shared" si="451"/>
        <v>7.1217747310292331E-2</v>
      </c>
      <c r="AD278" s="16">
        <f t="shared" ref="AD278" si="598">AD277</f>
        <v>8.6689022137600241E-2</v>
      </c>
      <c r="AE278" s="16">
        <f t="shared" ref="AE278:AE282" si="599">AE277</f>
        <v>3.7243675515669518E-2</v>
      </c>
      <c r="AF278" s="16" t="str">
        <f t="shared" si="593"/>
        <v>Medium Volatility</v>
      </c>
      <c r="AG278" s="14" t="str">
        <f t="shared" si="509"/>
        <v>Strong Uptrend</v>
      </c>
      <c r="AI278" s="131" t="s">
        <v>651</v>
      </c>
      <c r="AJ278" s="131">
        <v>430173</v>
      </c>
      <c r="AK278" s="131">
        <v>430317</v>
      </c>
      <c r="AL278" s="15">
        <f t="shared" si="474"/>
        <v>46028</v>
      </c>
      <c r="AM278" s="60">
        <f t="shared" si="465"/>
        <v>43.031700000000001</v>
      </c>
      <c r="AN278" s="61">
        <f t="shared" si="466"/>
        <v>1.6600000000003945E-2</v>
      </c>
      <c r="AO278" s="62">
        <f>((AM278-MAX(AM$16:AM278))/MAX(AM$16:AM278))</f>
        <v>0</v>
      </c>
      <c r="AP278" s="16">
        <f t="shared" si="467"/>
        <v>3.8591099404636849E-4</v>
      </c>
      <c r="AQ278" s="153"/>
      <c r="AS278" s="16">
        <f t="shared" ref="AS278:AS341" si="600">(AM278-AM271)/AM271</f>
        <v>2.2755857828295344E-3</v>
      </c>
      <c r="AT278" s="77">
        <f t="shared" ref="AT278:AV278" si="601">AT277</f>
        <v>2.3030705169077544E-3</v>
      </c>
      <c r="AU278" s="16">
        <f t="shared" si="601"/>
        <v>7.9788510446353387E-4</v>
      </c>
      <c r="AV278" s="16" t="str">
        <f t="shared" si="601"/>
        <v>Low Volatility</v>
      </c>
      <c r="AW278" s="14" t="str">
        <f t="shared" si="412"/>
        <v>Stable</v>
      </c>
    </row>
    <row r="279" spans="1:49" ht="15.75" hidden="1" thickBot="1">
      <c r="A279" s="131" t="s">
        <v>652</v>
      </c>
      <c r="B279" s="131" t="s">
        <v>948</v>
      </c>
      <c r="C279" s="131" t="s">
        <v>949</v>
      </c>
      <c r="D279" s="15">
        <v>46029</v>
      </c>
      <c r="E279" s="60">
        <f t="shared" si="390"/>
        <v>6159.22</v>
      </c>
      <c r="F279" s="61">
        <f t="shared" si="391"/>
        <v>-58.159999999999854</v>
      </c>
      <c r="G279" s="62">
        <f>((E279-MAX(E$16:E279))/MAX(E$16:E279))</f>
        <v>-2.5439873417721477E-2</v>
      </c>
      <c r="H279" s="16">
        <f t="shared" si="576"/>
        <v>-9.3544226024466666E-3</v>
      </c>
      <c r="I279" s="153"/>
      <c r="K279" s="16">
        <f t="shared" si="399"/>
        <v>3.4587481585874047E-2</v>
      </c>
      <c r="L279" s="77">
        <f t="shared" ref="L279:N279" si="602">L278</f>
        <v>3.7964916533538007E-2</v>
      </c>
      <c r="M279" s="16">
        <f t="shared" si="602"/>
        <v>1.0832377016506528E-2</v>
      </c>
      <c r="N279" s="16" t="str">
        <f t="shared" si="602"/>
        <v>Low Volatility</v>
      </c>
      <c r="O279" s="14" t="str">
        <f t="shared" si="429"/>
        <v>Strong Uptrend</v>
      </c>
      <c r="S279" s="131" t="s">
        <v>652</v>
      </c>
      <c r="T279" s="131" t="s">
        <v>1320</v>
      </c>
      <c r="U279" s="131" t="s">
        <v>1321</v>
      </c>
      <c r="V279" s="15">
        <f t="shared" si="573"/>
        <v>46029</v>
      </c>
      <c r="W279" s="60">
        <f t="shared" si="435"/>
        <v>108.36</v>
      </c>
      <c r="X279" s="61">
        <f t="shared" si="436"/>
        <v>-4.1500000000000057</v>
      </c>
      <c r="Y279" s="62">
        <f>((W279-MAX(W$16:W279))/MAX(W$16:W279))</f>
        <v>-3.6885610167985118E-2</v>
      </c>
      <c r="Z279" s="16">
        <f t="shared" si="437"/>
        <v>-3.6885610167985118E-2</v>
      </c>
      <c r="AA279" s="153"/>
      <c r="AC279" s="16">
        <f t="shared" si="451"/>
        <v>0.10447456936092142</v>
      </c>
      <c r="AD279" s="16">
        <f t="shared" ref="AD279" si="603">AD277</f>
        <v>8.6689022137600241E-2</v>
      </c>
      <c r="AE279" s="16">
        <f t="shared" si="599"/>
        <v>3.7243675515669518E-2</v>
      </c>
      <c r="AF279" s="16" t="str">
        <f t="shared" si="593"/>
        <v>Medium Volatility</v>
      </c>
      <c r="AG279" s="14" t="str">
        <f t="shared" si="509"/>
        <v>Strong Uptrend</v>
      </c>
      <c r="AI279" s="131" t="s">
        <v>652</v>
      </c>
      <c r="AJ279" s="131">
        <v>430284</v>
      </c>
      <c r="AK279" s="131">
        <v>430342</v>
      </c>
      <c r="AL279" s="15">
        <f t="shared" si="474"/>
        <v>46029</v>
      </c>
      <c r="AM279" s="60">
        <f t="shared" si="465"/>
        <v>43.034199999999998</v>
      </c>
      <c r="AN279" s="61">
        <f t="shared" si="466"/>
        <v>2.4999999999977263E-3</v>
      </c>
      <c r="AO279" s="62">
        <f>((AM279-MAX(AM$16:AM279))/MAX(AM$16:AM279))</f>
        <v>0</v>
      </c>
      <c r="AP279" s="16">
        <f t="shared" si="467"/>
        <v>5.8096705451974385E-5</v>
      </c>
      <c r="AQ279" s="153"/>
      <c r="AS279" s="16">
        <f t="shared" si="600"/>
        <v>2.5299588124567994E-3</v>
      </c>
      <c r="AT279" s="77">
        <f t="shared" ref="AT279:AV279" si="604">AT278</f>
        <v>2.3030705169077544E-3</v>
      </c>
      <c r="AU279" s="16">
        <f t="shared" si="604"/>
        <v>7.9788510446353387E-4</v>
      </c>
      <c r="AV279" s="16" t="str">
        <f t="shared" si="604"/>
        <v>Low Volatility</v>
      </c>
      <c r="AW279" s="14" t="str">
        <f t="shared" si="412"/>
        <v>Stable</v>
      </c>
    </row>
    <row r="280" spans="1:49" ht="15.75" hidden="1" thickBot="1">
      <c r="A280" s="131" t="s">
        <v>653</v>
      </c>
      <c r="B280" s="131" t="s">
        <v>950</v>
      </c>
      <c r="C280" s="131" t="s">
        <v>951</v>
      </c>
      <c r="D280" s="15">
        <v>46030</v>
      </c>
      <c r="E280" s="60">
        <f t="shared" si="390"/>
        <v>6194.83</v>
      </c>
      <c r="F280" s="61">
        <f t="shared" si="391"/>
        <v>35.609999999999673</v>
      </c>
      <c r="G280" s="62">
        <f>((E280-MAX(E$16:E280))/MAX(E$16:E280))</f>
        <v>-1.9805379746835456E-2</v>
      </c>
      <c r="H280" s="16">
        <f t="shared" si="576"/>
        <v>5.7815762385496332E-3</v>
      </c>
      <c r="I280" s="153"/>
      <c r="K280" s="16">
        <f t="shared" si="399"/>
        <v>3.8319133922540424E-2</v>
      </c>
      <c r="L280" s="77">
        <f t="shared" ref="L280:N280" si="605">L279</f>
        <v>3.7964916533538007E-2</v>
      </c>
      <c r="M280" s="16">
        <f t="shared" si="605"/>
        <v>1.0832377016506528E-2</v>
      </c>
      <c r="N280" s="16" t="str">
        <f t="shared" si="605"/>
        <v>Low Volatility</v>
      </c>
      <c r="O280" s="14" t="str">
        <f t="shared" si="429"/>
        <v>Strong Uptrend</v>
      </c>
      <c r="S280" s="131" t="s">
        <v>653</v>
      </c>
      <c r="T280" s="131" t="s">
        <v>1322</v>
      </c>
      <c r="U280" s="131" t="s">
        <v>1323</v>
      </c>
      <c r="V280" s="15">
        <f t="shared" si="573"/>
        <v>46030</v>
      </c>
      <c r="W280" s="60">
        <f t="shared" si="435"/>
        <v>106.45</v>
      </c>
      <c r="X280" s="61">
        <f t="shared" si="436"/>
        <v>-1.9099999999999966</v>
      </c>
      <c r="Y280" s="62">
        <f>((W280-MAX(W$16:W280))/MAX(W$16:W280))</f>
        <v>-5.3861878944093874E-2</v>
      </c>
      <c r="Z280" s="16">
        <f t="shared" si="437"/>
        <v>-1.762643041712806E-2</v>
      </c>
      <c r="AA280" s="153"/>
      <c r="AC280" s="16">
        <f t="shared" si="451"/>
        <v>7.5904588639579593E-2</v>
      </c>
      <c r="AD280" s="16">
        <f t="shared" ref="AD280" si="606">AD277</f>
        <v>8.6689022137600241E-2</v>
      </c>
      <c r="AE280" s="16">
        <f t="shared" si="599"/>
        <v>3.7243675515669518E-2</v>
      </c>
      <c r="AF280" s="16" t="str">
        <f t="shared" si="593"/>
        <v>Medium Volatility</v>
      </c>
      <c r="AG280" s="14" t="str">
        <f t="shared" si="509"/>
        <v>Strong Uptrend</v>
      </c>
      <c r="AI280" s="131" t="s">
        <v>653</v>
      </c>
      <c r="AJ280" s="131">
        <v>430349</v>
      </c>
      <c r="AK280" s="131">
        <v>430385</v>
      </c>
      <c r="AL280" s="15">
        <f t="shared" si="474"/>
        <v>46030</v>
      </c>
      <c r="AM280" s="60">
        <f t="shared" si="465"/>
        <v>43.038499999999999</v>
      </c>
      <c r="AN280" s="61">
        <f t="shared" si="466"/>
        <v>4.3000000000006366E-3</v>
      </c>
      <c r="AO280" s="62">
        <f>((AM280-MAX(AM$16:AM280))/MAX(AM$16:AM280))</f>
        <v>0</v>
      </c>
      <c r="AP280" s="16">
        <f t="shared" si="467"/>
        <v>9.9920528323998976E-5</v>
      </c>
      <c r="AQ280" s="153"/>
      <c r="AS280" s="16">
        <f t="shared" si="600"/>
        <v>1.9159050381550621E-3</v>
      </c>
      <c r="AT280" s="77">
        <f t="shared" ref="AT280:AV280" si="607">AT279</f>
        <v>2.3030705169077544E-3</v>
      </c>
      <c r="AU280" s="16">
        <f t="shared" si="607"/>
        <v>7.9788510446353387E-4</v>
      </c>
      <c r="AV280" s="16" t="str">
        <f t="shared" si="607"/>
        <v>Low Volatility</v>
      </c>
      <c r="AW280" s="14" t="str">
        <f t="shared" si="412"/>
        <v>Stable</v>
      </c>
    </row>
    <row r="281" spans="1:49" ht="15.75" hidden="1" thickBot="1">
      <c r="A281" s="131" t="s">
        <v>654</v>
      </c>
      <c r="B281" s="131" t="s">
        <v>43</v>
      </c>
      <c r="C281" s="131" t="s">
        <v>952</v>
      </c>
      <c r="D281" s="15">
        <v>46031</v>
      </c>
      <c r="E281" s="60">
        <f t="shared" si="390"/>
        <v>6251.35</v>
      </c>
      <c r="F281" s="61">
        <f t="shared" si="391"/>
        <v>56.520000000000437</v>
      </c>
      <c r="G281" s="62">
        <f>((E281-MAX(E$16:E281))/MAX(E$16:E281))</f>
        <v>-1.0862341772151842E-2</v>
      </c>
      <c r="H281" s="16">
        <f t="shared" si="576"/>
        <v>9.1237370517028623E-3</v>
      </c>
      <c r="I281" s="153"/>
      <c r="K281" s="16">
        <f t="shared" si="399"/>
        <v>4.3303604211032305E-2</v>
      </c>
      <c r="L281" s="77">
        <f t="shared" ref="L281:N281" si="608">L280</f>
        <v>3.7964916533538007E-2</v>
      </c>
      <c r="M281" s="16">
        <f t="shared" si="608"/>
        <v>1.0832377016506528E-2</v>
      </c>
      <c r="N281" s="16" t="str">
        <f t="shared" si="608"/>
        <v>Low Volatility</v>
      </c>
      <c r="O281" s="14" t="str">
        <f t="shared" si="429"/>
        <v>Strong Uptrend</v>
      </c>
      <c r="S281" s="131" t="s">
        <v>654</v>
      </c>
      <c r="T281" s="131" t="s">
        <v>1324</v>
      </c>
      <c r="U281" s="131" t="s">
        <v>1325</v>
      </c>
      <c r="V281" s="15">
        <f t="shared" si="573"/>
        <v>46031</v>
      </c>
      <c r="W281" s="60">
        <f t="shared" si="435"/>
        <v>110.69</v>
      </c>
      <c r="X281" s="61">
        <f t="shared" si="436"/>
        <v>4.2399999999999949</v>
      </c>
      <c r="Y281" s="62">
        <f>((W281-MAX(W$16:W281))/MAX(W$16:W281))</f>
        <v>-1.6176339880899542E-2</v>
      </c>
      <c r="Z281" s="16">
        <f t="shared" si="437"/>
        <v>3.9830906528886753E-2</v>
      </c>
      <c r="AA281" s="153"/>
      <c r="AC281" s="16">
        <f t="shared" si="451"/>
        <v>0.10259986054387885</v>
      </c>
      <c r="AD281" s="16">
        <f t="shared" ref="AD281" si="609">AD277</f>
        <v>8.6689022137600241E-2</v>
      </c>
      <c r="AE281" s="16">
        <f t="shared" si="599"/>
        <v>3.7243675515669518E-2</v>
      </c>
      <c r="AF281" s="16" t="str">
        <f t="shared" si="593"/>
        <v>Medium Volatility</v>
      </c>
      <c r="AG281" s="14" t="str">
        <f t="shared" si="509"/>
        <v>Strong Uptrend</v>
      </c>
      <c r="AI281" s="131" t="s">
        <v>654</v>
      </c>
      <c r="AJ281" s="131">
        <v>430385</v>
      </c>
      <c r="AK281" s="131">
        <v>431297</v>
      </c>
      <c r="AL281" s="15">
        <f t="shared" si="474"/>
        <v>46031</v>
      </c>
      <c r="AM281" s="60">
        <f t="shared" si="465"/>
        <v>43.1297</v>
      </c>
      <c r="AN281" s="61">
        <f t="shared" si="466"/>
        <v>9.1200000000000614E-2</v>
      </c>
      <c r="AO281" s="62">
        <f>((AM281-MAX(AM$16:AM281))/MAX(AM$16:AM281))</f>
        <v>0</v>
      </c>
      <c r="AP281" s="16">
        <f t="shared" si="467"/>
        <v>2.1190329588624281E-3</v>
      </c>
      <c r="AQ281" s="153"/>
      <c r="AS281" s="16">
        <f t="shared" si="600"/>
        <v>2.4637583471435894E-3</v>
      </c>
      <c r="AT281" s="77">
        <f t="shared" ref="AT281:AV281" si="610">AT280</f>
        <v>2.3030705169077544E-3</v>
      </c>
      <c r="AU281" s="16">
        <f t="shared" si="610"/>
        <v>7.9788510446353387E-4</v>
      </c>
      <c r="AV281" s="16" t="str">
        <f t="shared" si="610"/>
        <v>Low Volatility</v>
      </c>
      <c r="AW281" s="14" t="str">
        <f t="shared" si="412"/>
        <v>Stable</v>
      </c>
    </row>
    <row r="282" spans="1:49" ht="15.75" hidden="1" thickBot="1">
      <c r="A282" s="131" t="s">
        <v>655</v>
      </c>
      <c r="B282" s="131" t="s">
        <v>43</v>
      </c>
      <c r="C282" s="131" t="s">
        <v>952</v>
      </c>
      <c r="D282" s="15">
        <v>46032</v>
      </c>
      <c r="E282" s="60">
        <f t="shared" ref="E282:E345" si="611">VALUE(SUBSTITUTE(SUBSTITUTE(C282, ".", ""), ",", "."))</f>
        <v>6251.35</v>
      </c>
      <c r="F282" s="61">
        <f t="shared" ref="F282:F345" si="612">E282-E281</f>
        <v>0</v>
      </c>
      <c r="G282" s="62">
        <f>((E282-MAX(E$16:E282))/MAX(E$16:E282))</f>
        <v>-1.0862341772151842E-2</v>
      </c>
      <c r="H282" s="16">
        <f t="shared" si="576"/>
        <v>0</v>
      </c>
      <c r="I282" s="153"/>
      <c r="K282" s="16">
        <f t="shared" si="399"/>
        <v>4.3303604211032305E-2</v>
      </c>
      <c r="L282" s="77">
        <f t="shared" ref="L282:N282" si="613">L281</f>
        <v>3.7964916533538007E-2</v>
      </c>
      <c r="M282" s="16">
        <f t="shared" si="613"/>
        <v>1.0832377016506528E-2</v>
      </c>
      <c r="N282" s="16" t="str">
        <f t="shared" si="613"/>
        <v>Low Volatility</v>
      </c>
      <c r="O282" s="14" t="str">
        <f t="shared" si="429"/>
        <v>Strong Uptrend</v>
      </c>
      <c r="S282" s="131" t="s">
        <v>655</v>
      </c>
      <c r="T282" s="131" t="s">
        <v>1324</v>
      </c>
      <c r="U282" s="131" t="s">
        <v>1325</v>
      </c>
      <c r="V282" s="15">
        <f t="shared" si="573"/>
        <v>46032</v>
      </c>
      <c r="W282" s="60">
        <f t="shared" si="435"/>
        <v>110.69</v>
      </c>
      <c r="X282" s="61">
        <f t="shared" si="436"/>
        <v>0</v>
      </c>
      <c r="Y282" s="62">
        <f>((W282-MAX(W$16:W282))/MAX(W$16:W282))</f>
        <v>-1.6176339880899542E-2</v>
      </c>
      <c r="Z282" s="16">
        <f t="shared" si="437"/>
        <v>0</v>
      </c>
      <c r="AA282" s="153"/>
      <c r="AC282" s="16">
        <f t="shared" si="451"/>
        <v>0.10259986054387885</v>
      </c>
      <c r="AD282" s="16">
        <f t="shared" ref="AD282" si="614">AD277</f>
        <v>8.6689022137600241E-2</v>
      </c>
      <c r="AE282" s="16">
        <f t="shared" si="599"/>
        <v>3.7243675515669518E-2</v>
      </c>
      <c r="AF282" s="16" t="str">
        <f t="shared" si="593"/>
        <v>Medium Volatility</v>
      </c>
      <c r="AG282" s="14" t="str">
        <f t="shared" si="509"/>
        <v>Strong Uptrend</v>
      </c>
      <c r="AI282" s="131" t="s">
        <v>655</v>
      </c>
      <c r="AJ282" s="131">
        <v>430385</v>
      </c>
      <c r="AK282" s="131">
        <v>431297</v>
      </c>
      <c r="AL282" s="15">
        <f t="shared" si="474"/>
        <v>46032</v>
      </c>
      <c r="AM282" s="60">
        <f t="shared" si="465"/>
        <v>43.1297</v>
      </c>
      <c r="AN282" s="61">
        <f t="shared" si="466"/>
        <v>0</v>
      </c>
      <c r="AO282" s="62">
        <f>((AM282-MAX(AM$16:AM282))/MAX(AM$16:AM282))</f>
        <v>0</v>
      </c>
      <c r="AP282" s="16">
        <f t="shared" si="467"/>
        <v>0</v>
      </c>
      <c r="AQ282" s="153"/>
      <c r="AS282" s="16">
        <f t="shared" si="600"/>
        <v>2.4637583471435894E-3</v>
      </c>
      <c r="AT282" s="77">
        <f t="shared" ref="AT282:AV282" si="615">AT281</f>
        <v>2.3030705169077544E-3</v>
      </c>
      <c r="AU282" s="16">
        <f t="shared" si="615"/>
        <v>7.9788510446353387E-4</v>
      </c>
      <c r="AV282" s="16" t="str">
        <f t="shared" si="615"/>
        <v>Low Volatility</v>
      </c>
      <c r="AW282" s="14" t="str">
        <f t="shared" si="412"/>
        <v>Stable</v>
      </c>
    </row>
    <row r="283" spans="1:49" ht="15.75" hidden="1" thickBot="1">
      <c r="A283" s="131" t="s">
        <v>656</v>
      </c>
      <c r="B283" s="131" t="s">
        <v>43</v>
      </c>
      <c r="C283" s="131" t="s">
        <v>952</v>
      </c>
      <c r="D283" s="15">
        <v>46033</v>
      </c>
      <c r="E283" s="60">
        <f t="shared" si="611"/>
        <v>6251.35</v>
      </c>
      <c r="F283" s="61">
        <f t="shared" si="612"/>
        <v>0</v>
      </c>
      <c r="G283" s="62">
        <f>((E283-MAX(E$16:E283))/MAX(E$16:E283))</f>
        <v>-1.0862341772151842E-2</v>
      </c>
      <c r="H283" s="16">
        <f t="shared" si="576"/>
        <v>0</v>
      </c>
      <c r="I283" s="153"/>
      <c r="K283" s="16">
        <f t="shared" si="399"/>
        <v>4.3303604211032305E-2</v>
      </c>
      <c r="L283" s="77">
        <f t="shared" ref="L283:N283" si="616">L282</f>
        <v>3.7964916533538007E-2</v>
      </c>
      <c r="M283" s="16">
        <f t="shared" si="616"/>
        <v>1.0832377016506528E-2</v>
      </c>
      <c r="N283" s="16" t="str">
        <f t="shared" si="616"/>
        <v>Low Volatility</v>
      </c>
      <c r="O283" s="14" t="str">
        <f t="shared" si="429"/>
        <v>Strong Uptrend</v>
      </c>
      <c r="S283" s="131" t="s">
        <v>656</v>
      </c>
      <c r="T283" s="131" t="s">
        <v>1324</v>
      </c>
      <c r="U283" s="131" t="s">
        <v>1325</v>
      </c>
      <c r="V283" s="15">
        <f t="shared" si="573"/>
        <v>46033</v>
      </c>
      <c r="W283" s="60">
        <f t="shared" si="435"/>
        <v>110.69</v>
      </c>
      <c r="X283" s="61">
        <f t="shared" si="436"/>
        <v>0</v>
      </c>
      <c r="Y283" s="62">
        <f>((W283-MAX(W$16:W283))/MAX(W$16:W283))</f>
        <v>-1.6176339880899542E-2</v>
      </c>
      <c r="Z283" s="16">
        <f t="shared" si="437"/>
        <v>0</v>
      </c>
      <c r="AA283" s="153"/>
      <c r="AC283" s="16">
        <f t="shared" si="451"/>
        <v>0.10259986054387885</v>
      </c>
      <c r="AD283" s="16">
        <f t="shared" ref="AD283:AE283" si="617">AD277</f>
        <v>8.6689022137600241E-2</v>
      </c>
      <c r="AE283" s="16">
        <f t="shared" si="617"/>
        <v>3.7243675515669518E-2</v>
      </c>
      <c r="AF283" s="16" t="str">
        <f t="shared" ref="AF283:AF284" si="618">IF(AE283 &lt; 0.02, "Low Volatility",
 IF(AE283 &gt; 0.1, "High Volatility", "Medium Volatility"))</f>
        <v>Medium Volatility</v>
      </c>
      <c r="AG283" s="14" t="str">
        <f t="shared" si="509"/>
        <v>Strong Uptrend</v>
      </c>
      <c r="AI283" s="131" t="s">
        <v>656</v>
      </c>
      <c r="AJ283" s="131">
        <v>430385</v>
      </c>
      <c r="AK283" s="131">
        <v>431297</v>
      </c>
      <c r="AL283" s="15">
        <f t="shared" si="474"/>
        <v>46033</v>
      </c>
      <c r="AM283" s="60">
        <f t="shared" si="465"/>
        <v>43.1297</v>
      </c>
      <c r="AN283" s="61">
        <f t="shared" si="466"/>
        <v>0</v>
      </c>
      <c r="AO283" s="62">
        <f>((AM283-MAX(AM$16:AM283))/MAX(AM$16:AM283))</f>
        <v>0</v>
      </c>
      <c r="AP283" s="16">
        <f t="shared" si="467"/>
        <v>0</v>
      </c>
      <c r="AQ283" s="153"/>
      <c r="AS283" s="16">
        <f t="shared" si="600"/>
        <v>2.4637583471435894E-3</v>
      </c>
      <c r="AT283" s="77">
        <f t="shared" ref="AT283:AV283" si="619">AT282</f>
        <v>2.3030705169077544E-3</v>
      </c>
      <c r="AU283" s="16">
        <f t="shared" si="619"/>
        <v>7.9788510446353387E-4</v>
      </c>
      <c r="AV283" s="16" t="str">
        <f t="shared" si="619"/>
        <v>Low Volatility</v>
      </c>
      <c r="AW283" s="14" t="str">
        <f t="shared" si="412"/>
        <v>Stable</v>
      </c>
    </row>
    <row r="284" spans="1:49" ht="15.75" hidden="1" thickBot="1">
      <c r="A284" s="131" t="s">
        <v>657</v>
      </c>
      <c r="B284" s="131" t="s">
        <v>953</v>
      </c>
      <c r="C284" s="131" t="s">
        <v>954</v>
      </c>
      <c r="D284" s="15">
        <v>46034</v>
      </c>
      <c r="E284" s="60">
        <f t="shared" si="611"/>
        <v>6367.5</v>
      </c>
      <c r="F284" s="61">
        <f t="shared" si="612"/>
        <v>116.14999999999964</v>
      </c>
      <c r="G284" s="62">
        <f>((E284-MAX(E$16:E284))/MAX(E$16:E284))</f>
        <v>0</v>
      </c>
      <c r="H284" s="16">
        <f t="shared" si="576"/>
        <v>1.85799867228678E-2</v>
      </c>
      <c r="I284" s="153">
        <f>AVERAGEIFS(E284:E291, E284:E291, "&gt;=0")</f>
        <v>6397.4199999999992</v>
      </c>
      <c r="K284" s="16">
        <f t="shared" si="399"/>
        <v>3.5788590140040932E-2</v>
      </c>
      <c r="L284" s="77">
        <f t="shared" ref="L284" si="620">(I284-I277)/I277</f>
        <v>2.6863510717294592E-2</v>
      </c>
      <c r="M284" s="16" cm="1">
        <f t="array" ref="M284">_xlfn.STDEV.S(_xlfn._xlws.FILTER(F284:F290, ISNUMBER(F284:F290))) / I284</f>
        <v>8.4555071289775553E-3</v>
      </c>
      <c r="N284" s="16" t="str" cm="1">
        <f t="array" ref="N284">_xlfn.LET(
  _xlpm.c, M105,
  IFERROR(
    _xlfn.IFS(_xlpm.c&lt;0.02,"Low Volatility",
        _xlpm.c&gt;0.1,"High Volatility",
        TRUE,"Medium Volatility"),
    "Insufficient data"
  )
)</f>
        <v>Low Volatility</v>
      </c>
      <c r="O284" s="14" t="str">
        <f t="shared" si="429"/>
        <v>Strong Uptrend</v>
      </c>
      <c r="S284" s="131" t="s">
        <v>657</v>
      </c>
      <c r="T284" s="131" t="s">
        <v>1326</v>
      </c>
      <c r="U284" s="131" t="s">
        <v>1327</v>
      </c>
      <c r="V284" s="15">
        <f t="shared" si="573"/>
        <v>46034</v>
      </c>
      <c r="W284" s="60">
        <f t="shared" si="435"/>
        <v>118.08</v>
      </c>
      <c r="X284" s="61">
        <f t="shared" si="436"/>
        <v>7.3900000000000006</v>
      </c>
      <c r="Y284" s="62">
        <f>((W284-MAX(W$16:W284))/MAX(W$16:W284))</f>
        <v>0</v>
      </c>
      <c r="Z284" s="16">
        <f t="shared" si="437"/>
        <v>6.6763031890866395E-2</v>
      </c>
      <c r="AA284" s="153">
        <f t="shared" ref="AA284" si="621">AVERAGEIFS(W284:W290, W284:W290, "&gt;=0")</f>
        <v>124.09142857142858</v>
      </c>
      <c r="AC284" s="16">
        <f t="shared" si="451"/>
        <v>0.12030360531309291</v>
      </c>
      <c r="AD284" s="66">
        <f t="shared" ref="AD284" si="622">(AA284-AA277)/AA277</f>
        <v>0.13578890937381477</v>
      </c>
      <c r="AE284" s="16" cm="1">
        <f t="array" ref="AE284">_xlfn.STDEV.S(_xlfn._xlws.FILTER(X284:X290, ISNUMBER(X284:X290))) / AA284</f>
        <v>3.7814394642234406E-2</v>
      </c>
      <c r="AF284" s="16" t="str">
        <f t="shared" si="618"/>
        <v>Medium Volatility</v>
      </c>
      <c r="AG284" s="14" t="str">
        <f t="shared" si="509"/>
        <v>Strong Uptrend</v>
      </c>
      <c r="AI284" s="131" t="s">
        <v>657</v>
      </c>
      <c r="AJ284" s="131">
        <v>431302</v>
      </c>
      <c r="AK284" s="131">
        <v>431112</v>
      </c>
      <c r="AL284" s="15">
        <f t="shared" si="474"/>
        <v>46034</v>
      </c>
      <c r="AM284" s="60">
        <f t="shared" si="465"/>
        <v>43.111199999999997</v>
      </c>
      <c r="AN284" s="61">
        <f t="shared" si="466"/>
        <v>-1.850000000000307E-2</v>
      </c>
      <c r="AO284" s="62">
        <f>((AM284-MAX(AM$16:AM284))/MAX(AM$16:AM284))</f>
        <v>-4.2893875913820566E-4</v>
      </c>
      <c r="AP284" s="16">
        <f t="shared" si="467"/>
        <v>-4.2893875913820566E-4</v>
      </c>
      <c r="AQ284" s="153">
        <f t="shared" ref="AQ284" si="623">AVERAGEIFS(AM284:AM290, AM284:AM290, "&gt;=0")</f>
        <v>43.206742857142856</v>
      </c>
      <c r="AS284" s="16">
        <f t="shared" si="600"/>
        <v>2.2340991884245267E-3</v>
      </c>
      <c r="AT284" s="77">
        <f t="shared" ref="AT284" si="624">(AQ284-AQ277)/AQ277</f>
        <v>3.113012365153009E-3</v>
      </c>
      <c r="AU284" s="16" cm="1">
        <f t="array" ref="AU284">_xlfn.STDEV.S(_xlfn._xlws.FILTER(AN284:AN290, ISNUMBER(AN284:AN290))) / AQ284</f>
        <v>8.5658846425540802E-4</v>
      </c>
      <c r="AV284" s="16" t="str">
        <f t="shared" ref="AV284" si="625">IF(AU284 &lt; 0.02, "Low Volatility",
 IF(AU284 &gt; 0.1, "High Volatility", "Medium Volatility"))</f>
        <v>Low Volatility</v>
      </c>
      <c r="AW284" s="14" t="str">
        <f t="shared" si="412"/>
        <v>Stable</v>
      </c>
    </row>
    <row r="285" spans="1:49" ht="15.75" hidden="1" thickBot="1">
      <c r="A285" s="131" t="s">
        <v>658</v>
      </c>
      <c r="B285" s="131" t="s">
        <v>955</v>
      </c>
      <c r="C285" s="131" t="s">
        <v>956</v>
      </c>
      <c r="D285" s="15">
        <v>46035</v>
      </c>
      <c r="E285" s="60">
        <f t="shared" si="611"/>
        <v>6363.38</v>
      </c>
      <c r="F285" s="61">
        <f t="shared" si="612"/>
        <v>-4.1199999999998909</v>
      </c>
      <c r="G285" s="62">
        <f>((E285-MAX(E$16:E285))/MAX(E$16:E285))</f>
        <v>-6.4703572830779592E-4</v>
      </c>
      <c r="H285" s="16">
        <f t="shared" si="576"/>
        <v>-6.4703572830779592E-4</v>
      </c>
      <c r="I285" s="153"/>
      <c r="K285" s="16">
        <f t="shared" si="399"/>
        <v>2.3482560178081441E-2</v>
      </c>
      <c r="L285" s="77">
        <f t="shared" ref="L285:N285" si="626">L284</f>
        <v>2.6863510717294592E-2</v>
      </c>
      <c r="M285" s="16">
        <f t="shared" si="626"/>
        <v>8.4555071289775553E-3</v>
      </c>
      <c r="N285" s="16" t="str">
        <f t="shared" si="626"/>
        <v>Low Volatility</v>
      </c>
      <c r="O285" s="14" t="str">
        <f t="shared" si="429"/>
        <v>Strong Uptrend</v>
      </c>
      <c r="S285" s="131" t="s">
        <v>658</v>
      </c>
      <c r="T285" s="131" t="s">
        <v>1327</v>
      </c>
      <c r="U285" s="131" t="s">
        <v>1328</v>
      </c>
      <c r="V285" s="15">
        <f t="shared" si="573"/>
        <v>46035</v>
      </c>
      <c r="W285" s="60">
        <f t="shared" si="435"/>
        <v>120.34</v>
      </c>
      <c r="X285" s="61">
        <f t="shared" si="436"/>
        <v>2.2600000000000051</v>
      </c>
      <c r="Y285" s="62">
        <f>((W285-MAX(W$16:W285))/MAX(W$16:W285))</f>
        <v>0</v>
      </c>
      <c r="Z285" s="16">
        <f t="shared" si="437"/>
        <v>1.9139566395664002E-2</v>
      </c>
      <c r="AA285" s="153"/>
      <c r="AC285" s="16">
        <f t="shared" si="451"/>
        <v>6.9593813883210356E-2</v>
      </c>
      <c r="AD285" s="16">
        <f t="shared" ref="AD285:AF285" si="627">AD284</f>
        <v>0.13578890937381477</v>
      </c>
      <c r="AE285" s="16">
        <f t="shared" si="627"/>
        <v>3.7814394642234406E-2</v>
      </c>
      <c r="AF285" s="16" t="str">
        <f t="shared" si="627"/>
        <v>Medium Volatility</v>
      </c>
      <c r="AG285" s="14" t="str">
        <f t="shared" si="509"/>
        <v>Strong Uptrend</v>
      </c>
      <c r="AI285" s="131" t="s">
        <v>658</v>
      </c>
      <c r="AJ285" s="131">
        <v>431131</v>
      </c>
      <c r="AK285" s="131">
        <v>431528</v>
      </c>
      <c r="AL285" s="15">
        <f t="shared" si="474"/>
        <v>46035</v>
      </c>
      <c r="AM285" s="60">
        <f t="shared" si="465"/>
        <v>43.152799999999999</v>
      </c>
      <c r="AN285" s="61">
        <f t="shared" si="466"/>
        <v>4.1600000000002524E-2</v>
      </c>
      <c r="AO285" s="62">
        <f>((AM285-MAX(AM$16:AM285))/MAX(AM$16:AM285))</f>
        <v>0</v>
      </c>
      <c r="AP285" s="16">
        <f t="shared" si="467"/>
        <v>9.649464640279678E-4</v>
      </c>
      <c r="AQ285" s="153"/>
      <c r="AS285" s="16">
        <f t="shared" si="600"/>
        <v>2.8142044120961622E-3</v>
      </c>
      <c r="AT285" s="77">
        <f t="shared" ref="AT285:AV285" si="628">AT284</f>
        <v>3.113012365153009E-3</v>
      </c>
      <c r="AU285" s="16">
        <f t="shared" si="628"/>
        <v>8.5658846425540802E-4</v>
      </c>
      <c r="AV285" s="16" t="str">
        <f t="shared" si="628"/>
        <v>Low Volatility</v>
      </c>
      <c r="AW285" s="14" t="str">
        <f t="shared" si="412"/>
        <v>Stable</v>
      </c>
    </row>
    <row r="286" spans="1:49" ht="15.75" hidden="1" thickBot="1">
      <c r="A286" s="131" t="s">
        <v>659</v>
      </c>
      <c r="B286" s="131" t="s">
        <v>957</v>
      </c>
      <c r="C286" s="131" t="s">
        <v>958</v>
      </c>
      <c r="D286" s="15">
        <v>46036</v>
      </c>
      <c r="E286" s="60">
        <f t="shared" si="611"/>
        <v>6430.96</v>
      </c>
      <c r="F286" s="61">
        <f t="shared" si="612"/>
        <v>67.579999999999927</v>
      </c>
      <c r="G286" s="62">
        <f>((E286-MAX(E$16:E286))/MAX(E$16:E286))</f>
        <v>0</v>
      </c>
      <c r="H286" s="16">
        <f t="shared" si="576"/>
        <v>1.0620142125725625E-2</v>
      </c>
      <c r="I286" s="153"/>
      <c r="K286" s="16">
        <f t="shared" si="399"/>
        <v>4.4119222888612482E-2</v>
      </c>
      <c r="L286" s="77">
        <f t="shared" ref="L286:N286" si="629">L285</f>
        <v>2.6863510717294592E-2</v>
      </c>
      <c r="M286" s="16">
        <f t="shared" si="629"/>
        <v>8.4555071289775553E-3</v>
      </c>
      <c r="N286" s="16" t="str">
        <f t="shared" si="629"/>
        <v>Low Volatility</v>
      </c>
      <c r="O286" s="14" t="str">
        <f t="shared" si="429"/>
        <v>Strong Uptrend</v>
      </c>
      <c r="S286" s="131" t="s">
        <v>659</v>
      </c>
      <c r="T286" s="131" t="s">
        <v>1329</v>
      </c>
      <c r="U286" s="131" t="s">
        <v>1330</v>
      </c>
      <c r="V286" s="15">
        <f t="shared" si="573"/>
        <v>46036</v>
      </c>
      <c r="W286" s="60">
        <f t="shared" si="435"/>
        <v>129.52000000000001</v>
      </c>
      <c r="X286" s="61">
        <f t="shared" si="436"/>
        <v>9.1800000000000068</v>
      </c>
      <c r="Y286" s="62">
        <f>((W286-MAX(W$16:W286))/MAX(W$16:W286))</f>
        <v>0</v>
      </c>
      <c r="Z286" s="16">
        <f t="shared" si="437"/>
        <v>7.6283862389895346E-2</v>
      </c>
      <c r="AA286" s="153"/>
      <c r="AC286" s="16">
        <f t="shared" si="451"/>
        <v>0.19527500922849769</v>
      </c>
      <c r="AD286" s="16">
        <f t="shared" ref="AD286" si="630">AD284</f>
        <v>0.13578890937381477</v>
      </c>
      <c r="AE286" s="16">
        <f t="shared" ref="AE286:AF286" si="631">AE285</f>
        <v>3.7814394642234406E-2</v>
      </c>
      <c r="AF286" s="16" t="str">
        <f t="shared" si="631"/>
        <v>Medium Volatility</v>
      </c>
      <c r="AG286" s="14" t="str">
        <f t="shared" si="509"/>
        <v>Strong Uptrend</v>
      </c>
      <c r="AI286" s="131" t="s">
        <v>659</v>
      </c>
      <c r="AJ286" s="131">
        <v>431528</v>
      </c>
      <c r="AK286" s="131">
        <v>431739</v>
      </c>
      <c r="AL286" s="15">
        <f t="shared" si="474"/>
        <v>46036</v>
      </c>
      <c r="AM286" s="60">
        <f t="shared" si="465"/>
        <v>43.173900000000003</v>
      </c>
      <c r="AN286" s="61">
        <f t="shared" si="466"/>
        <v>2.1100000000004115E-2</v>
      </c>
      <c r="AO286" s="62">
        <f>((AM286-MAX(AM$16:AM286))/MAX(AM$16:AM286))</f>
        <v>0</v>
      </c>
      <c r="AP286" s="16">
        <f t="shared" si="467"/>
        <v>4.8896016017510135E-4</v>
      </c>
      <c r="AQ286" s="153"/>
      <c r="AS286" s="16">
        <f t="shared" si="600"/>
        <v>3.2462553039211794E-3</v>
      </c>
      <c r="AT286" s="77">
        <f t="shared" ref="AT286:AV286" si="632">AT285</f>
        <v>3.113012365153009E-3</v>
      </c>
      <c r="AU286" s="16">
        <f t="shared" si="632"/>
        <v>8.5658846425540802E-4</v>
      </c>
      <c r="AV286" s="16" t="str">
        <f t="shared" si="632"/>
        <v>Low Volatility</v>
      </c>
      <c r="AW286" s="14" t="str">
        <f t="shared" si="412"/>
        <v>Stable</v>
      </c>
    </row>
    <row r="287" spans="1:49" ht="15.75" hidden="1" thickBot="1">
      <c r="A287" s="131" t="s">
        <v>660</v>
      </c>
      <c r="B287" s="131" t="s">
        <v>959</v>
      </c>
      <c r="C287" s="131" t="s">
        <v>960</v>
      </c>
      <c r="D287" s="15">
        <v>46037</v>
      </c>
      <c r="E287" s="60">
        <f t="shared" si="611"/>
        <v>6394.96</v>
      </c>
      <c r="F287" s="61">
        <f t="shared" si="612"/>
        <v>-36</v>
      </c>
      <c r="G287" s="62">
        <f>((E287-MAX(E$16:E287))/MAX(E$16:E287))</f>
        <v>-5.597920061701519E-3</v>
      </c>
      <c r="H287" s="16">
        <f t="shared" si="576"/>
        <v>-5.597920061701519E-3</v>
      </c>
      <c r="I287" s="153"/>
      <c r="K287" s="16">
        <f t="shared" si="399"/>
        <v>3.230597126959095E-2</v>
      </c>
      <c r="L287" s="77">
        <f t="shared" ref="L287:N287" si="633">L286</f>
        <v>2.6863510717294592E-2</v>
      </c>
      <c r="M287" s="16">
        <f t="shared" si="633"/>
        <v>8.4555071289775553E-3</v>
      </c>
      <c r="N287" s="16" t="str">
        <f t="shared" si="633"/>
        <v>Low Volatility</v>
      </c>
      <c r="O287" s="14" t="str">
        <f t="shared" si="429"/>
        <v>Strong Uptrend</v>
      </c>
      <c r="S287" s="131" t="s">
        <v>660</v>
      </c>
      <c r="T287" s="131" t="s">
        <v>1330</v>
      </c>
      <c r="U287" s="131" t="s">
        <v>1331</v>
      </c>
      <c r="V287" s="15">
        <f t="shared" si="573"/>
        <v>46037</v>
      </c>
      <c r="W287" s="60">
        <f t="shared" si="435"/>
        <v>127.71</v>
      </c>
      <c r="X287" s="61">
        <f t="shared" si="436"/>
        <v>-1.8100000000000165</v>
      </c>
      <c r="Y287" s="62">
        <f>((W287-MAX(W$16:W287))/MAX(W$16:W287))</f>
        <v>-1.3974675725756766E-2</v>
      </c>
      <c r="Z287" s="16">
        <f t="shared" si="437"/>
        <v>-1.3974675725756766E-2</v>
      </c>
      <c r="AA287" s="153"/>
      <c r="AC287" s="16">
        <f t="shared" si="451"/>
        <v>0.19971817754814458</v>
      </c>
      <c r="AD287" s="16">
        <f t="shared" ref="AD287" si="634">AD284</f>
        <v>0.13578890937381477</v>
      </c>
      <c r="AE287" s="16">
        <f t="shared" ref="AE287:AF287" si="635">AE286</f>
        <v>3.7814394642234406E-2</v>
      </c>
      <c r="AF287" s="16" t="str">
        <f t="shared" si="635"/>
        <v>Medium Volatility</v>
      </c>
      <c r="AG287" s="14" t="str">
        <f t="shared" si="509"/>
        <v>Strong Uptrend</v>
      </c>
      <c r="AI287" s="131" t="s">
        <v>660</v>
      </c>
      <c r="AJ287" s="131">
        <v>431737</v>
      </c>
      <c r="AK287" s="131">
        <v>431825</v>
      </c>
      <c r="AL287" s="15">
        <f t="shared" si="474"/>
        <v>46037</v>
      </c>
      <c r="AM287" s="60">
        <f t="shared" si="465"/>
        <v>43.182499999999997</v>
      </c>
      <c r="AN287" s="61">
        <f t="shared" si="466"/>
        <v>8.5999999999941679E-3</v>
      </c>
      <c r="AO287" s="62">
        <f>((AM287-MAX(AM$16:AM287))/MAX(AM$16:AM287))</f>
        <v>0</v>
      </c>
      <c r="AP287" s="16">
        <f t="shared" si="467"/>
        <v>1.9919442070311384E-4</v>
      </c>
      <c r="AQ287" s="153"/>
      <c r="AS287" s="16">
        <f t="shared" si="600"/>
        <v>3.3458415139932468E-3</v>
      </c>
      <c r="AT287" s="77">
        <f t="shared" ref="AT287:AV287" si="636">AT286</f>
        <v>3.113012365153009E-3</v>
      </c>
      <c r="AU287" s="16">
        <f t="shared" si="636"/>
        <v>8.5658846425540802E-4</v>
      </c>
      <c r="AV287" s="16" t="str">
        <f t="shared" si="636"/>
        <v>Low Volatility</v>
      </c>
      <c r="AW287" s="14" t="str">
        <f t="shared" si="412"/>
        <v>Stable</v>
      </c>
    </row>
    <row r="288" spans="1:49" ht="15.75" hidden="1" thickBot="1">
      <c r="A288" s="131" t="s">
        <v>661</v>
      </c>
      <c r="B288" s="131" t="s">
        <v>961</v>
      </c>
      <c r="C288" s="131" t="s">
        <v>962</v>
      </c>
      <c r="D288" s="15">
        <v>46038</v>
      </c>
      <c r="E288" s="60">
        <f t="shared" si="611"/>
        <v>6375.38</v>
      </c>
      <c r="F288" s="61">
        <f t="shared" si="612"/>
        <v>-19.579999999999927</v>
      </c>
      <c r="G288" s="62">
        <f>((E288-MAX(E$16:E288))/MAX(E$16:E288))</f>
        <v>-8.6425665841491674E-3</v>
      </c>
      <c r="H288" s="16">
        <f t="shared" si="576"/>
        <v>-3.0617861565983098E-3</v>
      </c>
      <c r="I288" s="153"/>
      <c r="K288" s="16">
        <f t="shared" ref="K288:K351" si="637">(E288-E281)/E281</f>
        <v>1.9840514448879E-2</v>
      </c>
      <c r="L288" s="77">
        <f t="shared" ref="L288:N288" si="638">L287</f>
        <v>2.6863510717294592E-2</v>
      </c>
      <c r="M288" s="16">
        <f t="shared" si="638"/>
        <v>8.4555071289775553E-3</v>
      </c>
      <c r="N288" s="16" t="str">
        <f t="shared" si="638"/>
        <v>Low Volatility</v>
      </c>
      <c r="O288" s="14" t="str">
        <f t="shared" si="429"/>
        <v>Strong Uptrend</v>
      </c>
      <c r="S288" s="131" t="s">
        <v>661</v>
      </c>
      <c r="T288" s="131" t="s">
        <v>1331</v>
      </c>
      <c r="U288" s="131" t="s">
        <v>1332</v>
      </c>
      <c r="V288" s="15">
        <f t="shared" si="573"/>
        <v>46038</v>
      </c>
      <c r="W288" s="60">
        <f t="shared" si="435"/>
        <v>124.33</v>
      </c>
      <c r="X288" s="61">
        <f t="shared" si="436"/>
        <v>-3.3799999999999955</v>
      </c>
      <c r="Y288" s="62">
        <f>((W288-MAX(W$16:W288))/MAX(W$16:W288))</f>
        <v>-4.0071031500926585E-2</v>
      </c>
      <c r="Z288" s="16">
        <f t="shared" si="437"/>
        <v>-2.6466212512724106E-2</v>
      </c>
      <c r="AA288" s="153"/>
      <c r="AC288" s="16">
        <f t="shared" si="451"/>
        <v>0.12322703044538803</v>
      </c>
      <c r="AD288" s="16">
        <f t="shared" ref="AD288" si="639">AD284</f>
        <v>0.13578890937381477</v>
      </c>
      <c r="AE288" s="16">
        <f t="shared" ref="AE288:AF288" si="640">AE287</f>
        <v>3.7814394642234406E-2</v>
      </c>
      <c r="AF288" s="16" t="str">
        <f t="shared" si="640"/>
        <v>Medium Volatility</v>
      </c>
      <c r="AG288" s="14" t="str">
        <f t="shared" si="509"/>
        <v>Strong Uptrend</v>
      </c>
      <c r="AI288" s="131" t="s">
        <v>661</v>
      </c>
      <c r="AJ288" s="131">
        <v>431822</v>
      </c>
      <c r="AK288" s="131">
        <v>432756</v>
      </c>
      <c r="AL288" s="15">
        <f t="shared" si="474"/>
        <v>46038</v>
      </c>
      <c r="AM288" s="60">
        <f t="shared" si="465"/>
        <v>43.275599999999997</v>
      </c>
      <c r="AN288" s="61">
        <f t="shared" si="466"/>
        <v>9.3099999999999739E-2</v>
      </c>
      <c r="AO288" s="62">
        <f>((AM288-MAX(AM$16:AM288))/MAX(AM$16:AM288))</f>
        <v>0</v>
      </c>
      <c r="AP288" s="16">
        <f t="shared" si="467"/>
        <v>2.1559659584322296E-3</v>
      </c>
      <c r="AQ288" s="153"/>
      <c r="AS288" s="16">
        <f t="shared" si="600"/>
        <v>3.3828197274731213E-3</v>
      </c>
      <c r="AT288" s="77">
        <f t="shared" ref="AT288:AV288" si="641">AT287</f>
        <v>3.113012365153009E-3</v>
      </c>
      <c r="AU288" s="16">
        <f t="shared" si="641"/>
        <v>8.5658846425540802E-4</v>
      </c>
      <c r="AV288" s="16" t="str">
        <f t="shared" si="641"/>
        <v>Low Volatility</v>
      </c>
      <c r="AW288" s="14" t="str">
        <f t="shared" si="412"/>
        <v>Stable</v>
      </c>
    </row>
    <row r="289" spans="1:49" ht="15.75" hidden="1" thickBot="1">
      <c r="A289" s="131" t="s">
        <v>662</v>
      </c>
      <c r="B289" s="131" t="s">
        <v>961</v>
      </c>
      <c r="C289" s="131" t="s">
        <v>962</v>
      </c>
      <c r="D289" s="15">
        <v>46039</v>
      </c>
      <c r="E289" s="60">
        <f t="shared" si="611"/>
        <v>6375.38</v>
      </c>
      <c r="F289" s="61">
        <f t="shared" si="612"/>
        <v>0</v>
      </c>
      <c r="G289" s="62">
        <f>((E289-MAX(E$16:E289))/MAX(E$16:E289))</f>
        <v>-8.6425665841491674E-3</v>
      </c>
      <c r="H289" s="16">
        <f t="shared" si="576"/>
        <v>0</v>
      </c>
      <c r="I289" s="153"/>
      <c r="K289" s="16">
        <f t="shared" si="637"/>
        <v>1.9840514448879E-2</v>
      </c>
      <c r="L289" s="77">
        <f t="shared" ref="L289:N289" si="642">L288</f>
        <v>2.6863510717294592E-2</v>
      </c>
      <c r="M289" s="16">
        <f t="shared" si="642"/>
        <v>8.4555071289775553E-3</v>
      </c>
      <c r="N289" s="16" t="str">
        <f t="shared" si="642"/>
        <v>Low Volatility</v>
      </c>
      <c r="O289" s="14" t="str">
        <f t="shared" si="429"/>
        <v>Strong Uptrend</v>
      </c>
      <c r="S289" s="131" t="s">
        <v>662</v>
      </c>
      <c r="T289" s="131" t="s">
        <v>1331</v>
      </c>
      <c r="U289" s="131" t="s">
        <v>1332</v>
      </c>
      <c r="V289" s="15">
        <f t="shared" si="573"/>
        <v>46039</v>
      </c>
      <c r="W289" s="60">
        <f t="shared" si="435"/>
        <v>124.33</v>
      </c>
      <c r="X289" s="61">
        <f t="shared" si="436"/>
        <v>0</v>
      </c>
      <c r="Y289" s="62">
        <f>((W289-MAX(W$16:W289))/MAX(W$16:W289))</f>
        <v>-4.0071031500926585E-2</v>
      </c>
      <c r="Z289" s="16">
        <f t="shared" si="437"/>
        <v>0</v>
      </c>
      <c r="AA289" s="153"/>
      <c r="AC289" s="16">
        <f t="shared" si="451"/>
        <v>0.12322703044538803</v>
      </c>
      <c r="AD289" s="16">
        <f t="shared" ref="AD289" si="643">AD284</f>
        <v>0.13578890937381477</v>
      </c>
      <c r="AE289" s="16">
        <f t="shared" ref="AE289:AF289" si="644">AE288</f>
        <v>3.7814394642234406E-2</v>
      </c>
      <c r="AF289" s="16" t="str">
        <f t="shared" si="644"/>
        <v>Medium Volatility</v>
      </c>
      <c r="AG289" s="14" t="str">
        <f t="shared" si="509"/>
        <v>Strong Uptrend</v>
      </c>
      <c r="AI289" s="131" t="s">
        <v>662</v>
      </c>
      <c r="AJ289" s="131">
        <v>431822</v>
      </c>
      <c r="AK289" s="131">
        <v>432756</v>
      </c>
      <c r="AL289" s="15">
        <f t="shared" si="474"/>
        <v>46039</v>
      </c>
      <c r="AM289" s="60">
        <f t="shared" si="465"/>
        <v>43.275599999999997</v>
      </c>
      <c r="AN289" s="61">
        <f t="shared" si="466"/>
        <v>0</v>
      </c>
      <c r="AO289" s="62">
        <f>((AM289-MAX(AM$16:AM289))/MAX(AM$16:AM289))</f>
        <v>0</v>
      </c>
      <c r="AP289" s="16">
        <f t="shared" si="467"/>
        <v>0</v>
      </c>
      <c r="AQ289" s="153"/>
      <c r="AS289" s="16">
        <f t="shared" si="600"/>
        <v>3.3828197274731213E-3</v>
      </c>
      <c r="AT289" s="77">
        <f t="shared" ref="AT289:AV289" si="645">AT288</f>
        <v>3.113012365153009E-3</v>
      </c>
      <c r="AU289" s="16">
        <f t="shared" si="645"/>
        <v>8.5658846425540802E-4</v>
      </c>
      <c r="AV289" s="16" t="str">
        <f t="shared" si="645"/>
        <v>Low Volatility</v>
      </c>
      <c r="AW289" s="14" t="str">
        <f t="shared" si="412"/>
        <v>Stable</v>
      </c>
    </row>
    <row r="290" spans="1:49" ht="15.75" hidden="1" thickBot="1">
      <c r="A290" s="131" t="s">
        <v>663</v>
      </c>
      <c r="B290" s="131" t="s">
        <v>961</v>
      </c>
      <c r="C290" s="131" t="s">
        <v>962</v>
      </c>
      <c r="D290" s="15">
        <v>46040</v>
      </c>
      <c r="E290" s="60">
        <f t="shared" si="611"/>
        <v>6375.38</v>
      </c>
      <c r="F290" s="61">
        <f t="shared" si="612"/>
        <v>0</v>
      </c>
      <c r="G290" s="62">
        <f>((E290-MAX(E$16:E290))/MAX(E$16:E290))</f>
        <v>-8.6425665841491674E-3</v>
      </c>
      <c r="H290" s="16">
        <f t="shared" si="576"/>
        <v>0</v>
      </c>
      <c r="I290" s="153"/>
      <c r="K290" s="16">
        <f t="shared" si="637"/>
        <v>1.9840514448879E-2</v>
      </c>
      <c r="L290" s="77">
        <f t="shared" ref="L290:N290" si="646">L289</f>
        <v>2.6863510717294592E-2</v>
      </c>
      <c r="M290" s="16">
        <f t="shared" si="646"/>
        <v>8.4555071289775553E-3</v>
      </c>
      <c r="N290" s="16" t="str">
        <f t="shared" si="646"/>
        <v>Low Volatility</v>
      </c>
      <c r="O290" s="14" t="str">
        <f t="shared" si="429"/>
        <v>Strong Uptrend</v>
      </c>
      <c r="S290" s="131" t="s">
        <v>663</v>
      </c>
      <c r="T290" s="131" t="s">
        <v>1331</v>
      </c>
      <c r="U290" s="131" t="s">
        <v>1332</v>
      </c>
      <c r="V290" s="15">
        <f t="shared" si="573"/>
        <v>46040</v>
      </c>
      <c r="W290" s="60">
        <f t="shared" si="435"/>
        <v>124.33</v>
      </c>
      <c r="X290" s="61">
        <f t="shared" si="436"/>
        <v>0</v>
      </c>
      <c r="Y290" s="62">
        <f>((W290-MAX(W$16:W290))/MAX(W$16:W290))</f>
        <v>-4.0071031500926585E-2</v>
      </c>
      <c r="Z290" s="16">
        <f t="shared" si="437"/>
        <v>0</v>
      </c>
      <c r="AA290" s="153"/>
      <c r="AC290" s="16">
        <f t="shared" si="451"/>
        <v>0.12322703044538803</v>
      </c>
      <c r="AD290" s="16">
        <f t="shared" ref="AD290:AE290" si="647">AD284</f>
        <v>0.13578890937381477</v>
      </c>
      <c r="AE290" s="16">
        <f t="shared" si="647"/>
        <v>3.7814394642234406E-2</v>
      </c>
      <c r="AF290" s="16" t="str">
        <f t="shared" ref="AF290" si="648">IF(AE290 &lt; 0.02, "Low Volatility",
 IF(AE290 &gt; 0.1, "High Volatility", "Medium Volatility"))</f>
        <v>Medium Volatility</v>
      </c>
      <c r="AG290" s="14" t="str">
        <f t="shared" si="509"/>
        <v>Strong Uptrend</v>
      </c>
      <c r="AI290" s="131" t="s">
        <v>663</v>
      </c>
      <c r="AJ290" s="131">
        <v>431822</v>
      </c>
      <c r="AK290" s="131">
        <v>432756</v>
      </c>
      <c r="AL290" s="15">
        <f t="shared" si="474"/>
        <v>46040</v>
      </c>
      <c r="AM290" s="60">
        <f t="shared" si="465"/>
        <v>43.275599999999997</v>
      </c>
      <c r="AN290" s="61">
        <f t="shared" si="466"/>
        <v>0</v>
      </c>
      <c r="AO290" s="62">
        <f>((AM290-MAX(AM$16:AM290))/MAX(AM$16:AM290))</f>
        <v>0</v>
      </c>
      <c r="AP290" s="16">
        <f t="shared" si="467"/>
        <v>0</v>
      </c>
      <c r="AQ290" s="153"/>
      <c r="AS290" s="16">
        <f t="shared" si="600"/>
        <v>3.3828197274731213E-3</v>
      </c>
      <c r="AT290" s="77">
        <f t="shared" ref="AT290:AV290" si="649">AT289</f>
        <v>3.113012365153009E-3</v>
      </c>
      <c r="AU290" s="16">
        <f t="shared" si="649"/>
        <v>8.5658846425540802E-4</v>
      </c>
      <c r="AV290" s="16" t="str">
        <f t="shared" si="649"/>
        <v>Low Volatility</v>
      </c>
      <c r="AW290" s="14" t="str">
        <f t="shared" si="412"/>
        <v>Stable</v>
      </c>
    </row>
    <row r="291" spans="1:49" ht="15.75" hidden="1" thickBot="1">
      <c r="A291" s="131" t="s">
        <v>664</v>
      </c>
      <c r="B291" s="131" t="s">
        <v>963</v>
      </c>
      <c r="C291" s="131" t="s">
        <v>964</v>
      </c>
      <c r="D291" s="15">
        <v>46041</v>
      </c>
      <c r="E291" s="60">
        <f t="shared" si="611"/>
        <v>6496.42</v>
      </c>
      <c r="F291" s="61">
        <f t="shared" si="612"/>
        <v>121.03999999999996</v>
      </c>
      <c r="G291" s="62">
        <f>((E291-MAX(E$16:E291))/MAX(E$16:E291))</f>
        <v>0</v>
      </c>
      <c r="H291" s="16">
        <f t="shared" si="576"/>
        <v>1.8985534979875703E-2</v>
      </c>
      <c r="I291" s="153">
        <f>AVERAGEIFS(E291:E298, E291:E298, "&gt;=0")</f>
        <v>6819.223750000001</v>
      </c>
      <c r="K291" s="16">
        <f t="shared" si="637"/>
        <v>2.0246564585787212E-2</v>
      </c>
      <c r="L291" s="77">
        <f t="shared" ref="L291" si="650">(I291-I284)/I284</f>
        <v>6.5933415345561477E-2</v>
      </c>
      <c r="M291" s="16" cm="1">
        <f t="array" ref="M291">_xlfn.STDEV.S(_xlfn._xlws.FILTER(F291:F297, ISNUMBER(F291:F297))) / I291</f>
        <v>8.2264402304314185E-3</v>
      </c>
      <c r="N291" s="16" t="str" cm="1">
        <f t="array" ref="N291">_xlfn.LET(
  _xlpm.c, M112,
  IFERROR(
    _xlfn.IFS(_xlpm.c&lt;0.02,"Low Volatility",
        _xlpm.c&gt;0.1,"High Volatility",
        TRUE,"Medium Volatility"),
    "Insufficient data"
  )
)</f>
        <v>Low Volatility</v>
      </c>
      <c r="O291" s="14" t="str">
        <f t="shared" si="429"/>
        <v>Strong Uptrend</v>
      </c>
      <c r="S291" s="131" t="s">
        <v>664</v>
      </c>
      <c r="T291" s="131" t="s">
        <v>1333</v>
      </c>
      <c r="U291" s="131" t="s">
        <v>1334</v>
      </c>
      <c r="V291" s="15">
        <f t="shared" si="573"/>
        <v>46041</v>
      </c>
      <c r="W291" s="60">
        <f t="shared" si="435"/>
        <v>131.24</v>
      </c>
      <c r="X291" s="61">
        <f t="shared" si="436"/>
        <v>6.9100000000000108</v>
      </c>
      <c r="Y291" s="62">
        <f>((W291-MAX(W$16:W291))/MAX(W$16:W291))</f>
        <v>0</v>
      </c>
      <c r="Z291" s="16">
        <f t="shared" si="437"/>
        <v>5.5577897530764989E-2</v>
      </c>
      <c r="AA291" s="153">
        <f t="shared" ref="AA291" si="651">AVERAGEIFS(W291:W297, W291:W297, "&gt;=0")</f>
        <v>136.27857142857144</v>
      </c>
      <c r="AC291" s="16">
        <f t="shared" si="451"/>
        <v>0.11144986449864508</v>
      </c>
      <c r="AD291" s="66">
        <f t="shared" ref="AD291" si="652">(AA291-AA284)/AA284</f>
        <v>9.8210996500276301E-2</v>
      </c>
      <c r="AE291" s="16" cm="1">
        <f t="array" ref="AE291">_xlfn.STDEV.S(_xlfn._xlws.FILTER(X291:X297, ISNUMBER(X291:X297))) / AA291</f>
        <v>3.1531214546965294E-2</v>
      </c>
      <c r="AF291" s="16" t="str">
        <f t="shared" ref="AF291:AF296" si="653">AF290</f>
        <v>Medium Volatility</v>
      </c>
      <c r="AG291" s="14" t="str">
        <f t="shared" si="509"/>
        <v>Strong Uptrend</v>
      </c>
      <c r="AI291" s="131" t="s">
        <v>664</v>
      </c>
      <c r="AJ291" s="131">
        <v>432702</v>
      </c>
      <c r="AK291" s="131">
        <v>432572</v>
      </c>
      <c r="AL291" s="15">
        <f t="shared" si="474"/>
        <v>46041</v>
      </c>
      <c r="AM291" s="60">
        <f t="shared" si="465"/>
        <v>43.257199999999997</v>
      </c>
      <c r="AN291" s="61">
        <f t="shared" si="466"/>
        <v>-1.839999999999975E-2</v>
      </c>
      <c r="AO291" s="62">
        <f>((AM291-MAX(AM$16:AM291))/MAX(AM$16:AM291))</f>
        <v>-4.2518185767498893E-4</v>
      </c>
      <c r="AP291" s="16">
        <f t="shared" si="467"/>
        <v>-4.2518185767498893E-4</v>
      </c>
      <c r="AQ291" s="153">
        <f t="shared" ref="AQ291" si="654">AVERAGEIFS(AM291:AM297, AM291:AM297, "&gt;=0")</f>
        <v>43.309985714285709</v>
      </c>
      <c r="AS291" s="16">
        <f t="shared" si="600"/>
        <v>3.3865909554825846E-3</v>
      </c>
      <c r="AT291" s="77">
        <f t="shared" ref="AT291" si="655">(AQ291-AQ284)/AQ284</f>
        <v>2.3895079868485069E-3</v>
      </c>
      <c r="AU291" s="16" cm="1">
        <f t="array" ref="AU291">_xlfn.STDEV.S(_xlfn._xlws.FILTER(AN291:AN297, ISNUMBER(AN291:AN297))) / AQ291</f>
        <v>1.075796213122399E-3</v>
      </c>
      <c r="AV291" s="16" t="str">
        <f t="shared" ref="AV291" si="656">IF(AU291 &lt; 0.02, "Low Volatility",
 IF(AU291 &gt; 0.1, "High Volatility", "Medium Volatility"))</f>
        <v>Low Volatility</v>
      </c>
      <c r="AW291" s="14" t="str">
        <f t="shared" si="412"/>
        <v>Stable</v>
      </c>
    </row>
    <row r="292" spans="1:49" ht="15.75" hidden="1" thickBot="1">
      <c r="A292" s="131" t="s">
        <v>665</v>
      </c>
      <c r="B292" s="131" t="s">
        <v>965</v>
      </c>
      <c r="C292" s="131" t="s">
        <v>966</v>
      </c>
      <c r="D292" s="15">
        <v>46042</v>
      </c>
      <c r="E292" s="60">
        <f t="shared" si="611"/>
        <v>6617.3</v>
      </c>
      <c r="F292" s="61">
        <f t="shared" si="612"/>
        <v>120.88000000000011</v>
      </c>
      <c r="G292" s="62">
        <f>((E292-MAX(E$16:E292))/MAX(E$16:E292))</f>
        <v>0</v>
      </c>
      <c r="H292" s="16">
        <f t="shared" si="576"/>
        <v>1.8607171334365714E-2</v>
      </c>
      <c r="I292" s="153"/>
      <c r="K292" s="16">
        <f t="shared" si="637"/>
        <v>3.9903321819536167E-2</v>
      </c>
      <c r="L292" s="77">
        <f t="shared" ref="L292:N292" si="657">L291</f>
        <v>6.5933415345561477E-2</v>
      </c>
      <c r="M292" s="16">
        <f t="shared" si="657"/>
        <v>8.2264402304314185E-3</v>
      </c>
      <c r="N292" s="16" t="str">
        <f t="shared" si="657"/>
        <v>Low Volatility</v>
      </c>
      <c r="O292" s="14" t="str">
        <f t="shared" si="429"/>
        <v>Strong Uptrend</v>
      </c>
      <c r="S292" s="131" t="s">
        <v>665</v>
      </c>
      <c r="T292" s="131" t="s">
        <v>1335</v>
      </c>
      <c r="U292" s="131" t="s">
        <v>1336</v>
      </c>
      <c r="V292" s="15">
        <f t="shared" si="573"/>
        <v>46042</v>
      </c>
      <c r="W292" s="60">
        <f t="shared" si="435"/>
        <v>131.11000000000001</v>
      </c>
      <c r="X292" s="61">
        <f t="shared" si="436"/>
        <v>-0.12999999999999545</v>
      </c>
      <c r="Y292" s="62">
        <f>((W292-MAX(W$16:W292))/MAX(W$16:W292))</f>
        <v>-9.9055166107890461E-4</v>
      </c>
      <c r="Z292" s="16">
        <f t="shared" si="437"/>
        <v>-9.9055166107890461E-4</v>
      </c>
      <c r="AA292" s="153"/>
      <c r="AC292" s="16">
        <f t="shared" si="451"/>
        <v>8.9496426790759601E-2</v>
      </c>
      <c r="AD292" s="16">
        <f t="shared" ref="AD292" si="658">AD291</f>
        <v>9.8210996500276301E-2</v>
      </c>
      <c r="AE292" s="16">
        <f t="shared" ref="AE292:AE296" si="659">AE291</f>
        <v>3.1531214546965294E-2</v>
      </c>
      <c r="AF292" s="16" t="str">
        <f t="shared" si="653"/>
        <v>Medium Volatility</v>
      </c>
      <c r="AG292" s="14" t="str">
        <f t="shared" si="509"/>
        <v>Strong Uptrend</v>
      </c>
      <c r="AI292" s="131" t="s">
        <v>665</v>
      </c>
      <c r="AJ292" s="131">
        <v>432570</v>
      </c>
      <c r="AK292" s="131">
        <v>432731</v>
      </c>
      <c r="AL292" s="15">
        <f t="shared" si="474"/>
        <v>46042</v>
      </c>
      <c r="AM292" s="60">
        <f t="shared" si="465"/>
        <v>43.273099999999999</v>
      </c>
      <c r="AN292" s="61">
        <f t="shared" si="466"/>
        <v>1.5900000000002024E-2</v>
      </c>
      <c r="AO292" s="62">
        <f>((AM292-MAX(AM$16:AM292))/MAX(AM$16:AM292))</f>
        <v>-5.7769274140571743E-5</v>
      </c>
      <c r="AP292" s="16">
        <f t="shared" si="467"/>
        <v>3.6756886714817475E-4</v>
      </c>
      <c r="AQ292" s="153"/>
      <c r="AS292" s="16">
        <f t="shared" si="600"/>
        <v>2.7877681170167474E-3</v>
      </c>
      <c r="AT292" s="77">
        <f t="shared" ref="AT292:AV292" si="660">AT291</f>
        <v>2.3895079868485069E-3</v>
      </c>
      <c r="AU292" s="16">
        <f t="shared" si="660"/>
        <v>1.075796213122399E-3</v>
      </c>
      <c r="AV292" s="16" t="str">
        <f t="shared" si="660"/>
        <v>Low Volatility</v>
      </c>
      <c r="AW292" s="14" t="str">
        <f t="shared" ref="AW292:AW355" si="661">IF(AND(AS292 &gt; 0.01, AT292 &gt; 0.01), "Strong Uptrend",
 IF(AND(AS292 &lt; -0.01, AT292 &lt; -0.01), "Strong Downtrend",
 IF(ABS(AT292) &lt; 0.005, "Stable", "Weak/Unconfirmed")))</f>
        <v>Stable</v>
      </c>
    </row>
    <row r="293" spans="1:49" ht="15.75" hidden="1" thickBot="1">
      <c r="A293" s="131" t="s">
        <v>666</v>
      </c>
      <c r="B293" s="131" t="s">
        <v>43</v>
      </c>
      <c r="C293" s="131" t="s">
        <v>967</v>
      </c>
      <c r="D293" s="15">
        <v>46043</v>
      </c>
      <c r="E293" s="60">
        <f t="shared" si="611"/>
        <v>6719.15</v>
      </c>
      <c r="F293" s="61">
        <f t="shared" si="612"/>
        <v>101.84999999999945</v>
      </c>
      <c r="G293" s="62">
        <f>((E293-MAX(E$16:E293))/MAX(E$16:E293))</f>
        <v>0</v>
      </c>
      <c r="H293" s="16">
        <f t="shared" si="576"/>
        <v>1.539147386396256E-2</v>
      </c>
      <c r="I293" s="153"/>
      <c r="K293" s="16">
        <f t="shared" si="637"/>
        <v>4.4812905071715516E-2</v>
      </c>
      <c r="L293" s="77">
        <f t="shared" ref="L293:N293" si="662">L292</f>
        <v>6.5933415345561477E-2</v>
      </c>
      <c r="M293" s="16">
        <f t="shared" si="662"/>
        <v>8.2264402304314185E-3</v>
      </c>
      <c r="N293" s="16" t="str">
        <f t="shared" si="662"/>
        <v>Low Volatility</v>
      </c>
      <c r="O293" s="14" t="str">
        <f t="shared" si="429"/>
        <v>Strong Uptrend</v>
      </c>
      <c r="S293" s="131" t="s">
        <v>666</v>
      </c>
      <c r="T293" s="131" t="s">
        <v>1337</v>
      </c>
      <c r="U293" s="131" t="s">
        <v>1338</v>
      </c>
      <c r="V293" s="15">
        <f t="shared" si="573"/>
        <v>46043</v>
      </c>
      <c r="W293" s="60">
        <f t="shared" si="435"/>
        <v>128.97999999999999</v>
      </c>
      <c r="X293" s="61">
        <f t="shared" si="436"/>
        <v>-2.1300000000000239</v>
      </c>
      <c r="Y293" s="62">
        <f>((W293-MAX(W$16:W293))/MAX(W$16:W293))</f>
        <v>-1.7220359646449399E-2</v>
      </c>
      <c r="Z293" s="16">
        <f t="shared" si="437"/>
        <v>-1.6245900388986528E-2</v>
      </c>
      <c r="AA293" s="153"/>
      <c r="AC293" s="16">
        <f t="shared" si="451"/>
        <v>-4.1692402717728571E-3</v>
      </c>
      <c r="AD293" s="16">
        <f t="shared" ref="AD293" si="663">AD291</f>
        <v>9.8210996500276301E-2</v>
      </c>
      <c r="AE293" s="16">
        <f t="shared" si="659"/>
        <v>3.1531214546965294E-2</v>
      </c>
      <c r="AF293" s="16" t="str">
        <f t="shared" si="653"/>
        <v>Medium Volatility</v>
      </c>
      <c r="AG293" s="14" t="str">
        <f t="shared" si="509"/>
        <v>Weak/Unconfirmed</v>
      </c>
      <c r="AI293" s="131" t="s">
        <v>666</v>
      </c>
      <c r="AJ293" s="131">
        <v>432741</v>
      </c>
      <c r="AK293" s="131">
        <v>432949</v>
      </c>
      <c r="AL293" s="15">
        <f t="shared" si="474"/>
        <v>46043</v>
      </c>
      <c r="AM293" s="60">
        <f t="shared" si="465"/>
        <v>43.294899999999998</v>
      </c>
      <c r="AN293" s="61">
        <f t="shared" si="466"/>
        <v>2.1799999999998931E-2</v>
      </c>
      <c r="AO293" s="62">
        <f>((AM293-MAX(AM$16:AM293))/MAX(AM$16:AM293))</f>
        <v>0</v>
      </c>
      <c r="AP293" s="16">
        <f t="shared" si="467"/>
        <v>5.0377717334785198E-4</v>
      </c>
      <c r="AQ293" s="153"/>
      <c r="AS293" s="16">
        <f t="shared" si="600"/>
        <v>2.8026191750107148E-3</v>
      </c>
      <c r="AT293" s="77">
        <f t="shared" ref="AT293:AV293" si="664">AT292</f>
        <v>2.3895079868485069E-3</v>
      </c>
      <c r="AU293" s="16">
        <f t="shared" si="664"/>
        <v>1.075796213122399E-3</v>
      </c>
      <c r="AV293" s="16" t="str">
        <f t="shared" si="664"/>
        <v>Low Volatility</v>
      </c>
      <c r="AW293" s="14" t="str">
        <f t="shared" si="661"/>
        <v>Stable</v>
      </c>
    </row>
    <row r="294" spans="1:49" ht="15.75" hidden="1" thickBot="1">
      <c r="A294" s="131" t="s">
        <v>667</v>
      </c>
      <c r="B294" s="131" t="s">
        <v>968</v>
      </c>
      <c r="C294" s="131" t="s">
        <v>969</v>
      </c>
      <c r="D294" s="15">
        <v>46044</v>
      </c>
      <c r="E294" s="60">
        <f t="shared" si="611"/>
        <v>6837.89</v>
      </c>
      <c r="F294" s="61">
        <f t="shared" si="612"/>
        <v>118.74000000000069</v>
      </c>
      <c r="G294" s="62">
        <f>((E294-MAX(E$16:E294))/MAX(E$16:E294))</f>
        <v>0</v>
      </c>
      <c r="H294" s="16">
        <f t="shared" si="576"/>
        <v>1.7671878139348087E-2</v>
      </c>
      <c r="I294" s="153"/>
      <c r="K294" s="16">
        <f t="shared" si="637"/>
        <v>6.9262356605827136E-2</v>
      </c>
      <c r="L294" s="77">
        <f t="shared" ref="L294:N294" si="665">L293</f>
        <v>6.5933415345561477E-2</v>
      </c>
      <c r="M294" s="16">
        <f t="shared" si="665"/>
        <v>8.2264402304314185E-3</v>
      </c>
      <c r="N294" s="16" t="str">
        <f t="shared" si="665"/>
        <v>Low Volatility</v>
      </c>
      <c r="O294" s="14" t="str">
        <f t="shared" si="429"/>
        <v>Strong Uptrend</v>
      </c>
      <c r="S294" s="131" t="s">
        <v>667</v>
      </c>
      <c r="T294" s="131" t="s">
        <v>1339</v>
      </c>
      <c r="U294" s="131" t="s">
        <v>1340</v>
      </c>
      <c r="V294" s="15">
        <f t="shared" si="573"/>
        <v>46044</v>
      </c>
      <c r="W294" s="60">
        <f t="shared" si="435"/>
        <v>133.71</v>
      </c>
      <c r="X294" s="61">
        <f t="shared" si="436"/>
        <v>4.7300000000000182</v>
      </c>
      <c r="Y294" s="62">
        <f>((W294-MAX(W$16:W294))/MAX(W$16:W294))</f>
        <v>0</v>
      </c>
      <c r="Z294" s="16">
        <f t="shared" si="437"/>
        <v>3.6672352302682731E-2</v>
      </c>
      <c r="AA294" s="153"/>
      <c r="AC294" s="16">
        <f t="shared" si="451"/>
        <v>4.6981442330279656E-2</v>
      </c>
      <c r="AD294" s="16">
        <f t="shared" ref="AD294" si="666">AD291</f>
        <v>9.8210996500276301E-2</v>
      </c>
      <c r="AE294" s="16">
        <f t="shared" si="659"/>
        <v>3.1531214546965294E-2</v>
      </c>
      <c r="AF294" s="16" t="str">
        <f t="shared" si="653"/>
        <v>Medium Volatility</v>
      </c>
      <c r="AG294" s="14" t="str">
        <f t="shared" si="509"/>
        <v>Strong Uptrend</v>
      </c>
      <c r="AI294" s="131" t="s">
        <v>667</v>
      </c>
      <c r="AJ294" s="131">
        <v>432950</v>
      </c>
      <c r="AK294" s="131">
        <v>432557</v>
      </c>
      <c r="AL294" s="15">
        <f t="shared" si="474"/>
        <v>46044</v>
      </c>
      <c r="AM294" s="60">
        <f t="shared" si="465"/>
        <v>43.255699999999997</v>
      </c>
      <c r="AN294" s="61">
        <f t="shared" si="466"/>
        <v>-3.9200000000001012E-2</v>
      </c>
      <c r="AO294" s="62">
        <f>((AM294-MAX(AM$16:AM294))/MAX(AM$16:AM294))</f>
        <v>-9.0541842110735933E-4</v>
      </c>
      <c r="AP294" s="16">
        <f t="shared" si="467"/>
        <v>-9.0541842110735933E-4</v>
      </c>
      <c r="AQ294" s="153"/>
      <c r="AS294" s="16">
        <f t="shared" si="600"/>
        <v>1.69513112950848E-3</v>
      </c>
      <c r="AT294" s="77">
        <f t="shared" ref="AT294:AV294" si="667">AT293</f>
        <v>2.3895079868485069E-3</v>
      </c>
      <c r="AU294" s="16">
        <f t="shared" si="667"/>
        <v>1.075796213122399E-3</v>
      </c>
      <c r="AV294" s="16" t="str">
        <f t="shared" si="667"/>
        <v>Low Volatility</v>
      </c>
      <c r="AW294" s="14" t="str">
        <f t="shared" si="661"/>
        <v>Stable</v>
      </c>
    </row>
    <row r="295" spans="1:49" ht="15.75" hidden="1" thickBot="1">
      <c r="A295" s="131" t="s">
        <v>668</v>
      </c>
      <c r="B295" s="131" t="s">
        <v>969</v>
      </c>
      <c r="C295" s="131" t="s">
        <v>970</v>
      </c>
      <c r="D295" s="15">
        <v>46045</v>
      </c>
      <c r="E295" s="60">
        <f t="shared" si="611"/>
        <v>6945.51</v>
      </c>
      <c r="F295" s="61">
        <f t="shared" si="612"/>
        <v>107.61999999999989</v>
      </c>
      <c r="G295" s="62">
        <f>((E295-MAX(E$16:E295))/MAX(E$16:E295))</f>
        <v>0</v>
      </c>
      <c r="H295" s="16">
        <f t="shared" si="576"/>
        <v>1.573877321805409E-2</v>
      </c>
      <c r="I295" s="153"/>
      <c r="K295" s="16">
        <f t="shared" si="637"/>
        <v>8.9426826322509423E-2</v>
      </c>
      <c r="L295" s="77">
        <f t="shared" ref="L295:N295" si="668">L294</f>
        <v>6.5933415345561477E-2</v>
      </c>
      <c r="M295" s="16">
        <f t="shared" si="668"/>
        <v>8.2264402304314185E-3</v>
      </c>
      <c r="N295" s="16" t="str">
        <f t="shared" si="668"/>
        <v>Low Volatility</v>
      </c>
      <c r="O295" s="14" t="str">
        <f t="shared" si="429"/>
        <v>Strong Uptrend</v>
      </c>
      <c r="S295" s="131" t="s">
        <v>668</v>
      </c>
      <c r="T295" s="131" t="s">
        <v>1341</v>
      </c>
      <c r="U295" s="131" t="s">
        <v>1342</v>
      </c>
      <c r="V295" s="15">
        <f t="shared" si="573"/>
        <v>46045</v>
      </c>
      <c r="W295" s="60">
        <f t="shared" si="435"/>
        <v>142.97</v>
      </c>
      <c r="X295" s="61">
        <f t="shared" si="436"/>
        <v>9.2599999999999909</v>
      </c>
      <c r="Y295" s="62">
        <f>((W295-MAX(W$16:W295))/MAX(W$16:W295))</f>
        <v>0</v>
      </c>
      <c r="Z295" s="16">
        <f t="shared" si="437"/>
        <v>6.9254356443048309E-2</v>
      </c>
      <c r="AA295" s="153"/>
      <c r="AC295" s="16">
        <f t="shared" si="451"/>
        <v>0.14992359044478404</v>
      </c>
      <c r="AD295" s="16">
        <f t="shared" ref="AD295" si="669">AD291</f>
        <v>9.8210996500276301E-2</v>
      </c>
      <c r="AE295" s="16">
        <f t="shared" si="659"/>
        <v>3.1531214546965294E-2</v>
      </c>
      <c r="AF295" s="16" t="str">
        <f t="shared" si="653"/>
        <v>Medium Volatility</v>
      </c>
      <c r="AG295" s="14" t="str">
        <f t="shared" si="509"/>
        <v>Strong Uptrend</v>
      </c>
      <c r="AI295" s="131" t="s">
        <v>668</v>
      </c>
      <c r="AJ295" s="131">
        <v>432557</v>
      </c>
      <c r="AK295" s="131">
        <v>433630</v>
      </c>
      <c r="AL295" s="15">
        <f t="shared" si="474"/>
        <v>46045</v>
      </c>
      <c r="AM295" s="60">
        <f t="shared" si="465"/>
        <v>43.363</v>
      </c>
      <c r="AN295" s="61">
        <f t="shared" si="466"/>
        <v>0.10730000000000217</v>
      </c>
      <c r="AO295" s="62">
        <f>((AM295-MAX(AM$16:AM295))/MAX(AM$16:AM295))</f>
        <v>0</v>
      </c>
      <c r="AP295" s="16">
        <f t="shared" si="467"/>
        <v>2.4805979327580455E-3</v>
      </c>
      <c r="AQ295" s="153"/>
      <c r="AS295" s="16">
        <f t="shared" si="600"/>
        <v>2.0196138239562795E-3</v>
      </c>
      <c r="AT295" s="77">
        <f t="shared" ref="AT295:AV295" si="670">AT294</f>
        <v>2.3895079868485069E-3</v>
      </c>
      <c r="AU295" s="16">
        <f t="shared" si="670"/>
        <v>1.075796213122399E-3</v>
      </c>
      <c r="AV295" s="16" t="str">
        <f t="shared" si="670"/>
        <v>Low Volatility</v>
      </c>
      <c r="AW295" s="14" t="str">
        <f t="shared" si="661"/>
        <v>Stable</v>
      </c>
    </row>
    <row r="296" spans="1:49" ht="15.75" hidden="1" thickBot="1">
      <c r="A296" s="131" t="s">
        <v>669</v>
      </c>
      <c r="B296" s="131" t="s">
        <v>969</v>
      </c>
      <c r="C296" s="131" t="s">
        <v>970</v>
      </c>
      <c r="D296" s="15">
        <v>46046</v>
      </c>
      <c r="E296" s="60">
        <f t="shared" si="611"/>
        <v>6945.51</v>
      </c>
      <c r="F296" s="61">
        <f t="shared" si="612"/>
        <v>0</v>
      </c>
      <c r="G296" s="62">
        <f>((E296-MAX(E$16:E296))/MAX(E$16:E296))</f>
        <v>0</v>
      </c>
      <c r="H296" s="16">
        <f t="shared" si="576"/>
        <v>0</v>
      </c>
      <c r="I296" s="153"/>
      <c r="K296" s="16">
        <f t="shared" si="637"/>
        <v>8.9426826322509423E-2</v>
      </c>
      <c r="L296" s="77">
        <f t="shared" ref="L296:N296" si="671">L295</f>
        <v>6.5933415345561477E-2</v>
      </c>
      <c r="M296" s="16">
        <f t="shared" si="671"/>
        <v>8.2264402304314185E-3</v>
      </c>
      <c r="N296" s="16" t="str">
        <f t="shared" si="671"/>
        <v>Low Volatility</v>
      </c>
      <c r="O296" s="14" t="str">
        <f t="shared" si="429"/>
        <v>Strong Uptrend</v>
      </c>
      <c r="S296" s="131" t="s">
        <v>669</v>
      </c>
      <c r="T296" s="131" t="s">
        <v>1341</v>
      </c>
      <c r="U296" s="131" t="s">
        <v>1342</v>
      </c>
      <c r="V296" s="15">
        <f t="shared" si="573"/>
        <v>46046</v>
      </c>
      <c r="W296" s="60">
        <f t="shared" si="435"/>
        <v>142.97</v>
      </c>
      <c r="X296" s="61">
        <f t="shared" si="436"/>
        <v>0</v>
      </c>
      <c r="Y296" s="62">
        <f>((W296-MAX(W$16:W296))/MAX(W$16:W296))</f>
        <v>0</v>
      </c>
      <c r="Z296" s="16">
        <f t="shared" si="437"/>
        <v>0</v>
      </c>
      <c r="AA296" s="153"/>
      <c r="AC296" s="16">
        <f t="shared" si="451"/>
        <v>0.14992359044478404</v>
      </c>
      <c r="AD296" s="16">
        <f t="shared" ref="AD296" si="672">AD291</f>
        <v>9.8210996500276301E-2</v>
      </c>
      <c r="AE296" s="16">
        <f t="shared" si="659"/>
        <v>3.1531214546965294E-2</v>
      </c>
      <c r="AF296" s="16" t="str">
        <f t="shared" si="653"/>
        <v>Medium Volatility</v>
      </c>
      <c r="AG296" s="14" t="str">
        <f t="shared" si="509"/>
        <v>Strong Uptrend</v>
      </c>
      <c r="AI296" s="131" t="s">
        <v>669</v>
      </c>
      <c r="AJ296" s="131">
        <v>432557</v>
      </c>
      <c r="AK296" s="131">
        <v>433630</v>
      </c>
      <c r="AL296" s="15">
        <f t="shared" si="474"/>
        <v>46046</v>
      </c>
      <c r="AM296" s="60">
        <f t="shared" si="465"/>
        <v>43.363</v>
      </c>
      <c r="AN296" s="61">
        <f t="shared" si="466"/>
        <v>0</v>
      </c>
      <c r="AO296" s="62">
        <f>((AM296-MAX(AM$16:AM296))/MAX(AM$16:AM296))</f>
        <v>0</v>
      </c>
      <c r="AP296" s="16">
        <f t="shared" si="467"/>
        <v>0</v>
      </c>
      <c r="AQ296" s="153"/>
      <c r="AS296" s="16">
        <f t="shared" si="600"/>
        <v>2.0196138239562795E-3</v>
      </c>
      <c r="AT296" s="77">
        <f t="shared" ref="AT296:AV296" si="673">AT295</f>
        <v>2.3895079868485069E-3</v>
      </c>
      <c r="AU296" s="16">
        <f t="shared" si="673"/>
        <v>1.075796213122399E-3</v>
      </c>
      <c r="AV296" s="16" t="str">
        <f t="shared" si="673"/>
        <v>Low Volatility</v>
      </c>
      <c r="AW296" s="14" t="str">
        <f t="shared" si="661"/>
        <v>Stable</v>
      </c>
    </row>
    <row r="297" spans="1:49" ht="15.75" hidden="1" thickBot="1">
      <c r="A297" s="131" t="s">
        <v>670</v>
      </c>
      <c r="B297" s="131" t="s">
        <v>969</v>
      </c>
      <c r="C297" s="131" t="s">
        <v>970</v>
      </c>
      <c r="D297" s="15">
        <v>46047</v>
      </c>
      <c r="E297" s="60">
        <f t="shared" si="611"/>
        <v>6945.51</v>
      </c>
      <c r="F297" s="61">
        <f t="shared" si="612"/>
        <v>0</v>
      </c>
      <c r="G297" s="62">
        <f>((E297-MAX(E$16:E297))/MAX(E$16:E297))</f>
        <v>0</v>
      </c>
      <c r="H297" s="16">
        <f t="shared" si="576"/>
        <v>0</v>
      </c>
      <c r="I297" s="153"/>
      <c r="K297" s="16">
        <f t="shared" si="637"/>
        <v>8.9426826322509423E-2</v>
      </c>
      <c r="L297" s="77">
        <f t="shared" ref="L297:N297" si="674">L296</f>
        <v>6.5933415345561477E-2</v>
      </c>
      <c r="M297" s="16">
        <f t="shared" si="674"/>
        <v>8.2264402304314185E-3</v>
      </c>
      <c r="N297" s="16" t="str">
        <f t="shared" si="674"/>
        <v>Low Volatility</v>
      </c>
      <c r="O297" s="14" t="str">
        <f t="shared" si="429"/>
        <v>Strong Uptrend</v>
      </c>
      <c r="S297" s="131" t="s">
        <v>670</v>
      </c>
      <c r="T297" s="131" t="s">
        <v>1341</v>
      </c>
      <c r="U297" s="131" t="s">
        <v>1342</v>
      </c>
      <c r="V297" s="15">
        <f t="shared" si="573"/>
        <v>46047</v>
      </c>
      <c r="W297" s="60">
        <f t="shared" si="435"/>
        <v>142.97</v>
      </c>
      <c r="X297" s="61">
        <f t="shared" si="436"/>
        <v>0</v>
      </c>
      <c r="Y297" s="62">
        <f>((W297-MAX(W$16:W297))/MAX(W$16:W297))</f>
        <v>0</v>
      </c>
      <c r="Z297" s="16">
        <f t="shared" si="437"/>
        <v>0</v>
      </c>
      <c r="AA297" s="153"/>
      <c r="AC297" s="16">
        <f t="shared" si="451"/>
        <v>0.14992359044478404</v>
      </c>
      <c r="AD297" s="16">
        <f t="shared" ref="AD297:AE297" si="675">AD291</f>
        <v>9.8210996500276301E-2</v>
      </c>
      <c r="AE297" s="16">
        <f t="shared" si="675"/>
        <v>3.1531214546965294E-2</v>
      </c>
      <c r="AF297" s="16" t="str">
        <f t="shared" ref="AF297:AF298" si="676">IF(AE297 &lt; 0.02, "Low Volatility",
 IF(AE297 &gt; 0.1, "High Volatility", "Medium Volatility"))</f>
        <v>Medium Volatility</v>
      </c>
      <c r="AG297" s="14" t="str">
        <f t="shared" si="509"/>
        <v>Strong Uptrend</v>
      </c>
      <c r="AI297" s="131" t="s">
        <v>670</v>
      </c>
      <c r="AJ297" s="131">
        <v>432557</v>
      </c>
      <c r="AK297" s="131">
        <v>433630</v>
      </c>
      <c r="AL297" s="15">
        <f t="shared" si="474"/>
        <v>46047</v>
      </c>
      <c r="AM297" s="60">
        <f t="shared" si="465"/>
        <v>43.363</v>
      </c>
      <c r="AN297" s="61">
        <f t="shared" si="466"/>
        <v>0</v>
      </c>
      <c r="AO297" s="62">
        <f>((AM297-MAX(AM$16:AM297))/MAX(AM$16:AM297))</f>
        <v>0</v>
      </c>
      <c r="AP297" s="16">
        <f t="shared" si="467"/>
        <v>0</v>
      </c>
      <c r="AQ297" s="153"/>
      <c r="AS297" s="16">
        <f t="shared" si="600"/>
        <v>2.0196138239562795E-3</v>
      </c>
      <c r="AT297" s="77">
        <f t="shared" ref="AT297:AV297" si="677">AT296</f>
        <v>2.3895079868485069E-3</v>
      </c>
      <c r="AU297" s="16">
        <f t="shared" si="677"/>
        <v>1.075796213122399E-3</v>
      </c>
      <c r="AV297" s="16" t="str">
        <f t="shared" si="677"/>
        <v>Low Volatility</v>
      </c>
      <c r="AW297" s="14" t="str">
        <f t="shared" si="661"/>
        <v>Stable</v>
      </c>
    </row>
    <row r="298" spans="1:49" ht="15.75" hidden="1" thickBot="1">
      <c r="A298" s="131" t="s">
        <v>671</v>
      </c>
      <c r="B298" s="131" t="s">
        <v>971</v>
      </c>
      <c r="C298" s="131" t="s">
        <v>972</v>
      </c>
      <c r="D298" s="15">
        <v>46048</v>
      </c>
      <c r="E298" s="60">
        <f t="shared" si="611"/>
        <v>7046.5</v>
      </c>
      <c r="F298" s="61">
        <f t="shared" si="612"/>
        <v>100.98999999999978</v>
      </c>
      <c r="G298" s="62">
        <f>((E298-MAX(E$16:E298))/MAX(E$16:E298))</f>
        <v>0</v>
      </c>
      <c r="H298" s="16">
        <f t="shared" si="576"/>
        <v>1.4540328931928652E-2</v>
      </c>
      <c r="I298" s="153">
        <f>AVERAGEIFS(E298:E305, E298:E305, "&gt;=0")</f>
        <v>7022.4962499999992</v>
      </c>
      <c r="K298" s="16">
        <f t="shared" si="637"/>
        <v>8.4674328322368306E-2</v>
      </c>
      <c r="L298" s="77">
        <f t="shared" ref="L298" si="678">(I298-I291)/I291</f>
        <v>2.9808744726993037E-2</v>
      </c>
      <c r="M298" s="16" cm="1">
        <f t="array" ref="M298">_xlfn.STDEV.S(_xlfn._xlws.FILTER(F298:F304, ISNUMBER(F298:F304))) / I298</f>
        <v>4.744431647074341E-2</v>
      </c>
      <c r="N298" s="16" t="str" cm="1">
        <f t="array" ref="N298">_xlfn.LET(
  _xlpm.c, M119,
  IFERROR(
    _xlfn.IFS(_xlpm.c&lt;0.02,"Low Volatility",
        _xlpm.c&gt;0.1,"High Volatility",
        TRUE,"Medium Volatility"),
    "Insufficient data"
  )
)</f>
        <v>Low Volatility</v>
      </c>
      <c r="O298" s="14" t="str">
        <f t="shared" si="429"/>
        <v>Strong Uptrend</v>
      </c>
      <c r="S298" s="131" t="s">
        <v>671</v>
      </c>
      <c r="T298" s="131" t="s">
        <v>1343</v>
      </c>
      <c r="U298" s="131" t="s">
        <v>1344</v>
      </c>
      <c r="V298" s="15">
        <f t="shared" si="573"/>
        <v>46048</v>
      </c>
      <c r="W298" s="60">
        <f t="shared" si="435"/>
        <v>151.33000000000001</v>
      </c>
      <c r="X298" s="61">
        <f t="shared" si="436"/>
        <v>8.3600000000000136</v>
      </c>
      <c r="Y298" s="62">
        <f>((W298-MAX(W$16:W298))/MAX(W$16:W298))</f>
        <v>0</v>
      </c>
      <c r="Z298" s="16">
        <f t="shared" si="437"/>
        <v>5.8473805693502232E-2</v>
      </c>
      <c r="AA298" s="153">
        <f t="shared" ref="AA298" si="679">AVERAGEIFS(W298:W304, W298:W304, "&gt;=0")</f>
        <v>140.36714285714285</v>
      </c>
      <c r="AC298" s="16">
        <f t="shared" si="451"/>
        <v>0.15307832977750688</v>
      </c>
      <c r="AD298" s="66">
        <f t="shared" ref="AD298" si="680">(AA298-AA291)/AA291</f>
        <v>3.0001572409455307E-2</v>
      </c>
      <c r="AE298" s="16" cm="1">
        <f t="array" ref="AE298">_xlfn.STDEV.S(_xlfn._xlws.FILTER(X298:X304, ISNUMBER(X298:X304))) / AA298</f>
        <v>0.13509428047083955</v>
      </c>
      <c r="AF298" s="16" t="str">
        <f t="shared" si="676"/>
        <v>High Volatility</v>
      </c>
      <c r="AG298" s="14" t="str">
        <f t="shared" si="509"/>
        <v>Strong Uptrend</v>
      </c>
      <c r="AI298" s="131" t="s">
        <v>671</v>
      </c>
      <c r="AJ298" s="131">
        <v>433696</v>
      </c>
      <c r="AK298" s="131">
        <v>433512</v>
      </c>
      <c r="AL298" s="15">
        <f t="shared" si="474"/>
        <v>46048</v>
      </c>
      <c r="AM298" s="60">
        <f t="shared" si="465"/>
        <v>43.351199999999999</v>
      </c>
      <c r="AN298" s="61">
        <f t="shared" si="466"/>
        <v>-1.1800000000000921E-2</v>
      </c>
      <c r="AO298" s="62">
        <f>((AM298-MAX(AM$16:AM298))/MAX(AM$16:AM298))</f>
        <v>-2.7212139381502481E-4</v>
      </c>
      <c r="AP298" s="16">
        <f t="shared" si="467"/>
        <v>-2.7212139381502481E-4</v>
      </c>
      <c r="AQ298" s="153">
        <f t="shared" ref="AQ298" si="681">AVERAGEIFS(AM298:AM304, AM298:AM304, "&gt;=0")</f>
        <v>43.431800000000003</v>
      </c>
      <c r="AS298" s="16">
        <f t="shared" si="600"/>
        <v>2.1730486485487086E-3</v>
      </c>
      <c r="AT298" s="77">
        <f t="shared" ref="AT298" si="682">(AQ298-AQ291)/AQ291</f>
        <v>2.8126143129646301E-3</v>
      </c>
      <c r="AU298" s="16" cm="1">
        <f t="array" ref="AU298">_xlfn.STDEV.S(_xlfn._xlws.FILTER(AN298:AN304, ISNUMBER(AN298:AN304))) / AQ298</f>
        <v>7.9542783357765723E-4</v>
      </c>
      <c r="AV298" s="16" t="str">
        <f t="shared" ref="AV298" si="683">IF(AU298 &lt; 0.02, "Low Volatility",
 IF(AU298 &gt; 0.1, "High Volatility", "Medium Volatility"))</f>
        <v>Low Volatility</v>
      </c>
      <c r="AW298" s="14" t="str">
        <f t="shared" si="661"/>
        <v>Stable</v>
      </c>
    </row>
    <row r="299" spans="1:49" ht="15.75" hidden="1" thickBot="1">
      <c r="A299" s="131" t="s">
        <v>672</v>
      </c>
      <c r="B299" s="131" t="s">
        <v>973</v>
      </c>
      <c r="C299" s="131" t="s">
        <v>974</v>
      </c>
      <c r="D299" s="15">
        <v>46049</v>
      </c>
      <c r="E299" s="60">
        <f t="shared" si="611"/>
        <v>7227.4</v>
      </c>
      <c r="F299" s="61">
        <f t="shared" si="612"/>
        <v>180.89999999999964</v>
      </c>
      <c r="G299" s="62">
        <f>((E299-MAX(E$16:E299))/MAX(E$16:E299))</f>
        <v>0</v>
      </c>
      <c r="H299" s="16">
        <f t="shared" si="576"/>
        <v>2.5672319591286404E-2</v>
      </c>
      <c r="I299" s="153"/>
      <c r="K299" s="16">
        <f t="shared" si="637"/>
        <v>9.2197724147310756E-2</v>
      </c>
      <c r="L299" s="77">
        <f t="shared" ref="L299:N299" si="684">L298</f>
        <v>2.9808744726993037E-2</v>
      </c>
      <c r="M299" s="16">
        <f t="shared" si="684"/>
        <v>4.744431647074341E-2</v>
      </c>
      <c r="N299" s="16" t="str">
        <f t="shared" si="684"/>
        <v>Low Volatility</v>
      </c>
      <c r="O299" s="14" t="str">
        <f t="shared" ref="O299:O362" si="685">IF(AND(K299 &gt; 0.01, L299 &gt; 0.01), "Strong Uptrend",
 IF(AND(K299 &lt; -0.01, L299 &lt; -0.01), "Strong Downtrend",
 IF(ABS(L299) &lt; 0.005, "Stable", "Weak/Unconfirmed")))</f>
        <v>Strong Uptrend</v>
      </c>
      <c r="S299" s="131" t="s">
        <v>672</v>
      </c>
      <c r="T299" s="131" t="s">
        <v>1345</v>
      </c>
      <c r="U299" s="131" t="s">
        <v>1346</v>
      </c>
      <c r="V299" s="15">
        <f t="shared" si="573"/>
        <v>46049</v>
      </c>
      <c r="W299" s="60">
        <f t="shared" si="435"/>
        <v>156.58000000000001</v>
      </c>
      <c r="X299" s="61">
        <f t="shared" si="436"/>
        <v>5.25</v>
      </c>
      <c r="Y299" s="62">
        <f>((W299-MAX(W$16:W299))/MAX(W$16:W299))</f>
        <v>0</v>
      </c>
      <c r="Z299" s="16">
        <f t="shared" si="437"/>
        <v>3.4692394105597039E-2</v>
      </c>
      <c r="AA299" s="153"/>
      <c r="AC299" s="16">
        <f t="shared" si="451"/>
        <v>0.19426435817252685</v>
      </c>
      <c r="AD299" s="16">
        <f t="shared" ref="AD299:AF303" si="686">AD298</f>
        <v>3.0001572409455307E-2</v>
      </c>
      <c r="AE299" s="16">
        <f t="shared" si="686"/>
        <v>0.13509428047083955</v>
      </c>
      <c r="AF299" s="16" t="str">
        <f t="shared" si="686"/>
        <v>High Volatility</v>
      </c>
      <c r="AG299" s="14" t="str">
        <f t="shared" si="509"/>
        <v>Strong Uptrend</v>
      </c>
      <c r="AI299" s="131" t="s">
        <v>672</v>
      </c>
      <c r="AJ299" s="131">
        <v>433514</v>
      </c>
      <c r="AK299" s="131">
        <v>434006</v>
      </c>
      <c r="AL299" s="15">
        <f t="shared" si="474"/>
        <v>46049</v>
      </c>
      <c r="AM299" s="60">
        <f t="shared" si="465"/>
        <v>43.400599999999997</v>
      </c>
      <c r="AN299" s="61">
        <f t="shared" si="466"/>
        <v>4.9399999999998556E-2</v>
      </c>
      <c r="AO299" s="62">
        <f>((AM299-MAX(AM$16:AM299))/MAX(AM$16:AM299))</f>
        <v>0</v>
      </c>
      <c r="AP299" s="16">
        <f t="shared" si="467"/>
        <v>1.1395301629481666E-3</v>
      </c>
      <c r="AQ299" s="153"/>
      <c r="AS299" s="16">
        <f t="shared" si="600"/>
        <v>2.9464031927455563E-3</v>
      </c>
      <c r="AT299" s="77">
        <f t="shared" ref="AT299:AV299" si="687">AT298</f>
        <v>2.8126143129646301E-3</v>
      </c>
      <c r="AU299" s="16">
        <f t="shared" si="687"/>
        <v>7.9542783357765723E-4</v>
      </c>
      <c r="AV299" s="16" t="str">
        <f t="shared" si="687"/>
        <v>Low Volatility</v>
      </c>
      <c r="AW299" s="14" t="str">
        <f t="shared" si="661"/>
        <v>Stable</v>
      </c>
    </row>
    <row r="300" spans="1:49" ht="15.75" hidden="1" thickBot="1">
      <c r="A300" s="131" t="s">
        <v>673</v>
      </c>
      <c r="B300" s="131" t="s">
        <v>975</v>
      </c>
      <c r="C300" s="131" t="s">
        <v>976</v>
      </c>
      <c r="D300" s="15">
        <v>46050</v>
      </c>
      <c r="E300" s="60">
        <f t="shared" si="611"/>
        <v>7502.59</v>
      </c>
      <c r="F300" s="61">
        <f t="shared" si="612"/>
        <v>275.19000000000051</v>
      </c>
      <c r="G300" s="62">
        <f>((E300-MAX(E$16:E300))/MAX(E$16:E300))</f>
        <v>0</v>
      </c>
      <c r="H300" s="16">
        <f t="shared" si="576"/>
        <v>3.8075933254005663E-2</v>
      </c>
      <c r="I300" s="153"/>
      <c r="K300" s="16">
        <f t="shared" si="637"/>
        <v>0.11659808160258374</v>
      </c>
      <c r="L300" s="77">
        <f t="shared" ref="L300:N300" si="688">L299</f>
        <v>2.9808744726993037E-2</v>
      </c>
      <c r="M300" s="16">
        <f t="shared" si="688"/>
        <v>4.744431647074341E-2</v>
      </c>
      <c r="N300" s="16" t="str">
        <f t="shared" si="688"/>
        <v>Low Volatility</v>
      </c>
      <c r="O300" s="14" t="str">
        <f t="shared" si="685"/>
        <v>Strong Uptrend</v>
      </c>
      <c r="S300" s="131" t="s">
        <v>673</v>
      </c>
      <c r="T300" s="131" t="s">
        <v>1347</v>
      </c>
      <c r="U300" s="131" t="s">
        <v>1348</v>
      </c>
      <c r="V300" s="15">
        <f t="shared" si="573"/>
        <v>46050</v>
      </c>
      <c r="W300" s="60">
        <f t="shared" ref="W300:W363" si="689">VALUE(SUBSTITUTE(SUBSTITUTE(U300, ".", ""), ",", "."))</f>
        <v>162.57</v>
      </c>
      <c r="X300" s="61">
        <f t="shared" ref="X300:X363" si="690">W300-W299</f>
        <v>5.9899999999999807</v>
      </c>
      <c r="Y300" s="62">
        <f>((W300-MAX(W$16:W300))/MAX(W$16:W300))</f>
        <v>0</v>
      </c>
      <c r="Z300" s="16">
        <f t="shared" ref="Z300:Z363" si="691">(W300-W299)/W299</f>
        <v>3.8255205007025034E-2</v>
      </c>
      <c r="AA300" s="153"/>
      <c r="AC300" s="16">
        <f t="shared" si="451"/>
        <v>0.26042797332919837</v>
      </c>
      <c r="AD300" s="16">
        <f t="shared" ref="AD300" si="692">AD298</f>
        <v>3.0001572409455307E-2</v>
      </c>
      <c r="AE300" s="16">
        <f t="shared" si="686"/>
        <v>0.13509428047083955</v>
      </c>
      <c r="AF300" s="16" t="str">
        <f t="shared" si="686"/>
        <v>High Volatility</v>
      </c>
      <c r="AG300" s="14" t="str">
        <f t="shared" si="509"/>
        <v>Strong Uptrend</v>
      </c>
      <c r="AI300" s="131" t="s">
        <v>673</v>
      </c>
      <c r="AJ300" s="131">
        <v>434013</v>
      </c>
      <c r="AK300" s="131">
        <v>433978</v>
      </c>
      <c r="AL300" s="15">
        <f t="shared" si="474"/>
        <v>46050</v>
      </c>
      <c r="AM300" s="60">
        <f t="shared" si="465"/>
        <v>43.397799999999997</v>
      </c>
      <c r="AN300" s="61">
        <f t="shared" si="466"/>
        <v>-2.8000000000005798E-3</v>
      </c>
      <c r="AO300" s="62">
        <f>((AM300-MAX(AM$16:AM300))/MAX(AM$16:AM300))</f>
        <v>-6.4515237116550924E-5</v>
      </c>
      <c r="AP300" s="16">
        <f t="shared" si="467"/>
        <v>-6.4515237116550924E-5</v>
      </c>
      <c r="AQ300" s="153"/>
      <c r="AS300" s="16">
        <f t="shared" si="600"/>
        <v>2.3767233554067156E-3</v>
      </c>
      <c r="AT300" s="77">
        <f t="shared" ref="AT300:AV300" si="693">AT299</f>
        <v>2.8126143129646301E-3</v>
      </c>
      <c r="AU300" s="16">
        <f t="shared" si="693"/>
        <v>7.9542783357765723E-4</v>
      </c>
      <c r="AV300" s="16" t="str">
        <f t="shared" si="693"/>
        <v>Low Volatility</v>
      </c>
      <c r="AW300" s="14" t="str">
        <f t="shared" si="661"/>
        <v>Stable</v>
      </c>
    </row>
    <row r="301" spans="1:49" ht="15.75" hidden="1" thickBot="1">
      <c r="A301" s="131" t="s">
        <v>674</v>
      </c>
      <c r="B301" s="131" t="s">
        <v>977</v>
      </c>
      <c r="C301" s="131" t="s">
        <v>978</v>
      </c>
      <c r="D301" s="15">
        <v>46051</v>
      </c>
      <c r="E301" s="60">
        <f t="shared" si="611"/>
        <v>7530.65</v>
      </c>
      <c r="F301" s="61">
        <f t="shared" si="612"/>
        <v>28.059999999999491</v>
      </c>
      <c r="G301" s="62">
        <f>((E301-MAX(E$16:E301))/MAX(E$16:E301))</f>
        <v>0</v>
      </c>
      <c r="H301" s="16">
        <f t="shared" si="576"/>
        <v>3.7400417722412514E-3</v>
      </c>
      <c r="I301" s="153"/>
      <c r="K301" s="16">
        <f t="shared" si="637"/>
        <v>0.10131195441868752</v>
      </c>
      <c r="L301" s="77">
        <f t="shared" ref="L301:N301" si="694">L300</f>
        <v>2.9808744726993037E-2</v>
      </c>
      <c r="M301" s="16">
        <f t="shared" si="694"/>
        <v>4.744431647074341E-2</v>
      </c>
      <c r="N301" s="16" t="str">
        <f t="shared" si="694"/>
        <v>Low Volatility</v>
      </c>
      <c r="O301" s="14" t="str">
        <f t="shared" si="685"/>
        <v>Strong Uptrend</v>
      </c>
      <c r="S301" s="131" t="s">
        <v>674</v>
      </c>
      <c r="T301" s="131" t="s">
        <v>43</v>
      </c>
      <c r="U301" s="131" t="s">
        <v>1349</v>
      </c>
      <c r="V301" s="15">
        <f t="shared" si="573"/>
        <v>46051</v>
      </c>
      <c r="W301" s="60">
        <f t="shared" si="689"/>
        <v>162.59</v>
      </c>
      <c r="X301" s="61">
        <f t="shared" si="690"/>
        <v>2.0000000000010232E-2</v>
      </c>
      <c r="Y301" s="62">
        <f>((W301-MAX(W$16:W301))/MAX(W$16:W301))</f>
        <v>0</v>
      </c>
      <c r="Z301" s="16">
        <f t="shared" si="691"/>
        <v>1.230239281540889E-4</v>
      </c>
      <c r="AA301" s="153"/>
      <c r="AC301" s="16">
        <f t="shared" si="451"/>
        <v>0.21598982873382688</v>
      </c>
      <c r="AD301" s="16">
        <f t="shared" ref="AD301" si="695">AD298</f>
        <v>3.0001572409455307E-2</v>
      </c>
      <c r="AE301" s="16">
        <f t="shared" si="686"/>
        <v>0.13509428047083955</v>
      </c>
      <c r="AF301" s="16" t="str">
        <f t="shared" si="686"/>
        <v>High Volatility</v>
      </c>
      <c r="AG301" s="14" t="str">
        <f t="shared" si="509"/>
        <v>Strong Uptrend</v>
      </c>
      <c r="AI301" s="131" t="s">
        <v>674</v>
      </c>
      <c r="AJ301" s="131">
        <v>433976</v>
      </c>
      <c r="AK301" s="131">
        <v>434066</v>
      </c>
      <c r="AL301" s="15">
        <f t="shared" si="474"/>
        <v>46051</v>
      </c>
      <c r="AM301" s="60">
        <f t="shared" si="465"/>
        <v>43.406599999999997</v>
      </c>
      <c r="AN301" s="61">
        <f t="shared" si="466"/>
        <v>8.8000000000008072E-3</v>
      </c>
      <c r="AO301" s="62">
        <f>((AM301-MAX(AM$16:AM301))/MAX(AM$16:AM301))</f>
        <v>0</v>
      </c>
      <c r="AP301" s="16">
        <f t="shared" si="467"/>
        <v>2.0277525588856596E-4</v>
      </c>
      <c r="AQ301" s="153"/>
      <c r="AS301" s="16">
        <f t="shared" si="600"/>
        <v>3.4885575773828661E-3</v>
      </c>
      <c r="AT301" s="77">
        <f t="shared" ref="AT301:AV301" si="696">AT300</f>
        <v>2.8126143129646301E-3</v>
      </c>
      <c r="AU301" s="16">
        <f t="shared" si="696"/>
        <v>7.9542783357765723E-4</v>
      </c>
      <c r="AV301" s="16" t="str">
        <f t="shared" si="696"/>
        <v>Low Volatility</v>
      </c>
      <c r="AW301" s="14" t="str">
        <f t="shared" si="661"/>
        <v>Stable</v>
      </c>
    </row>
    <row r="302" spans="1:49" ht="15.75" hidden="1" thickBot="1">
      <c r="A302" s="131" t="s">
        <v>675</v>
      </c>
      <c r="B302" s="131" t="s">
        <v>979</v>
      </c>
      <c r="C302" s="131" t="s">
        <v>980</v>
      </c>
      <c r="D302" s="15">
        <v>46052</v>
      </c>
      <c r="E302" s="60">
        <f t="shared" si="611"/>
        <v>6788.96</v>
      </c>
      <c r="F302" s="61">
        <f t="shared" si="612"/>
        <v>-741.6899999999996</v>
      </c>
      <c r="G302" s="62">
        <f>((E302-MAX(E$16:E302))/MAX(E$16:E302))</f>
        <v>-9.8489506217922712E-2</v>
      </c>
      <c r="H302" s="16">
        <f t="shared" si="576"/>
        <v>-9.8489506217922712E-2</v>
      </c>
      <c r="I302" s="153"/>
      <c r="K302" s="16">
        <f t="shared" si="637"/>
        <v>-2.2539741502063948E-2</v>
      </c>
      <c r="L302" s="77">
        <f t="shared" ref="L302:N302" si="697">L301</f>
        <v>2.9808744726993037E-2</v>
      </c>
      <c r="M302" s="16">
        <f t="shared" si="697"/>
        <v>4.744431647074341E-2</v>
      </c>
      <c r="N302" s="16" t="str">
        <f t="shared" si="697"/>
        <v>Low Volatility</v>
      </c>
      <c r="O302" s="14" t="str">
        <f t="shared" si="685"/>
        <v>Weak/Unconfirmed</v>
      </c>
      <c r="S302" s="131" t="s">
        <v>675</v>
      </c>
      <c r="T302" s="131" t="s">
        <v>1350</v>
      </c>
      <c r="U302" s="131" t="s">
        <v>1351</v>
      </c>
      <c r="V302" s="15">
        <f t="shared" si="573"/>
        <v>46052</v>
      </c>
      <c r="W302" s="60">
        <f t="shared" si="689"/>
        <v>116.5</v>
      </c>
      <c r="X302" s="61">
        <f t="shared" si="690"/>
        <v>-46.09</v>
      </c>
      <c r="Y302" s="62">
        <f>((W302-MAX(W$16:W302))/MAX(W$16:W302))</f>
        <v>-0.28347376837443877</v>
      </c>
      <c r="Z302" s="16">
        <f t="shared" si="691"/>
        <v>-0.28347376837443877</v>
      </c>
      <c r="AA302" s="153"/>
      <c r="AC302" s="16">
        <f t="shared" si="451"/>
        <v>-0.18514373644820592</v>
      </c>
      <c r="AD302" s="16">
        <f t="shared" ref="AD302" si="698">AD298</f>
        <v>3.0001572409455307E-2</v>
      </c>
      <c r="AE302" s="16">
        <f t="shared" si="686"/>
        <v>0.13509428047083955</v>
      </c>
      <c r="AF302" s="16" t="str">
        <f t="shared" si="686"/>
        <v>High Volatility</v>
      </c>
      <c r="AG302" s="14" t="str">
        <f t="shared" si="509"/>
        <v>Weak/Unconfirmed</v>
      </c>
      <c r="AI302" s="131" t="s">
        <v>675</v>
      </c>
      <c r="AJ302" s="131">
        <v>434062</v>
      </c>
      <c r="AK302" s="131">
        <v>434888</v>
      </c>
      <c r="AL302" s="15">
        <f t="shared" si="474"/>
        <v>46052</v>
      </c>
      <c r="AM302" s="60">
        <f t="shared" si="465"/>
        <v>43.488799999999998</v>
      </c>
      <c r="AN302" s="61">
        <f t="shared" si="466"/>
        <v>8.2200000000000273E-2</v>
      </c>
      <c r="AO302" s="62">
        <f>((AM302-MAX(AM$16:AM302))/MAX(AM$16:AM302))</f>
        <v>0</v>
      </c>
      <c r="AP302" s="16">
        <f t="shared" si="467"/>
        <v>1.8937212313334902E-3</v>
      </c>
      <c r="AQ302" s="153"/>
      <c r="AS302" s="16">
        <f t="shared" si="600"/>
        <v>2.901090791688724E-3</v>
      </c>
      <c r="AT302" s="77">
        <f t="shared" ref="AT302:AV302" si="699">AT301</f>
        <v>2.8126143129646301E-3</v>
      </c>
      <c r="AU302" s="16">
        <f t="shared" si="699"/>
        <v>7.9542783357765723E-4</v>
      </c>
      <c r="AV302" s="16" t="str">
        <f t="shared" si="699"/>
        <v>Low Volatility</v>
      </c>
      <c r="AW302" s="14" t="str">
        <f t="shared" si="661"/>
        <v>Stable</v>
      </c>
    </row>
    <row r="303" spans="1:49" ht="15.75" hidden="1" thickBot="1">
      <c r="A303" s="131" t="s">
        <v>676</v>
      </c>
      <c r="B303" s="131" t="s">
        <v>979</v>
      </c>
      <c r="C303" s="131" t="s">
        <v>980</v>
      </c>
      <c r="D303" s="15">
        <v>46053</v>
      </c>
      <c r="E303" s="60">
        <f t="shared" si="611"/>
        <v>6788.96</v>
      </c>
      <c r="F303" s="61">
        <f t="shared" si="612"/>
        <v>0</v>
      </c>
      <c r="G303" s="62">
        <f>((E303-MAX(E$16:E303))/MAX(E$16:E303))</f>
        <v>-9.8489506217922712E-2</v>
      </c>
      <c r="H303" s="16">
        <f t="shared" si="576"/>
        <v>0</v>
      </c>
      <c r="I303" s="153"/>
      <c r="K303" s="16">
        <f t="shared" si="637"/>
        <v>-2.2539741502063948E-2</v>
      </c>
      <c r="L303" s="77">
        <f t="shared" ref="L303:N303" si="700">L302</f>
        <v>2.9808744726993037E-2</v>
      </c>
      <c r="M303" s="16">
        <f t="shared" si="700"/>
        <v>4.744431647074341E-2</v>
      </c>
      <c r="N303" s="16" t="str">
        <f t="shared" si="700"/>
        <v>Low Volatility</v>
      </c>
      <c r="O303" s="14" t="str">
        <f t="shared" si="685"/>
        <v>Weak/Unconfirmed</v>
      </c>
      <c r="S303" s="131" t="s">
        <v>676</v>
      </c>
      <c r="T303" s="131" t="s">
        <v>1350</v>
      </c>
      <c r="U303" s="131" t="s">
        <v>1351</v>
      </c>
      <c r="V303" s="15">
        <f t="shared" si="573"/>
        <v>46053</v>
      </c>
      <c r="W303" s="60">
        <f t="shared" si="689"/>
        <v>116.5</v>
      </c>
      <c r="X303" s="61">
        <f t="shared" si="690"/>
        <v>0</v>
      </c>
      <c r="Y303" s="62">
        <f>((W303-MAX(W$16:W303))/MAX(W$16:W303))</f>
        <v>-0.28347376837443877</v>
      </c>
      <c r="Z303" s="16">
        <f t="shared" si="691"/>
        <v>0</v>
      </c>
      <c r="AA303" s="153"/>
      <c r="AC303" s="16">
        <f t="shared" si="451"/>
        <v>-0.18514373644820592</v>
      </c>
      <c r="AD303" s="16">
        <f t="shared" ref="AD303" si="701">AD298</f>
        <v>3.0001572409455307E-2</v>
      </c>
      <c r="AE303" s="16">
        <f t="shared" si="686"/>
        <v>0.13509428047083955</v>
      </c>
      <c r="AF303" s="16" t="str">
        <f t="shared" si="686"/>
        <v>High Volatility</v>
      </c>
      <c r="AG303" s="14" t="str">
        <f t="shared" si="509"/>
        <v>Weak/Unconfirmed</v>
      </c>
      <c r="AI303" s="131" t="s">
        <v>676</v>
      </c>
      <c r="AJ303" s="131">
        <v>434062</v>
      </c>
      <c r="AK303" s="131">
        <v>434888</v>
      </c>
      <c r="AL303" s="15">
        <f t="shared" si="474"/>
        <v>46053</v>
      </c>
      <c r="AM303" s="60">
        <f t="shared" si="465"/>
        <v>43.488799999999998</v>
      </c>
      <c r="AN303" s="61">
        <f t="shared" si="466"/>
        <v>0</v>
      </c>
      <c r="AO303" s="62">
        <f>((AM303-MAX(AM$16:AM303))/MAX(AM$16:AM303))</f>
        <v>0</v>
      </c>
      <c r="AP303" s="16">
        <f t="shared" si="467"/>
        <v>0</v>
      </c>
      <c r="AQ303" s="153"/>
      <c r="AS303" s="16">
        <f t="shared" si="600"/>
        <v>2.901090791688724E-3</v>
      </c>
      <c r="AT303" s="77">
        <f t="shared" ref="AT303:AV303" si="702">AT302</f>
        <v>2.8126143129646301E-3</v>
      </c>
      <c r="AU303" s="16">
        <f t="shared" si="702"/>
        <v>7.9542783357765723E-4</v>
      </c>
      <c r="AV303" s="16" t="str">
        <f t="shared" si="702"/>
        <v>Low Volatility</v>
      </c>
      <c r="AW303" s="14" t="str">
        <f t="shared" si="661"/>
        <v>Stable</v>
      </c>
    </row>
    <row r="304" spans="1:49" ht="15.75" hidden="1" thickBot="1">
      <c r="A304" s="131" t="s">
        <v>677</v>
      </c>
      <c r="B304" s="131" t="s">
        <v>979</v>
      </c>
      <c r="C304" s="131" t="s">
        <v>980</v>
      </c>
      <c r="D304" s="15">
        <v>46054</v>
      </c>
      <c r="E304" s="60">
        <f t="shared" si="611"/>
        <v>6788.96</v>
      </c>
      <c r="F304" s="61">
        <f t="shared" si="612"/>
        <v>0</v>
      </c>
      <c r="G304" s="62">
        <f>((E304-MAX(E$16:E304))/MAX(E$16:E304))</f>
        <v>-9.8489506217922712E-2</v>
      </c>
      <c r="H304" s="16">
        <f t="shared" si="576"/>
        <v>0</v>
      </c>
      <c r="I304" s="153"/>
      <c r="K304" s="16">
        <f t="shared" si="637"/>
        <v>-2.2539741502063948E-2</v>
      </c>
      <c r="L304" s="77">
        <f t="shared" ref="L304:N304" si="703">L303</f>
        <v>2.9808744726993037E-2</v>
      </c>
      <c r="M304" s="16">
        <f t="shared" si="703"/>
        <v>4.744431647074341E-2</v>
      </c>
      <c r="N304" s="16" t="str">
        <f t="shared" si="703"/>
        <v>Low Volatility</v>
      </c>
      <c r="O304" s="14" t="str">
        <f t="shared" si="685"/>
        <v>Weak/Unconfirmed</v>
      </c>
      <c r="S304" s="131" t="s">
        <v>677</v>
      </c>
      <c r="T304" s="131" t="s">
        <v>1350</v>
      </c>
      <c r="U304" s="131" t="s">
        <v>1351</v>
      </c>
      <c r="V304" s="15">
        <f t="shared" si="573"/>
        <v>46054</v>
      </c>
      <c r="W304" s="60">
        <f t="shared" si="689"/>
        <v>116.5</v>
      </c>
      <c r="X304" s="61">
        <f t="shared" si="690"/>
        <v>0</v>
      </c>
      <c r="Y304" s="62">
        <f>((W304-MAX(W$16:W304))/MAX(W$16:W304))</f>
        <v>-0.28347376837443877</v>
      </c>
      <c r="Z304" s="16">
        <f t="shared" si="691"/>
        <v>0</v>
      </c>
      <c r="AA304" s="153"/>
      <c r="AC304" s="16">
        <f t="shared" si="451"/>
        <v>-0.18514373644820592</v>
      </c>
      <c r="AD304" s="16">
        <f t="shared" ref="AD304:AE304" si="704">AD298</f>
        <v>3.0001572409455307E-2</v>
      </c>
      <c r="AE304" s="16">
        <f t="shared" si="704"/>
        <v>0.13509428047083955</v>
      </c>
      <c r="AF304" s="16" t="str">
        <f t="shared" ref="AF304" si="705">IF(AE304 &lt; 0.02, "Low Volatility",
 IF(AE304 &gt; 0.1, "High Volatility", "Medium Volatility"))</f>
        <v>High Volatility</v>
      </c>
      <c r="AG304" s="14" t="str">
        <f t="shared" si="509"/>
        <v>Weak/Unconfirmed</v>
      </c>
      <c r="AI304" s="131" t="s">
        <v>677</v>
      </c>
      <c r="AJ304" s="131">
        <v>434062</v>
      </c>
      <c r="AK304" s="131">
        <v>434888</v>
      </c>
      <c r="AL304" s="15">
        <f t="shared" si="474"/>
        <v>46054</v>
      </c>
      <c r="AM304" s="60">
        <f t="shared" si="465"/>
        <v>43.488799999999998</v>
      </c>
      <c r="AN304" s="61">
        <f t="shared" si="466"/>
        <v>0</v>
      </c>
      <c r="AO304" s="62">
        <f>((AM304-MAX(AM$16:AM304))/MAX(AM$16:AM304))</f>
        <v>0</v>
      </c>
      <c r="AP304" s="16">
        <f t="shared" si="467"/>
        <v>0</v>
      </c>
      <c r="AQ304" s="153"/>
      <c r="AS304" s="16">
        <f t="shared" si="600"/>
        <v>2.901090791688724E-3</v>
      </c>
      <c r="AT304" s="77">
        <f t="shared" ref="AT304:AV304" si="706">AT303</f>
        <v>2.8126143129646301E-3</v>
      </c>
      <c r="AU304" s="16">
        <f t="shared" si="706"/>
        <v>7.9542783357765723E-4</v>
      </c>
      <c r="AV304" s="16" t="str">
        <f t="shared" si="706"/>
        <v>Low Volatility</v>
      </c>
      <c r="AW304" s="14" t="str">
        <f t="shared" si="661"/>
        <v>Stable</v>
      </c>
    </row>
    <row r="305" spans="1:49" ht="15.75" hidden="1" thickBot="1">
      <c r="A305" s="131" t="s">
        <v>678</v>
      </c>
      <c r="B305" s="131" t="s">
        <v>981</v>
      </c>
      <c r="C305" s="131" t="s">
        <v>982</v>
      </c>
      <c r="D305" s="15">
        <v>46055</v>
      </c>
      <c r="E305" s="60">
        <f t="shared" si="611"/>
        <v>6505.95</v>
      </c>
      <c r="F305" s="61">
        <f t="shared" si="612"/>
        <v>-283.01000000000022</v>
      </c>
      <c r="G305" s="62">
        <f>((E305-MAX(E$16:E305))/MAX(E$16:E305))</f>
        <v>-0.13607059151600456</v>
      </c>
      <c r="H305" s="16">
        <f t="shared" si="576"/>
        <v>-4.1686797388701687E-2</v>
      </c>
      <c r="I305" s="153">
        <f>AVERAGEIFS(E305:E312, E305:E312, "&gt;=0")</f>
        <v>6875.6374999999998</v>
      </c>
      <c r="K305" s="16">
        <f t="shared" si="637"/>
        <v>-7.6711842758816456E-2</v>
      </c>
      <c r="L305" s="77">
        <f t="shared" ref="L305" si="707">(I305-I298)/I298</f>
        <v>-2.0912613516881468E-2</v>
      </c>
      <c r="M305" s="16" cm="1">
        <f t="array" ref="M305">_xlfn.STDEV.S(_xlfn._xlws.FILTER(F305:F311, ISNUMBER(F305:F311))) / I305</f>
        <v>3.3277656260980511E-2</v>
      </c>
      <c r="N305" s="16" t="str" cm="1">
        <f t="array" ref="N305">_xlfn.LET(
  _xlpm.c, M126,
  IFERROR(
    _xlfn.IFS(_xlpm.c&lt;0.02,"Low Volatility",
        _xlpm.c&gt;0.1,"High Volatility",
        TRUE,"Medium Volatility"),
    "Insufficient data"
  )
)</f>
        <v>Low Volatility</v>
      </c>
      <c r="O305" s="14" t="str">
        <f t="shared" si="685"/>
        <v>Strong Downtrend</v>
      </c>
      <c r="S305" s="131" t="s">
        <v>678</v>
      </c>
      <c r="T305" s="131" t="s">
        <v>1352</v>
      </c>
      <c r="U305" s="131" t="s">
        <v>1353</v>
      </c>
      <c r="V305" s="15">
        <f t="shared" si="573"/>
        <v>46055</v>
      </c>
      <c r="W305" s="60">
        <f t="shared" si="689"/>
        <v>111.88</v>
      </c>
      <c r="X305" s="61">
        <f t="shared" si="690"/>
        <v>-4.6200000000000045</v>
      </c>
      <c r="Y305" s="62">
        <f>((W305-MAX(W$16:W305))/MAX(W$16:W305))</f>
        <v>-0.31188880004920355</v>
      </c>
      <c r="Z305" s="16">
        <f t="shared" si="691"/>
        <v>-3.9656652360515063E-2</v>
      </c>
      <c r="AA305" s="153">
        <f t="shared" ref="AA305" si="708">AVERAGEIFS(W305:W311, W305:W311, "&gt;=0")</f>
        <v>111.72714285714285</v>
      </c>
      <c r="AC305" s="16">
        <f t="shared" si="451"/>
        <v>-0.26068856142205782</v>
      </c>
      <c r="AD305" s="66">
        <f t="shared" ref="AD305" si="709">(AA305-AA298)/AA298</f>
        <v>-0.20403635364401521</v>
      </c>
      <c r="AE305" s="16" cm="1">
        <f t="array" ref="AE305">_xlfn.STDEV.S(_xlfn._xlws.FILTER(X305:X311, ISNUMBER(X305:X311))) / AA305</f>
        <v>7.9976383881278548E-2</v>
      </c>
      <c r="AF305" s="16" t="str">
        <f t="shared" ref="AF305:AF310" si="710">AF304</f>
        <v>High Volatility</v>
      </c>
      <c r="AG305" s="14" t="str">
        <f t="shared" si="509"/>
        <v>Strong Downtrend</v>
      </c>
      <c r="AI305" s="131" t="s">
        <v>678</v>
      </c>
      <c r="AJ305" s="131">
        <v>434967</v>
      </c>
      <c r="AK305" s="131">
        <v>434709</v>
      </c>
      <c r="AL305" s="15">
        <f t="shared" si="474"/>
        <v>46055</v>
      </c>
      <c r="AM305" s="60">
        <f t="shared" si="465"/>
        <v>43.4709</v>
      </c>
      <c r="AN305" s="61">
        <f t="shared" si="466"/>
        <v>-1.7899999999997362E-2</v>
      </c>
      <c r="AO305" s="62">
        <f>((AM305-MAX(AM$16:AM305))/MAX(AM$16:AM305))</f>
        <v>-4.116002281046468E-4</v>
      </c>
      <c r="AP305" s="16">
        <f t="shared" si="467"/>
        <v>-4.116002281046468E-4</v>
      </c>
      <c r="AQ305" s="153">
        <f t="shared" ref="AQ305" si="711">AVERAGEIFS(AM305:AM311, AM305:AM311, "&gt;=0")</f>
        <v>43.544685714285713</v>
      </c>
      <c r="AS305" s="16">
        <f t="shared" si="600"/>
        <v>2.7611692409899081E-3</v>
      </c>
      <c r="AT305" s="77">
        <f t="shared" ref="AT305" si="712">(AQ305-AQ298)/AQ298</f>
        <v>2.5991488790634981E-3</v>
      </c>
      <c r="AU305" s="16" cm="1">
        <f t="array" ref="AU305">_xlfn.STDEV.S(_xlfn._xlws.FILTER(AN305:AN311, ISNUMBER(AN305:AN311))) / AQ305</f>
        <v>6.5343114980726251E-4</v>
      </c>
      <c r="AV305" s="16" t="str">
        <f t="shared" ref="AV305" si="713">IF(AU305 &lt; 0.02, "Low Volatility",
 IF(AU305 &gt; 0.1, "High Volatility", "Medium Volatility"))</f>
        <v>Low Volatility</v>
      </c>
      <c r="AW305" s="14" t="str">
        <f t="shared" si="661"/>
        <v>Stable</v>
      </c>
    </row>
    <row r="306" spans="1:49" ht="15.75" hidden="1" thickBot="1">
      <c r="A306" s="131" t="s">
        <v>679</v>
      </c>
      <c r="B306" s="131" t="s">
        <v>983</v>
      </c>
      <c r="C306" s="131" t="s">
        <v>984</v>
      </c>
      <c r="D306" s="15">
        <v>46056</v>
      </c>
      <c r="E306" s="60">
        <f t="shared" si="611"/>
        <v>6908.3</v>
      </c>
      <c r="F306" s="61">
        <f t="shared" si="612"/>
        <v>402.35000000000036</v>
      </c>
      <c r="G306" s="62">
        <f>((E306-MAX(E$16:E306))/MAX(E$16:E306))</f>
        <v>-8.264226859567228E-2</v>
      </c>
      <c r="H306" s="16">
        <f t="shared" si="576"/>
        <v>6.1843389512676913E-2</v>
      </c>
      <c r="I306" s="153"/>
      <c r="K306" s="16">
        <f t="shared" si="637"/>
        <v>-4.4151423748512532E-2</v>
      </c>
      <c r="L306" s="77">
        <f t="shared" ref="L306:N306" si="714">L305</f>
        <v>-2.0912613516881468E-2</v>
      </c>
      <c r="M306" s="16">
        <f t="shared" si="714"/>
        <v>3.3277656260980511E-2</v>
      </c>
      <c r="N306" s="16" t="str">
        <f t="shared" si="714"/>
        <v>Low Volatility</v>
      </c>
      <c r="O306" s="14" t="str">
        <f t="shared" si="685"/>
        <v>Strong Downtrend</v>
      </c>
      <c r="S306" s="131" t="s">
        <v>679</v>
      </c>
      <c r="T306" s="131" t="s">
        <v>1354</v>
      </c>
      <c r="U306" s="131" t="s">
        <v>1355</v>
      </c>
      <c r="V306" s="15">
        <f t="shared" si="573"/>
        <v>46056</v>
      </c>
      <c r="W306" s="60">
        <f t="shared" si="689"/>
        <v>118.8</v>
      </c>
      <c r="X306" s="61">
        <f t="shared" si="690"/>
        <v>6.9200000000000017</v>
      </c>
      <c r="Y306" s="62">
        <f>((W306-MAX(W$16:W306))/MAX(W$16:W306))</f>
        <v>-0.26932775693462085</v>
      </c>
      <c r="Z306" s="16">
        <f t="shared" si="691"/>
        <v>6.185198426885951E-2</v>
      </c>
      <c r="AA306" s="153"/>
      <c r="AC306" s="16">
        <f t="shared" ref="AC306:AC369" si="715">(W306-W299)/W299</f>
        <v>-0.24128241154681321</v>
      </c>
      <c r="AD306" s="16">
        <f t="shared" ref="AD306" si="716">AD305</f>
        <v>-0.20403635364401521</v>
      </c>
      <c r="AE306" s="16">
        <f t="shared" ref="AE306:AE310" si="717">AE305</f>
        <v>7.9976383881278548E-2</v>
      </c>
      <c r="AF306" s="16" t="str">
        <f t="shared" si="710"/>
        <v>High Volatility</v>
      </c>
      <c r="AG306" s="14" t="str">
        <f t="shared" si="509"/>
        <v>Strong Downtrend</v>
      </c>
      <c r="AI306" s="131" t="s">
        <v>679</v>
      </c>
      <c r="AJ306" s="131">
        <v>434707</v>
      </c>
      <c r="AK306" s="131">
        <v>434814</v>
      </c>
      <c r="AL306" s="15">
        <f t="shared" si="474"/>
        <v>46056</v>
      </c>
      <c r="AM306" s="60">
        <f t="shared" si="465"/>
        <v>43.481400000000001</v>
      </c>
      <c r="AN306" s="61">
        <f t="shared" si="466"/>
        <v>1.0500000000000398E-2</v>
      </c>
      <c r="AO306" s="62">
        <f>((AM306-MAX(AM$16:AM306))/MAX(AM$16:AM306))</f>
        <v>-1.7015875351807742E-4</v>
      </c>
      <c r="AP306" s="16">
        <f t="shared" si="467"/>
        <v>2.4154089287317258E-4</v>
      </c>
      <c r="AQ306" s="153"/>
      <c r="AS306" s="16">
        <f t="shared" si="600"/>
        <v>1.8617254139344512E-3</v>
      </c>
      <c r="AT306" s="77">
        <f t="shared" ref="AT306:AV306" si="718">AT305</f>
        <v>2.5991488790634981E-3</v>
      </c>
      <c r="AU306" s="16">
        <f t="shared" si="718"/>
        <v>6.5343114980726251E-4</v>
      </c>
      <c r="AV306" s="16" t="str">
        <f t="shared" si="718"/>
        <v>Low Volatility</v>
      </c>
      <c r="AW306" s="14" t="str">
        <f t="shared" si="661"/>
        <v>Stable</v>
      </c>
    </row>
    <row r="307" spans="1:49" ht="15.75" hidden="1" thickBot="1">
      <c r="A307" s="131" t="s">
        <v>680</v>
      </c>
      <c r="B307" s="131" t="s">
        <v>985</v>
      </c>
      <c r="C307" s="131" t="s">
        <v>986</v>
      </c>
      <c r="D307" s="15">
        <v>46057</v>
      </c>
      <c r="E307" s="60">
        <f t="shared" si="611"/>
        <v>6908.64</v>
      </c>
      <c r="F307" s="61">
        <f t="shared" si="612"/>
        <v>0.34000000000014552</v>
      </c>
      <c r="G307" s="62">
        <f>((E307-MAX(E$16:E307))/MAX(E$16:E307))</f>
        <v>-8.2597119770537644E-2</v>
      </c>
      <c r="H307" s="16">
        <f t="shared" si="576"/>
        <v>4.9216160270999452E-5</v>
      </c>
      <c r="I307" s="153"/>
      <c r="K307" s="16">
        <f t="shared" si="637"/>
        <v>-7.9165994676505022E-2</v>
      </c>
      <c r="L307" s="77">
        <f t="shared" ref="L307:N307" si="719">L306</f>
        <v>-2.0912613516881468E-2</v>
      </c>
      <c r="M307" s="16">
        <f t="shared" si="719"/>
        <v>3.3277656260980511E-2</v>
      </c>
      <c r="N307" s="16" t="str">
        <f t="shared" si="719"/>
        <v>Low Volatility</v>
      </c>
      <c r="O307" s="14" t="str">
        <f t="shared" si="685"/>
        <v>Strong Downtrend</v>
      </c>
      <c r="S307" s="131" t="s">
        <v>680</v>
      </c>
      <c r="T307" s="131" t="s">
        <v>1356</v>
      </c>
      <c r="U307" s="131" t="s">
        <v>1357</v>
      </c>
      <c r="V307" s="15">
        <f t="shared" si="573"/>
        <v>46057</v>
      </c>
      <c r="W307" s="60">
        <f t="shared" si="689"/>
        <v>122.37</v>
      </c>
      <c r="X307" s="61">
        <f t="shared" si="690"/>
        <v>3.5700000000000074</v>
      </c>
      <c r="Y307" s="62">
        <f>((W307-MAX(W$16:W307))/MAX(W$16:W307))</f>
        <v>-0.24737068700412079</v>
      </c>
      <c r="Z307" s="16">
        <f t="shared" si="691"/>
        <v>3.0050505050505112E-2</v>
      </c>
      <c r="AA307" s="153"/>
      <c r="AC307" s="16">
        <f t="shared" si="715"/>
        <v>-0.24727809558959213</v>
      </c>
      <c r="AD307" s="16">
        <f t="shared" ref="AD307" si="720">AD305</f>
        <v>-0.20403635364401521</v>
      </c>
      <c r="AE307" s="16">
        <f t="shared" si="717"/>
        <v>7.9976383881278548E-2</v>
      </c>
      <c r="AF307" s="16" t="str">
        <f t="shared" si="710"/>
        <v>High Volatility</v>
      </c>
      <c r="AG307" s="14" t="str">
        <f t="shared" si="509"/>
        <v>Strong Downtrend</v>
      </c>
      <c r="AI307" s="131" t="s">
        <v>680</v>
      </c>
      <c r="AJ307" s="131">
        <v>434814</v>
      </c>
      <c r="AK307" s="131">
        <v>435189</v>
      </c>
      <c r="AL307" s="15">
        <f t="shared" si="474"/>
        <v>46057</v>
      </c>
      <c r="AM307" s="60">
        <f t="shared" si="465"/>
        <v>43.518900000000002</v>
      </c>
      <c r="AN307" s="61">
        <f t="shared" si="466"/>
        <v>3.7500000000001421E-2</v>
      </c>
      <c r="AO307" s="62">
        <f>((AM307-MAX(AM$16:AM307))/MAX(AM$16:AM307))</f>
        <v>0</v>
      </c>
      <c r="AP307" s="16">
        <f t="shared" si="467"/>
        <v>8.6243773199578253E-4</v>
      </c>
      <c r="AQ307" s="153"/>
      <c r="AS307" s="16">
        <f t="shared" si="600"/>
        <v>2.7904640327391147E-3</v>
      </c>
      <c r="AT307" s="77">
        <f t="shared" ref="AT307:AV307" si="721">AT306</f>
        <v>2.5991488790634981E-3</v>
      </c>
      <c r="AU307" s="16">
        <f t="shared" si="721"/>
        <v>6.5343114980726251E-4</v>
      </c>
      <c r="AV307" s="16" t="str">
        <f t="shared" si="721"/>
        <v>Low Volatility</v>
      </c>
      <c r="AW307" s="14" t="str">
        <f t="shared" si="661"/>
        <v>Stable</v>
      </c>
    </row>
    <row r="308" spans="1:49" ht="15.75" hidden="1" thickBot="1">
      <c r="A308" s="131" t="s">
        <v>681</v>
      </c>
      <c r="B308" s="131" t="s">
        <v>987</v>
      </c>
      <c r="C308" s="131" t="s">
        <v>988</v>
      </c>
      <c r="D308" s="15">
        <v>46058</v>
      </c>
      <c r="E308" s="60">
        <f t="shared" si="611"/>
        <v>6732.52</v>
      </c>
      <c r="F308" s="61">
        <f t="shared" si="612"/>
        <v>-176.11999999999989</v>
      </c>
      <c r="G308" s="62">
        <f>((E308-MAX(E$16:E308))/MAX(E$16:E308))</f>
        <v>-0.105984211190269</v>
      </c>
      <c r="H308" s="16">
        <f t="shared" si="576"/>
        <v>-2.5492716366752339E-2</v>
      </c>
      <c r="I308" s="153"/>
      <c r="K308" s="16">
        <f t="shared" si="637"/>
        <v>-0.105984211190269</v>
      </c>
      <c r="L308" s="77">
        <f t="shared" ref="L308:N308" si="722">L307</f>
        <v>-2.0912613516881468E-2</v>
      </c>
      <c r="M308" s="16">
        <f t="shared" si="722"/>
        <v>3.3277656260980511E-2</v>
      </c>
      <c r="N308" s="16" t="str">
        <f t="shared" si="722"/>
        <v>Low Volatility</v>
      </c>
      <c r="O308" s="14" t="str">
        <f t="shared" si="685"/>
        <v>Strong Downtrend</v>
      </c>
      <c r="S308" s="131" t="s">
        <v>681</v>
      </c>
      <c r="T308" s="131" t="s">
        <v>1358</v>
      </c>
      <c r="U308" s="131" t="s">
        <v>1359</v>
      </c>
      <c r="V308" s="15">
        <f t="shared" si="573"/>
        <v>46058</v>
      </c>
      <c r="W308" s="60">
        <f t="shared" si="689"/>
        <v>103.03</v>
      </c>
      <c r="X308" s="61">
        <f t="shared" si="690"/>
        <v>-19.340000000000003</v>
      </c>
      <c r="Y308" s="62">
        <f>((W308-MAX(W$16:W308))/MAX(W$16:W308))</f>
        <v>-0.36632019189372039</v>
      </c>
      <c r="Z308" s="16">
        <f t="shared" si="691"/>
        <v>-0.15804527253411785</v>
      </c>
      <c r="AA308" s="153"/>
      <c r="AC308" s="16">
        <f t="shared" si="715"/>
        <v>-0.36632019189372039</v>
      </c>
      <c r="AD308" s="16">
        <f t="shared" ref="AD308" si="723">AD305</f>
        <v>-0.20403635364401521</v>
      </c>
      <c r="AE308" s="16">
        <f t="shared" si="717"/>
        <v>7.9976383881278548E-2</v>
      </c>
      <c r="AF308" s="16" t="str">
        <f t="shared" si="710"/>
        <v>High Volatility</v>
      </c>
      <c r="AG308" s="14" t="str">
        <f t="shared" si="509"/>
        <v>Strong Downtrend</v>
      </c>
      <c r="AI308" s="131" t="s">
        <v>681</v>
      </c>
      <c r="AJ308" s="131">
        <v>435190</v>
      </c>
      <c r="AK308" s="131">
        <v>435344</v>
      </c>
      <c r="AL308" s="15">
        <f t="shared" si="474"/>
        <v>46058</v>
      </c>
      <c r="AM308" s="60">
        <f t="shared" si="465"/>
        <v>43.534399999999998</v>
      </c>
      <c r="AN308" s="61">
        <f t="shared" si="466"/>
        <v>1.549999999999585E-2</v>
      </c>
      <c r="AO308" s="62">
        <f>((AM308-MAX(AM$16:AM308))/MAX(AM$16:AM308))</f>
        <v>0</v>
      </c>
      <c r="AP308" s="16">
        <f t="shared" si="467"/>
        <v>3.5616709062030174E-4</v>
      </c>
      <c r="AQ308" s="153"/>
      <c r="AS308" s="16">
        <f t="shared" si="600"/>
        <v>2.9442527173287147E-3</v>
      </c>
      <c r="AT308" s="77">
        <f t="shared" ref="AT308:AV308" si="724">AT307</f>
        <v>2.5991488790634981E-3</v>
      </c>
      <c r="AU308" s="16">
        <f t="shared" si="724"/>
        <v>6.5343114980726251E-4</v>
      </c>
      <c r="AV308" s="16" t="str">
        <f t="shared" si="724"/>
        <v>Low Volatility</v>
      </c>
      <c r="AW308" s="14" t="str">
        <f t="shared" si="661"/>
        <v>Stable</v>
      </c>
    </row>
    <row r="309" spans="1:49" ht="15.75" hidden="1" thickBot="1">
      <c r="A309" s="131" t="s">
        <v>682</v>
      </c>
      <c r="B309" s="131" t="s">
        <v>989</v>
      </c>
      <c r="C309" s="131" t="s">
        <v>990</v>
      </c>
      <c r="D309" s="15">
        <v>46059</v>
      </c>
      <c r="E309" s="60">
        <f t="shared" si="611"/>
        <v>6943.53</v>
      </c>
      <c r="F309" s="61">
        <f t="shared" si="612"/>
        <v>211.00999999999931</v>
      </c>
      <c r="G309" s="62">
        <f>((E309-MAX(E$16:E309))/MAX(E$16:E309))</f>
        <v>-7.79640535677531E-2</v>
      </c>
      <c r="H309" s="16">
        <f t="shared" si="576"/>
        <v>3.1341904665711989E-2</v>
      </c>
      <c r="I309" s="153"/>
      <c r="K309" s="16">
        <f t="shared" si="637"/>
        <v>2.2767846621573808E-2</v>
      </c>
      <c r="L309" s="77">
        <f t="shared" ref="L309:N309" si="725">L308</f>
        <v>-2.0912613516881468E-2</v>
      </c>
      <c r="M309" s="16">
        <f t="shared" si="725"/>
        <v>3.3277656260980511E-2</v>
      </c>
      <c r="N309" s="16" t="str">
        <f t="shared" si="725"/>
        <v>Low Volatility</v>
      </c>
      <c r="O309" s="14" t="str">
        <f t="shared" si="685"/>
        <v>Weak/Unconfirmed</v>
      </c>
      <c r="S309" s="131" t="s">
        <v>682</v>
      </c>
      <c r="T309" s="131" t="s">
        <v>1360</v>
      </c>
      <c r="U309" s="131" t="s">
        <v>1361</v>
      </c>
      <c r="V309" s="15">
        <f t="shared" si="573"/>
        <v>46059</v>
      </c>
      <c r="W309" s="60">
        <f t="shared" si="689"/>
        <v>108.67</v>
      </c>
      <c r="X309" s="61">
        <f t="shared" si="690"/>
        <v>5.6400000000000006</v>
      </c>
      <c r="Y309" s="62">
        <f>((W309-MAX(W$16:W309))/MAX(W$16:W309))</f>
        <v>-0.3316317116673842</v>
      </c>
      <c r="Z309" s="16">
        <f t="shared" si="691"/>
        <v>5.4741337474521992E-2</v>
      </c>
      <c r="AA309" s="153"/>
      <c r="AC309" s="16">
        <f t="shared" si="715"/>
        <v>-6.7210300429184536E-2</v>
      </c>
      <c r="AD309" s="16">
        <f t="shared" ref="AD309" si="726">AD305</f>
        <v>-0.20403635364401521</v>
      </c>
      <c r="AE309" s="16">
        <f t="shared" si="717"/>
        <v>7.9976383881278548E-2</v>
      </c>
      <c r="AF309" s="16" t="str">
        <f t="shared" si="710"/>
        <v>High Volatility</v>
      </c>
      <c r="AG309" s="14" t="str">
        <f t="shared" si="509"/>
        <v>Strong Downtrend</v>
      </c>
      <c r="AI309" s="131" t="s">
        <v>682</v>
      </c>
      <c r="AJ309" s="131">
        <v>435340</v>
      </c>
      <c r="AK309" s="131">
        <v>436024</v>
      </c>
      <c r="AL309" s="15">
        <f t="shared" si="474"/>
        <v>46059</v>
      </c>
      <c r="AM309" s="60">
        <f t="shared" ref="AM309:AM372" si="727">VALUE(SUBSTITUTE(SUBSTITUTE(AK309, ".", ""), ",", "."))/10000</f>
        <v>43.602400000000003</v>
      </c>
      <c r="AN309" s="61">
        <f t="shared" ref="AN309:AN372" si="728">AM309-AM308</f>
        <v>6.8000000000004945E-2</v>
      </c>
      <c r="AO309" s="62">
        <f>((AM309-MAX(AM$16:AM309))/MAX(AM$16:AM309))</f>
        <v>0</v>
      </c>
      <c r="AP309" s="16">
        <f t="shared" ref="AP309:AP372" si="729">(AM309-AM308)/AM308</f>
        <v>1.5619831673344515E-3</v>
      </c>
      <c r="AQ309" s="153"/>
      <c r="AS309" s="16">
        <f t="shared" si="600"/>
        <v>2.6121668107651915E-3</v>
      </c>
      <c r="AT309" s="77">
        <f t="shared" ref="AT309:AV309" si="730">AT308</f>
        <v>2.5991488790634981E-3</v>
      </c>
      <c r="AU309" s="16">
        <f t="shared" si="730"/>
        <v>6.5343114980726251E-4</v>
      </c>
      <c r="AV309" s="16" t="str">
        <f t="shared" si="730"/>
        <v>Low Volatility</v>
      </c>
      <c r="AW309" s="14" t="str">
        <f t="shared" si="661"/>
        <v>Stable</v>
      </c>
    </row>
    <row r="310" spans="1:49" ht="15.75" hidden="1" thickBot="1">
      <c r="A310" s="131" t="s">
        <v>683</v>
      </c>
      <c r="B310" s="131" t="s">
        <v>989</v>
      </c>
      <c r="C310" s="131" t="s">
        <v>990</v>
      </c>
      <c r="D310" s="15">
        <v>46060</v>
      </c>
      <c r="E310" s="60">
        <f t="shared" si="611"/>
        <v>6943.53</v>
      </c>
      <c r="F310" s="61">
        <f t="shared" si="612"/>
        <v>0</v>
      </c>
      <c r="G310" s="62">
        <f>((E310-MAX(E$16:E310))/MAX(E$16:E310))</f>
        <v>-7.79640535677531E-2</v>
      </c>
      <c r="H310" s="16">
        <f t="shared" si="576"/>
        <v>0</v>
      </c>
      <c r="I310" s="153"/>
      <c r="K310" s="16">
        <f t="shared" si="637"/>
        <v>2.2767846621573808E-2</v>
      </c>
      <c r="L310" s="77">
        <f t="shared" ref="L310:N310" si="731">L309</f>
        <v>-2.0912613516881468E-2</v>
      </c>
      <c r="M310" s="16">
        <f t="shared" si="731"/>
        <v>3.3277656260980511E-2</v>
      </c>
      <c r="N310" s="16" t="str">
        <f t="shared" si="731"/>
        <v>Low Volatility</v>
      </c>
      <c r="O310" s="14" t="str">
        <f t="shared" si="685"/>
        <v>Weak/Unconfirmed</v>
      </c>
      <c r="S310" s="131" t="s">
        <v>683</v>
      </c>
      <c r="T310" s="131" t="s">
        <v>1360</v>
      </c>
      <c r="U310" s="131" t="s">
        <v>1361</v>
      </c>
      <c r="V310" s="15">
        <f t="shared" si="573"/>
        <v>46060</v>
      </c>
      <c r="W310" s="60">
        <f t="shared" si="689"/>
        <v>108.67</v>
      </c>
      <c r="X310" s="61">
        <f t="shared" si="690"/>
        <v>0</v>
      </c>
      <c r="Y310" s="62">
        <f>((W310-MAX(W$16:W310))/MAX(W$16:W310))</f>
        <v>-0.3316317116673842</v>
      </c>
      <c r="Z310" s="16">
        <f t="shared" si="691"/>
        <v>0</v>
      </c>
      <c r="AA310" s="153"/>
      <c r="AC310" s="16">
        <f t="shared" si="715"/>
        <v>-6.7210300429184536E-2</v>
      </c>
      <c r="AD310" s="16">
        <f t="shared" ref="AD310" si="732">AD305</f>
        <v>-0.20403635364401521</v>
      </c>
      <c r="AE310" s="16">
        <f t="shared" si="717"/>
        <v>7.9976383881278548E-2</v>
      </c>
      <c r="AF310" s="16" t="str">
        <f t="shared" si="710"/>
        <v>High Volatility</v>
      </c>
      <c r="AG310" s="14" t="str">
        <f t="shared" si="509"/>
        <v>Strong Downtrend</v>
      </c>
      <c r="AI310" s="131" t="s">
        <v>683</v>
      </c>
      <c r="AJ310" s="131">
        <v>435340</v>
      </c>
      <c r="AK310" s="131">
        <v>436024</v>
      </c>
      <c r="AL310" s="15">
        <f t="shared" si="474"/>
        <v>46060</v>
      </c>
      <c r="AM310" s="60">
        <f t="shared" si="727"/>
        <v>43.602400000000003</v>
      </c>
      <c r="AN310" s="61">
        <f t="shared" si="728"/>
        <v>0</v>
      </c>
      <c r="AO310" s="62">
        <f>((AM310-MAX(AM$16:AM310))/MAX(AM$16:AM310))</f>
        <v>0</v>
      </c>
      <c r="AP310" s="16">
        <f t="shared" si="729"/>
        <v>0</v>
      </c>
      <c r="AQ310" s="153"/>
      <c r="AS310" s="16">
        <f t="shared" si="600"/>
        <v>2.6121668107651915E-3</v>
      </c>
      <c r="AT310" s="77">
        <f t="shared" ref="AT310:AV310" si="733">AT309</f>
        <v>2.5991488790634981E-3</v>
      </c>
      <c r="AU310" s="16">
        <f t="shared" si="733"/>
        <v>6.5343114980726251E-4</v>
      </c>
      <c r="AV310" s="16" t="str">
        <f t="shared" si="733"/>
        <v>Low Volatility</v>
      </c>
      <c r="AW310" s="14" t="str">
        <f t="shared" si="661"/>
        <v>Stable</v>
      </c>
    </row>
    <row r="311" spans="1:49" ht="15.75" hidden="1" thickBot="1">
      <c r="A311" s="131" t="s">
        <v>684</v>
      </c>
      <c r="B311" s="131" t="s">
        <v>989</v>
      </c>
      <c r="C311" s="131" t="s">
        <v>990</v>
      </c>
      <c r="D311" s="15">
        <v>46061</v>
      </c>
      <c r="E311" s="60">
        <f t="shared" si="611"/>
        <v>6943.53</v>
      </c>
      <c r="F311" s="61">
        <f t="shared" si="612"/>
        <v>0</v>
      </c>
      <c r="G311" s="62">
        <f>((E311-MAX(E$16:E311))/MAX(E$16:E311))</f>
        <v>-7.79640535677531E-2</v>
      </c>
      <c r="H311" s="16">
        <f t="shared" si="576"/>
        <v>0</v>
      </c>
      <c r="I311" s="153"/>
      <c r="K311" s="16">
        <f t="shared" si="637"/>
        <v>2.2767846621573808E-2</v>
      </c>
      <c r="L311" s="77">
        <f t="shared" ref="L311:N311" si="734">L310</f>
        <v>-2.0912613516881468E-2</v>
      </c>
      <c r="M311" s="16">
        <f t="shared" si="734"/>
        <v>3.3277656260980511E-2</v>
      </c>
      <c r="N311" s="16" t="str">
        <f t="shared" si="734"/>
        <v>Low Volatility</v>
      </c>
      <c r="O311" s="14" t="str">
        <f t="shared" si="685"/>
        <v>Weak/Unconfirmed</v>
      </c>
      <c r="S311" s="131" t="s">
        <v>684</v>
      </c>
      <c r="T311" s="131" t="s">
        <v>1360</v>
      </c>
      <c r="U311" s="131" t="s">
        <v>1361</v>
      </c>
      <c r="V311" s="15">
        <f t="shared" si="573"/>
        <v>46061</v>
      </c>
      <c r="W311" s="60">
        <f t="shared" si="689"/>
        <v>108.67</v>
      </c>
      <c r="X311" s="61">
        <f t="shared" si="690"/>
        <v>0</v>
      </c>
      <c r="Y311" s="62">
        <f>((W311-MAX(W$16:W311))/MAX(W$16:W311))</f>
        <v>-0.3316317116673842</v>
      </c>
      <c r="Z311" s="16">
        <f t="shared" si="691"/>
        <v>0</v>
      </c>
      <c r="AA311" s="153"/>
      <c r="AC311" s="16">
        <f t="shared" si="715"/>
        <v>-6.7210300429184536E-2</v>
      </c>
      <c r="AD311" s="16">
        <f t="shared" ref="AD311:AE311" si="735">AD305</f>
        <v>-0.20403635364401521</v>
      </c>
      <c r="AE311" s="16">
        <f t="shared" si="735"/>
        <v>7.9976383881278548E-2</v>
      </c>
      <c r="AF311" s="16" t="str">
        <f t="shared" ref="AF311:AF312" si="736">IF(AE311 &lt; 0.02, "Low Volatility",
 IF(AE311 &gt; 0.1, "High Volatility", "Medium Volatility"))</f>
        <v>Medium Volatility</v>
      </c>
      <c r="AG311" s="14" t="str">
        <f t="shared" si="509"/>
        <v>Strong Downtrend</v>
      </c>
      <c r="AI311" s="131" t="s">
        <v>684</v>
      </c>
      <c r="AJ311" s="131">
        <v>435340</v>
      </c>
      <c r="AK311" s="131">
        <v>436024</v>
      </c>
      <c r="AL311" s="15">
        <f t="shared" ref="AL311:AL374" si="737">D311</f>
        <v>46061</v>
      </c>
      <c r="AM311" s="60">
        <f t="shared" si="727"/>
        <v>43.602400000000003</v>
      </c>
      <c r="AN311" s="61">
        <f t="shared" si="728"/>
        <v>0</v>
      </c>
      <c r="AO311" s="62">
        <f>((AM311-MAX(AM$16:AM311))/MAX(AM$16:AM311))</f>
        <v>0</v>
      </c>
      <c r="AP311" s="16">
        <f t="shared" si="729"/>
        <v>0</v>
      </c>
      <c r="AQ311" s="153"/>
      <c r="AS311" s="16">
        <f t="shared" si="600"/>
        <v>2.6121668107651915E-3</v>
      </c>
      <c r="AT311" s="77">
        <f t="shared" ref="AT311:AV311" si="738">AT310</f>
        <v>2.5991488790634981E-3</v>
      </c>
      <c r="AU311" s="16">
        <f t="shared" si="738"/>
        <v>6.5343114980726251E-4</v>
      </c>
      <c r="AV311" s="16" t="str">
        <f t="shared" si="738"/>
        <v>Low Volatility</v>
      </c>
      <c r="AW311" s="14" t="str">
        <f t="shared" si="661"/>
        <v>Stable</v>
      </c>
    </row>
    <row r="312" spans="1:49" ht="15.75" hidden="1" thickBot="1">
      <c r="A312" s="131" t="s">
        <v>685</v>
      </c>
      <c r="B312" s="131" t="s">
        <v>991</v>
      </c>
      <c r="C312" s="131" t="s">
        <v>992</v>
      </c>
      <c r="D312" s="15">
        <v>46062</v>
      </c>
      <c r="E312" s="60">
        <f t="shared" si="611"/>
        <v>7119.1</v>
      </c>
      <c r="F312" s="61">
        <f t="shared" si="612"/>
        <v>175.57000000000062</v>
      </c>
      <c r="G312" s="62">
        <f>((E312-MAX(E$16:E312))/MAX(E$16:E312))</f>
        <v>-5.464999701221001E-2</v>
      </c>
      <c r="H312" s="16">
        <f t="shared" si="576"/>
        <v>2.5285409582733943E-2</v>
      </c>
      <c r="I312" s="153">
        <f>AVERAGEIFS(E312:E319, E312:E319, "&gt;=0")</f>
        <v>7057.3225000000002</v>
      </c>
      <c r="K312" s="16">
        <f t="shared" si="637"/>
        <v>9.4244499266056547E-2</v>
      </c>
      <c r="L312" s="77">
        <f t="shared" ref="L312" si="739">(I312-I305)/I305</f>
        <v>2.6424458822909207E-2</v>
      </c>
      <c r="M312" s="16" cm="1">
        <f t="array" ref="M312">_xlfn.STDEV.S(_xlfn._xlws.FILTER(F312:F318, ISNUMBER(F312:F318))) / I312</f>
        <v>2.0651784348285046E-2</v>
      </c>
      <c r="N312" s="16" t="str" cm="1">
        <f t="array" ref="N312">_xlfn.LET(
  _xlpm.c, M133,
  IFERROR(
    _xlfn.IFS(_xlpm.c&lt;0.02,"Low Volatility",
        _xlpm.c&gt;0.1,"High Volatility",
        TRUE,"Medium Volatility"),
    "Insufficient data"
  )
)</f>
        <v>Low Volatility</v>
      </c>
      <c r="O312" s="14" t="str">
        <f t="shared" si="685"/>
        <v>Strong Uptrend</v>
      </c>
      <c r="S312" s="131" t="s">
        <v>685</v>
      </c>
      <c r="T312" s="131" t="s">
        <v>1362</v>
      </c>
      <c r="U312" s="131" t="s">
        <v>1363</v>
      </c>
      <c r="V312" s="15">
        <f t="shared" si="573"/>
        <v>46062</v>
      </c>
      <c r="W312" s="60">
        <f t="shared" si="689"/>
        <v>117.62</v>
      </c>
      <c r="X312" s="61">
        <f t="shared" si="690"/>
        <v>8.9500000000000028</v>
      </c>
      <c r="Y312" s="62">
        <f>((W312-MAX(W$16:W312))/MAX(W$16:W312))</f>
        <v>-0.27658527584722309</v>
      </c>
      <c r="Z312" s="16">
        <f t="shared" si="691"/>
        <v>8.2359436827091223E-2</v>
      </c>
      <c r="AA312" s="153">
        <f t="shared" ref="AA312" si="740">AVERAGEIFS(W312:W318, W312:W318, "&gt;=0")</f>
        <v>111.44285714285715</v>
      </c>
      <c r="AC312" s="16">
        <f t="shared" si="715"/>
        <v>5.1304969610296833E-2</v>
      </c>
      <c r="AD312" s="66">
        <f t="shared" ref="AD312" si="741">(AA312-AA305)/AA305</f>
        <v>-2.5444641921005379E-3</v>
      </c>
      <c r="AE312" s="16" cm="1">
        <f t="array" ref="AE312">_xlfn.STDEV.S(_xlfn._xlws.FILTER(X312:X318, ISNUMBER(X312:X318))) / AA312</f>
        <v>6.4972533535295043E-2</v>
      </c>
      <c r="AF312" s="16" t="str">
        <f t="shared" si="736"/>
        <v>Medium Volatility</v>
      </c>
      <c r="AG312" s="14" t="str">
        <f t="shared" si="509"/>
        <v>Stable</v>
      </c>
      <c r="AI312" s="131" t="s">
        <v>685</v>
      </c>
      <c r="AJ312" s="131">
        <v>435322</v>
      </c>
      <c r="AK312" s="131">
        <v>435901</v>
      </c>
      <c r="AL312" s="15">
        <f t="shared" si="737"/>
        <v>46062</v>
      </c>
      <c r="AM312" s="60">
        <f t="shared" si="727"/>
        <v>43.5901</v>
      </c>
      <c r="AN312" s="61">
        <f t="shared" si="728"/>
        <v>-1.2300000000003308E-2</v>
      </c>
      <c r="AO312" s="62">
        <f>((AM312-MAX(AM$16:AM312))/MAX(AM$16:AM312))</f>
        <v>-2.8209456360207943E-4</v>
      </c>
      <c r="AP312" s="16">
        <f t="shared" si="729"/>
        <v>-2.8209456360207943E-4</v>
      </c>
      <c r="AQ312" s="153">
        <f t="shared" ref="AQ312" si="742">AVERAGEIFS(AM312:AM318, AM312:AM318, "&gt;=0")</f>
        <v>43.669599999999996</v>
      </c>
      <c r="AS312" s="16">
        <f t="shared" si="600"/>
        <v>2.7420642314743724E-3</v>
      </c>
      <c r="AT312" s="77">
        <f t="shared" ref="AT312" si="743">(AQ312-AQ305)/AQ305</f>
        <v>2.8686459361286012E-3</v>
      </c>
      <c r="AU312" s="16" cm="1">
        <f t="array" ref="AU312">_xlfn.STDEV.S(_xlfn._xlws.FILTER(AN312:AN318, ISNUMBER(AN312:AN318))) / AQ312</f>
        <v>7.468036818832379E-4</v>
      </c>
      <c r="AV312" s="16" t="str">
        <f t="shared" ref="AV312" si="744">IF(AU312 &lt; 0.02, "Low Volatility",
 IF(AU312 &gt; 0.1, "High Volatility", "Medium Volatility"))</f>
        <v>Low Volatility</v>
      </c>
      <c r="AW312" s="14" t="str">
        <f t="shared" si="661"/>
        <v>Stable</v>
      </c>
    </row>
    <row r="313" spans="1:49" ht="15.75" hidden="1" thickBot="1">
      <c r="A313" s="131" t="s">
        <v>686</v>
      </c>
      <c r="B313" s="131" t="s">
        <v>993</v>
      </c>
      <c r="C313" s="131" t="s">
        <v>994</v>
      </c>
      <c r="D313" s="15">
        <v>46063</v>
      </c>
      <c r="E313" s="60">
        <f t="shared" si="611"/>
        <v>7057.71</v>
      </c>
      <c r="F313" s="61">
        <f t="shared" si="612"/>
        <v>-61.390000000000327</v>
      </c>
      <c r="G313" s="62">
        <f>((E313-MAX(E$16:E313))/MAX(E$16:E313))</f>
        <v>-6.2802015762251542E-2</v>
      </c>
      <c r="H313" s="16">
        <f t="shared" si="576"/>
        <v>-8.6232810327148551E-3</v>
      </c>
      <c r="I313" s="153"/>
      <c r="K313" s="16">
        <f t="shared" si="637"/>
        <v>2.1627607370843745E-2</v>
      </c>
      <c r="L313" s="77">
        <f t="shared" ref="L313:N313" si="745">L312</f>
        <v>2.6424458822909207E-2</v>
      </c>
      <c r="M313" s="16">
        <f t="shared" si="745"/>
        <v>2.0651784348285046E-2</v>
      </c>
      <c r="N313" s="16" t="str">
        <f t="shared" si="745"/>
        <v>Low Volatility</v>
      </c>
      <c r="O313" s="14" t="str">
        <f t="shared" si="685"/>
        <v>Strong Uptrend</v>
      </c>
      <c r="S313" s="131" t="s">
        <v>686</v>
      </c>
      <c r="T313" s="131" t="s">
        <v>1364</v>
      </c>
      <c r="U313" s="131" t="s">
        <v>1365</v>
      </c>
      <c r="V313" s="15">
        <f t="shared" si="573"/>
        <v>46063</v>
      </c>
      <c r="W313" s="60">
        <f t="shared" si="689"/>
        <v>113.73</v>
      </c>
      <c r="X313" s="61">
        <f t="shared" si="690"/>
        <v>-3.8900000000000006</v>
      </c>
      <c r="Y313" s="62">
        <f>((W313-MAX(W$16:W313))/MAX(W$16:W313))</f>
        <v>-0.30051048649978473</v>
      </c>
      <c r="Z313" s="16">
        <f t="shared" si="691"/>
        <v>-3.3072606699540895E-2</v>
      </c>
      <c r="AA313" s="153"/>
      <c r="AC313" s="16">
        <f t="shared" si="715"/>
        <v>-4.2676767676767619E-2</v>
      </c>
      <c r="AD313" s="16">
        <f t="shared" ref="AD313:AF313" si="746">AD312</f>
        <v>-2.5444641921005379E-3</v>
      </c>
      <c r="AE313" s="16">
        <f t="shared" si="746"/>
        <v>6.4972533535295043E-2</v>
      </c>
      <c r="AF313" s="16" t="str">
        <f t="shared" si="746"/>
        <v>Medium Volatility</v>
      </c>
      <c r="AG313" s="14" t="str">
        <f t="shared" si="509"/>
        <v>Stable</v>
      </c>
      <c r="AI313" s="131" t="s">
        <v>686</v>
      </c>
      <c r="AJ313" s="131">
        <v>435901</v>
      </c>
      <c r="AK313" s="131">
        <v>436254</v>
      </c>
      <c r="AL313" s="15">
        <f t="shared" si="737"/>
        <v>46063</v>
      </c>
      <c r="AM313" s="60">
        <f t="shared" si="727"/>
        <v>43.625399999999999</v>
      </c>
      <c r="AN313" s="61">
        <f t="shared" si="728"/>
        <v>3.5299999999999443E-2</v>
      </c>
      <c r="AO313" s="62">
        <f>((AM313-MAX(AM$16:AM313))/MAX(AM$16:AM313))</f>
        <v>0</v>
      </c>
      <c r="AP313" s="16">
        <f t="shared" si="729"/>
        <v>8.0981690796762208E-4</v>
      </c>
      <c r="AQ313" s="153"/>
      <c r="AS313" s="16">
        <f t="shared" si="600"/>
        <v>3.3117608908636415E-3</v>
      </c>
      <c r="AT313" s="77">
        <f t="shared" ref="AT313:AV313" si="747">AT312</f>
        <v>2.8686459361286012E-3</v>
      </c>
      <c r="AU313" s="16">
        <f t="shared" si="747"/>
        <v>7.468036818832379E-4</v>
      </c>
      <c r="AV313" s="16" t="str">
        <f t="shared" si="747"/>
        <v>Low Volatility</v>
      </c>
      <c r="AW313" s="14" t="str">
        <f t="shared" si="661"/>
        <v>Stable</v>
      </c>
    </row>
    <row r="314" spans="1:49" ht="15.75" hidden="1" thickBot="1">
      <c r="A314" s="131" t="s">
        <v>687</v>
      </c>
      <c r="B314" s="131" t="s">
        <v>995</v>
      </c>
      <c r="C314" s="131" t="s">
        <v>996</v>
      </c>
      <c r="D314" s="15">
        <v>46064</v>
      </c>
      <c r="E314" s="60">
        <f t="shared" si="611"/>
        <v>7138.95</v>
      </c>
      <c r="F314" s="61">
        <f t="shared" si="612"/>
        <v>81.239999999999782</v>
      </c>
      <c r="G314" s="62">
        <f>((E314-MAX(E$16:E314))/MAX(E$16:E314))</f>
        <v>-5.2014102368321435E-2</v>
      </c>
      <c r="H314" s="16">
        <f t="shared" si="576"/>
        <v>1.1510815831197341E-2</v>
      </c>
      <c r="I314" s="153"/>
      <c r="K314" s="16">
        <f t="shared" si="637"/>
        <v>3.3336517751684773E-2</v>
      </c>
      <c r="L314" s="77">
        <f t="shared" ref="L314:N314" si="748">L313</f>
        <v>2.6424458822909207E-2</v>
      </c>
      <c r="M314" s="16">
        <f t="shared" si="748"/>
        <v>2.0651784348285046E-2</v>
      </c>
      <c r="N314" s="16" t="str">
        <f t="shared" si="748"/>
        <v>Low Volatility</v>
      </c>
      <c r="O314" s="14" t="str">
        <f t="shared" si="685"/>
        <v>Strong Uptrend</v>
      </c>
      <c r="S314" s="131" t="s">
        <v>687</v>
      </c>
      <c r="T314" s="131" t="s">
        <v>1366</v>
      </c>
      <c r="U314" s="131" t="s">
        <v>1367</v>
      </c>
      <c r="V314" s="15">
        <f t="shared" si="573"/>
        <v>46064</v>
      </c>
      <c r="W314" s="60">
        <f t="shared" si="689"/>
        <v>118.64</v>
      </c>
      <c r="X314" s="61">
        <f t="shared" si="690"/>
        <v>4.9099999999999966</v>
      </c>
      <c r="Y314" s="62">
        <f>((W314-MAX(W$16:W314))/MAX(W$16:W314))</f>
        <v>-0.27031182729565167</v>
      </c>
      <c r="Z314" s="16">
        <f t="shared" si="691"/>
        <v>4.3172425921041029E-2</v>
      </c>
      <c r="AA314" s="153"/>
      <c r="AC314" s="16">
        <f t="shared" si="715"/>
        <v>-3.0481327122660815E-2</v>
      </c>
      <c r="AD314" s="16">
        <f t="shared" ref="AD314" si="749">AD312</f>
        <v>-2.5444641921005379E-3</v>
      </c>
      <c r="AE314" s="16">
        <f t="shared" ref="AE314:AF314" si="750">AE313</f>
        <v>6.4972533535295043E-2</v>
      </c>
      <c r="AF314" s="16" t="str">
        <f t="shared" si="750"/>
        <v>Medium Volatility</v>
      </c>
      <c r="AG314" s="14" t="str">
        <f t="shared" si="509"/>
        <v>Stable</v>
      </c>
      <c r="AI314" s="131" t="s">
        <v>687</v>
      </c>
      <c r="AJ314" s="131">
        <v>436254</v>
      </c>
      <c r="AK314" s="131">
        <v>436403</v>
      </c>
      <c r="AL314" s="15">
        <f t="shared" si="737"/>
        <v>46064</v>
      </c>
      <c r="AM314" s="60">
        <f t="shared" si="727"/>
        <v>43.640300000000003</v>
      </c>
      <c r="AN314" s="61">
        <f t="shared" si="728"/>
        <v>1.4900000000004354E-2</v>
      </c>
      <c r="AO314" s="62">
        <f>((AM314-MAX(AM$16:AM314))/MAX(AM$16:AM314))</f>
        <v>0</v>
      </c>
      <c r="AP314" s="16">
        <f t="shared" si="729"/>
        <v>3.4154414630019103E-4</v>
      </c>
      <c r="AQ314" s="153"/>
      <c r="AS314" s="16">
        <f t="shared" si="600"/>
        <v>2.7895925678268815E-3</v>
      </c>
      <c r="AT314" s="77">
        <f t="shared" ref="AT314:AV314" si="751">AT313</f>
        <v>2.8686459361286012E-3</v>
      </c>
      <c r="AU314" s="16">
        <f t="shared" si="751"/>
        <v>7.468036818832379E-4</v>
      </c>
      <c r="AV314" s="16" t="str">
        <f t="shared" si="751"/>
        <v>Low Volatility</v>
      </c>
      <c r="AW314" s="14" t="str">
        <f t="shared" si="661"/>
        <v>Stable</v>
      </c>
    </row>
    <row r="315" spans="1:49" ht="15.75" hidden="1" thickBot="1">
      <c r="A315" s="131" t="s">
        <v>688</v>
      </c>
      <c r="B315" s="131" t="s">
        <v>997</v>
      </c>
      <c r="C315" s="131" t="s">
        <v>998</v>
      </c>
      <c r="D315" s="15">
        <v>46065</v>
      </c>
      <c r="E315" s="60">
        <f t="shared" si="611"/>
        <v>6899.16</v>
      </c>
      <c r="F315" s="61">
        <f t="shared" si="612"/>
        <v>-239.78999999999996</v>
      </c>
      <c r="G315" s="62">
        <f>((E315-MAX(E$16:E315))/MAX(E$16:E315))</f>
        <v>-8.3855975247820555E-2</v>
      </c>
      <c r="H315" s="16">
        <f t="shared" si="576"/>
        <v>-3.3588973168323072E-2</v>
      </c>
      <c r="I315" s="153"/>
      <c r="K315" s="16">
        <f t="shared" si="637"/>
        <v>2.4751504637193712E-2</v>
      </c>
      <c r="L315" s="77">
        <f t="shared" ref="L315:N315" si="752">L314</f>
        <v>2.6424458822909207E-2</v>
      </c>
      <c r="M315" s="16">
        <f t="shared" si="752"/>
        <v>2.0651784348285046E-2</v>
      </c>
      <c r="N315" s="16" t="str">
        <f t="shared" si="752"/>
        <v>Low Volatility</v>
      </c>
      <c r="O315" s="14" t="str">
        <f t="shared" si="685"/>
        <v>Strong Uptrend</v>
      </c>
      <c r="S315" s="131" t="s">
        <v>688</v>
      </c>
      <c r="T315" s="131" t="s">
        <v>1368</v>
      </c>
      <c r="U315" s="131" t="s">
        <v>1369</v>
      </c>
      <c r="V315" s="15">
        <f t="shared" si="573"/>
        <v>46065</v>
      </c>
      <c r="W315" s="60">
        <f t="shared" si="689"/>
        <v>105.06</v>
      </c>
      <c r="X315" s="61">
        <f t="shared" si="690"/>
        <v>-13.579999999999998</v>
      </c>
      <c r="Y315" s="62">
        <f>((W315-MAX(W$16:W315))/MAX(W$16:W315))</f>
        <v>-0.35383479918814192</v>
      </c>
      <c r="Z315" s="16">
        <f t="shared" si="691"/>
        <v>-0.11446392447741063</v>
      </c>
      <c r="AA315" s="153"/>
      <c r="AC315" s="16">
        <f t="shared" si="715"/>
        <v>1.9702999126468029E-2</v>
      </c>
      <c r="AD315" s="16">
        <f t="shared" ref="AD315" si="753">AD312</f>
        <v>-2.5444641921005379E-3</v>
      </c>
      <c r="AE315" s="16">
        <f t="shared" ref="AE315:AF315" si="754">AE314</f>
        <v>6.4972533535295043E-2</v>
      </c>
      <c r="AF315" s="16" t="str">
        <f t="shared" si="754"/>
        <v>Medium Volatility</v>
      </c>
      <c r="AG315" s="14" t="str">
        <f t="shared" si="509"/>
        <v>Stable</v>
      </c>
      <c r="AI315" s="131" t="s">
        <v>688</v>
      </c>
      <c r="AJ315" s="131">
        <v>436356</v>
      </c>
      <c r="AK315" s="131">
        <v>436450</v>
      </c>
      <c r="AL315" s="15">
        <f t="shared" si="737"/>
        <v>46065</v>
      </c>
      <c r="AM315" s="60">
        <f t="shared" si="727"/>
        <v>43.645000000000003</v>
      </c>
      <c r="AN315" s="61">
        <f t="shared" si="728"/>
        <v>4.6999999999997044E-3</v>
      </c>
      <c r="AO315" s="62">
        <f>((AM315-MAX(AM$16:AM315))/MAX(AM$16:AM315))</f>
        <v>0</v>
      </c>
      <c r="AP315" s="16">
        <f t="shared" si="729"/>
        <v>1.0769861802049262E-4</v>
      </c>
      <c r="AQ315" s="153"/>
      <c r="AS315" s="16">
        <f t="shared" si="600"/>
        <v>2.5405196809880266E-3</v>
      </c>
      <c r="AT315" s="77">
        <f t="shared" ref="AT315:AV315" si="755">AT314</f>
        <v>2.8686459361286012E-3</v>
      </c>
      <c r="AU315" s="16">
        <f t="shared" si="755"/>
        <v>7.468036818832379E-4</v>
      </c>
      <c r="AV315" s="16" t="str">
        <f t="shared" si="755"/>
        <v>Low Volatility</v>
      </c>
      <c r="AW315" s="14" t="str">
        <f t="shared" si="661"/>
        <v>Stable</v>
      </c>
    </row>
    <row r="316" spans="1:49" ht="15.75" hidden="1" thickBot="1">
      <c r="A316" s="131" t="s">
        <v>689</v>
      </c>
      <c r="B316" s="131" t="s">
        <v>999</v>
      </c>
      <c r="C316" s="131" t="s">
        <v>1000</v>
      </c>
      <c r="D316" s="15">
        <v>46066</v>
      </c>
      <c r="E316" s="60">
        <f t="shared" si="611"/>
        <v>7075.98</v>
      </c>
      <c r="F316" s="61">
        <f t="shared" si="612"/>
        <v>176.81999999999971</v>
      </c>
      <c r="G316" s="62">
        <f>((E316-MAX(E$16:E316))/MAX(E$16:E316))</f>
        <v>-6.0375930364576773E-2</v>
      </c>
      <c r="H316" s="16">
        <f t="shared" si="576"/>
        <v>2.5629207033899738E-2</v>
      </c>
      <c r="I316" s="153"/>
      <c r="K316" s="16">
        <f t="shared" si="637"/>
        <v>1.9075311837062681E-2</v>
      </c>
      <c r="L316" s="77">
        <f t="shared" ref="L316:N316" si="756">L315</f>
        <v>2.6424458822909207E-2</v>
      </c>
      <c r="M316" s="16">
        <f t="shared" si="756"/>
        <v>2.0651784348285046E-2</v>
      </c>
      <c r="N316" s="16" t="str">
        <f t="shared" si="756"/>
        <v>Low Volatility</v>
      </c>
      <c r="O316" s="14" t="str">
        <f t="shared" si="685"/>
        <v>Strong Uptrend</v>
      </c>
      <c r="S316" s="131" t="s">
        <v>689</v>
      </c>
      <c r="T316" s="131" t="s">
        <v>1370</v>
      </c>
      <c r="U316" s="131" t="s">
        <v>1371</v>
      </c>
      <c r="V316" s="15">
        <f t="shared" si="573"/>
        <v>46066</v>
      </c>
      <c r="W316" s="60">
        <f t="shared" si="689"/>
        <v>108.35</v>
      </c>
      <c r="X316" s="61">
        <f t="shared" si="690"/>
        <v>3.289999999999992</v>
      </c>
      <c r="Y316" s="62">
        <f>((W316-MAX(W$16:W316))/MAX(W$16:W316))</f>
        <v>-0.33359985238944589</v>
      </c>
      <c r="Z316" s="16">
        <f t="shared" si="691"/>
        <v>3.1315438796877898E-2</v>
      </c>
      <c r="AA316" s="153"/>
      <c r="AC316" s="16">
        <f t="shared" si="715"/>
        <v>-2.9446949480077976E-3</v>
      </c>
      <c r="AD316" s="16">
        <f t="shared" ref="AD316" si="757">AD312</f>
        <v>-2.5444641921005379E-3</v>
      </c>
      <c r="AE316" s="16">
        <f t="shared" ref="AE316:AF316" si="758">AE315</f>
        <v>6.4972533535295043E-2</v>
      </c>
      <c r="AF316" s="16" t="str">
        <f t="shared" si="758"/>
        <v>Medium Volatility</v>
      </c>
      <c r="AG316" s="14" t="str">
        <f t="shared" si="509"/>
        <v>Stable</v>
      </c>
      <c r="AI316" s="131" t="s">
        <v>689</v>
      </c>
      <c r="AJ316" s="131">
        <v>436450</v>
      </c>
      <c r="AK316" s="131">
        <v>437288</v>
      </c>
      <c r="AL316" s="15">
        <f t="shared" si="737"/>
        <v>46066</v>
      </c>
      <c r="AM316" s="60">
        <f t="shared" si="727"/>
        <v>43.7288</v>
      </c>
      <c r="AN316" s="61">
        <f t="shared" si="728"/>
        <v>8.3799999999996544E-2</v>
      </c>
      <c r="AO316" s="62">
        <f>((AM316-MAX(AM$16:AM316))/MAX(AM$16:AM316))</f>
        <v>0</v>
      </c>
      <c r="AP316" s="16">
        <f t="shared" si="729"/>
        <v>1.9200366594110789E-3</v>
      </c>
      <c r="AQ316" s="153"/>
      <c r="AS316" s="16">
        <f t="shared" si="600"/>
        <v>2.8989229950644167E-3</v>
      </c>
      <c r="AT316" s="77">
        <f t="shared" ref="AT316:AV316" si="759">AT315</f>
        <v>2.8686459361286012E-3</v>
      </c>
      <c r="AU316" s="16">
        <f t="shared" si="759"/>
        <v>7.468036818832379E-4</v>
      </c>
      <c r="AV316" s="16" t="str">
        <f t="shared" si="759"/>
        <v>Low Volatility</v>
      </c>
      <c r="AW316" s="14" t="str">
        <f t="shared" si="661"/>
        <v>Stable</v>
      </c>
    </row>
    <row r="317" spans="1:49" ht="15.75" hidden="1" thickBot="1">
      <c r="A317" s="131" t="s">
        <v>690</v>
      </c>
      <c r="B317" s="131" t="s">
        <v>999</v>
      </c>
      <c r="C317" s="131" t="s">
        <v>1000</v>
      </c>
      <c r="D317" s="15">
        <v>46067</v>
      </c>
      <c r="E317" s="60">
        <f t="shared" si="611"/>
        <v>7075.98</v>
      </c>
      <c r="F317" s="61">
        <f t="shared" si="612"/>
        <v>0</v>
      </c>
      <c r="G317" s="62">
        <f>((E317-MAX(E$16:E317))/MAX(E$16:E317))</f>
        <v>-6.0375930364576773E-2</v>
      </c>
      <c r="H317" s="16">
        <f t="shared" si="576"/>
        <v>0</v>
      </c>
      <c r="I317" s="153"/>
      <c r="K317" s="16">
        <f t="shared" si="637"/>
        <v>1.9075311837062681E-2</v>
      </c>
      <c r="L317" s="77">
        <f t="shared" ref="L317:N317" si="760">L316</f>
        <v>2.6424458822909207E-2</v>
      </c>
      <c r="M317" s="16">
        <f t="shared" si="760"/>
        <v>2.0651784348285046E-2</v>
      </c>
      <c r="N317" s="16" t="str">
        <f t="shared" si="760"/>
        <v>Low Volatility</v>
      </c>
      <c r="O317" s="14" t="str">
        <f t="shared" si="685"/>
        <v>Strong Uptrend</v>
      </c>
      <c r="S317" s="131" t="s">
        <v>690</v>
      </c>
      <c r="T317" s="131" t="s">
        <v>1370</v>
      </c>
      <c r="U317" s="131" t="s">
        <v>1371</v>
      </c>
      <c r="V317" s="15">
        <f t="shared" si="573"/>
        <v>46067</v>
      </c>
      <c r="W317" s="60">
        <f t="shared" si="689"/>
        <v>108.35</v>
      </c>
      <c r="X317" s="61">
        <f t="shared" si="690"/>
        <v>0</v>
      </c>
      <c r="Y317" s="62">
        <f>((W317-MAX(W$16:W317))/MAX(W$16:W317))</f>
        <v>-0.33359985238944589</v>
      </c>
      <c r="Z317" s="16">
        <f t="shared" si="691"/>
        <v>0</v>
      </c>
      <c r="AA317" s="153"/>
      <c r="AC317" s="16">
        <f t="shared" si="715"/>
        <v>-2.9446949480077976E-3</v>
      </c>
      <c r="AD317" s="16">
        <f t="shared" ref="AD317" si="761">AD312</f>
        <v>-2.5444641921005379E-3</v>
      </c>
      <c r="AE317" s="16">
        <f t="shared" ref="AE317:AF317" si="762">AE316</f>
        <v>6.4972533535295043E-2</v>
      </c>
      <c r="AF317" s="16" t="str">
        <f t="shared" si="762"/>
        <v>Medium Volatility</v>
      </c>
      <c r="AG317" s="14" t="str">
        <f t="shared" si="509"/>
        <v>Stable</v>
      </c>
      <c r="AI317" s="131" t="s">
        <v>690</v>
      </c>
      <c r="AJ317" s="131">
        <v>436450</v>
      </c>
      <c r="AK317" s="131">
        <v>437288</v>
      </c>
      <c r="AL317" s="15">
        <f t="shared" si="737"/>
        <v>46067</v>
      </c>
      <c r="AM317" s="60">
        <f t="shared" si="727"/>
        <v>43.7288</v>
      </c>
      <c r="AN317" s="61">
        <f t="shared" si="728"/>
        <v>0</v>
      </c>
      <c r="AO317" s="62">
        <f>((AM317-MAX(AM$16:AM317))/MAX(AM$16:AM317))</f>
        <v>0</v>
      </c>
      <c r="AP317" s="16">
        <f t="shared" si="729"/>
        <v>0</v>
      </c>
      <c r="AQ317" s="153"/>
      <c r="AS317" s="16">
        <f t="shared" si="600"/>
        <v>2.8989229950644167E-3</v>
      </c>
      <c r="AT317" s="77">
        <f t="shared" ref="AT317:AV317" si="763">AT316</f>
        <v>2.8686459361286012E-3</v>
      </c>
      <c r="AU317" s="16">
        <f t="shared" si="763"/>
        <v>7.468036818832379E-4</v>
      </c>
      <c r="AV317" s="16" t="str">
        <f t="shared" si="763"/>
        <v>Low Volatility</v>
      </c>
      <c r="AW317" s="14" t="str">
        <f t="shared" si="661"/>
        <v>Stable</v>
      </c>
    </row>
    <row r="318" spans="1:49" ht="15.75" hidden="1" thickBot="1">
      <c r="A318" s="131" t="s">
        <v>691</v>
      </c>
      <c r="B318" s="131" t="s">
        <v>999</v>
      </c>
      <c r="C318" s="131" t="s">
        <v>1000</v>
      </c>
      <c r="D318" s="15">
        <v>46068</v>
      </c>
      <c r="E318" s="60">
        <f t="shared" si="611"/>
        <v>7075.98</v>
      </c>
      <c r="F318" s="61">
        <f t="shared" si="612"/>
        <v>0</v>
      </c>
      <c r="G318" s="62">
        <f>((E318-MAX(E$16:E318))/MAX(E$16:E318))</f>
        <v>-6.0375930364576773E-2</v>
      </c>
      <c r="H318" s="16">
        <f t="shared" si="576"/>
        <v>0</v>
      </c>
      <c r="I318" s="153"/>
      <c r="K318" s="16">
        <f t="shared" si="637"/>
        <v>1.9075311837062681E-2</v>
      </c>
      <c r="L318" s="77">
        <f t="shared" ref="L318:N318" si="764">L317</f>
        <v>2.6424458822909207E-2</v>
      </c>
      <c r="M318" s="16">
        <f t="shared" si="764"/>
        <v>2.0651784348285046E-2</v>
      </c>
      <c r="N318" s="16" t="str">
        <f t="shared" si="764"/>
        <v>Low Volatility</v>
      </c>
      <c r="O318" s="14" t="str">
        <f t="shared" si="685"/>
        <v>Strong Uptrend</v>
      </c>
      <c r="S318" s="131" t="s">
        <v>691</v>
      </c>
      <c r="T318" s="131" t="s">
        <v>1370</v>
      </c>
      <c r="U318" s="131" t="s">
        <v>1371</v>
      </c>
      <c r="V318" s="15">
        <f t="shared" si="573"/>
        <v>46068</v>
      </c>
      <c r="W318" s="60">
        <f t="shared" si="689"/>
        <v>108.35</v>
      </c>
      <c r="X318" s="61">
        <f t="shared" si="690"/>
        <v>0</v>
      </c>
      <c r="Y318" s="62">
        <f>((W318-MAX(W$16:W318))/MAX(W$16:W318))</f>
        <v>-0.33359985238944589</v>
      </c>
      <c r="Z318" s="16">
        <f t="shared" si="691"/>
        <v>0</v>
      </c>
      <c r="AA318" s="153"/>
      <c r="AC318" s="16">
        <f t="shared" si="715"/>
        <v>-2.9446949480077976E-3</v>
      </c>
      <c r="AD318" s="16">
        <f t="shared" ref="AD318:AE318" si="765">AD312</f>
        <v>-2.5444641921005379E-3</v>
      </c>
      <c r="AE318" s="16">
        <f t="shared" si="765"/>
        <v>6.4972533535295043E-2</v>
      </c>
      <c r="AF318" s="16" t="str">
        <f t="shared" ref="AF318" si="766">IF(AE318 &lt; 0.02, "Low Volatility",
 IF(AE318 &gt; 0.1, "High Volatility", "Medium Volatility"))</f>
        <v>Medium Volatility</v>
      </c>
      <c r="AG318" s="14" t="str">
        <f t="shared" si="509"/>
        <v>Stable</v>
      </c>
      <c r="AI318" s="131" t="s">
        <v>691</v>
      </c>
      <c r="AJ318" s="131">
        <v>436450</v>
      </c>
      <c r="AK318" s="131">
        <v>437288</v>
      </c>
      <c r="AL318" s="15">
        <f t="shared" si="737"/>
        <v>46068</v>
      </c>
      <c r="AM318" s="60">
        <f t="shared" si="727"/>
        <v>43.7288</v>
      </c>
      <c r="AN318" s="61">
        <f t="shared" si="728"/>
        <v>0</v>
      </c>
      <c r="AO318" s="62">
        <f>((AM318-MAX(AM$16:AM318))/MAX(AM$16:AM318))</f>
        <v>0</v>
      </c>
      <c r="AP318" s="16">
        <f t="shared" si="729"/>
        <v>0</v>
      </c>
      <c r="AQ318" s="153"/>
      <c r="AS318" s="16">
        <f t="shared" si="600"/>
        <v>2.8989229950644167E-3</v>
      </c>
      <c r="AT318" s="77">
        <f t="shared" ref="AT318:AV318" si="767">AT317</f>
        <v>2.8686459361286012E-3</v>
      </c>
      <c r="AU318" s="16">
        <f t="shared" si="767"/>
        <v>7.468036818832379E-4</v>
      </c>
      <c r="AV318" s="16" t="str">
        <f t="shared" si="767"/>
        <v>Low Volatility</v>
      </c>
      <c r="AW318" s="14" t="str">
        <f t="shared" si="661"/>
        <v>Stable</v>
      </c>
    </row>
    <row r="319" spans="1:49" ht="15.75" hidden="1" thickBot="1">
      <c r="A319" s="131" t="s">
        <v>692</v>
      </c>
      <c r="B319" s="131" t="s">
        <v>1001</v>
      </c>
      <c r="C319" s="131" t="s">
        <v>1002</v>
      </c>
      <c r="D319" s="15">
        <v>46069</v>
      </c>
      <c r="E319" s="60">
        <f t="shared" si="611"/>
        <v>7015.72</v>
      </c>
      <c r="F319" s="61">
        <f t="shared" si="612"/>
        <v>-60.259999999999309</v>
      </c>
      <c r="G319" s="62">
        <f>((E319-MAX(E$16:E319))/MAX(E$16:E319))</f>
        <v>-6.8377895666376656E-2</v>
      </c>
      <c r="H319" s="16">
        <f t="shared" si="576"/>
        <v>-8.5161348675376856E-3</v>
      </c>
      <c r="I319" s="153">
        <f>AVERAGEIFS(E319:E326, E319:E326, "&gt;=0")</f>
        <v>7106.6324999999997</v>
      </c>
      <c r="K319" s="16">
        <f t="shared" si="637"/>
        <v>-1.4521498504024399E-2</v>
      </c>
      <c r="L319" s="77">
        <f t="shared" ref="L319" si="768">(I319-I312)/I312</f>
        <v>6.987069104465538E-3</v>
      </c>
      <c r="M319" s="16" cm="1">
        <f t="array" ref="M319">_xlfn.STDEV.S(_xlfn._xlws.FILTER(F319:F325, ISNUMBER(F319:F325))) / I319</f>
        <v>1.5469524906846733E-2</v>
      </c>
      <c r="N319" s="16" t="str" cm="1">
        <f t="array" ref="N319">_xlfn.LET(
  _xlpm.c, M140,
  IFERROR(
    _xlfn.IFS(_xlpm.c&lt;0.02,"Low Volatility",
        _xlpm.c&gt;0.1,"High Volatility",
        TRUE,"Medium Volatility"),
    "Insufficient data"
  )
)</f>
        <v>Low Volatility</v>
      </c>
      <c r="O319" s="14" t="str">
        <f t="shared" si="685"/>
        <v>Weak/Unconfirmed</v>
      </c>
      <c r="S319" s="131" t="s">
        <v>692</v>
      </c>
      <c r="T319" s="131" t="s">
        <v>1372</v>
      </c>
      <c r="U319" s="131" t="s">
        <v>1373</v>
      </c>
      <c r="V319" s="15">
        <f t="shared" si="573"/>
        <v>46069</v>
      </c>
      <c r="W319" s="60">
        <f t="shared" si="689"/>
        <v>107.7</v>
      </c>
      <c r="X319" s="61">
        <f t="shared" si="690"/>
        <v>-0.64999999999999147</v>
      </c>
      <c r="Y319" s="62">
        <f>((W319-MAX(W$16:W319))/MAX(W$16:W319))</f>
        <v>-0.33759763823113353</v>
      </c>
      <c r="Z319" s="16">
        <f t="shared" si="691"/>
        <v>-5.9990770650668341E-3</v>
      </c>
      <c r="AA319" s="153">
        <f t="shared" ref="AA319" si="769">AVERAGEIFS(W319:W325, W319:W325, "&gt;=0")</f>
        <v>112.51571428571431</v>
      </c>
      <c r="AC319" s="16">
        <f t="shared" si="715"/>
        <v>-8.4339398061554174E-2</v>
      </c>
      <c r="AD319" s="66">
        <f t="shared" ref="AD319" si="770">(AA319-AA312)/AA312</f>
        <v>9.6269709011666694E-3</v>
      </c>
      <c r="AE319" s="16" cm="1">
        <f t="array" ref="AE319">_xlfn.STDEV.S(_xlfn._xlws.FILTER(X319:X325, ISNUMBER(X319:X325))) / AA319</f>
        <v>3.9416013803368406E-2</v>
      </c>
      <c r="AF319" s="16" t="str">
        <f t="shared" ref="AF319:AF324" si="771">AF318</f>
        <v>Medium Volatility</v>
      </c>
      <c r="AG319" s="14" t="str">
        <f t="shared" si="509"/>
        <v>Weak/Unconfirmed</v>
      </c>
      <c r="AI319" s="131" t="s">
        <v>692</v>
      </c>
      <c r="AJ319" s="131">
        <v>437057</v>
      </c>
      <c r="AK319" s="131">
        <v>437040</v>
      </c>
      <c r="AL319" s="15">
        <f t="shared" si="737"/>
        <v>46069</v>
      </c>
      <c r="AM319" s="60">
        <f t="shared" si="727"/>
        <v>43.704000000000001</v>
      </c>
      <c r="AN319" s="61">
        <f t="shared" si="728"/>
        <v>-2.4799999999999045E-2</v>
      </c>
      <c r="AO319" s="62">
        <f>((AM319-MAX(AM$16:AM319))/MAX(AM$16:AM319))</f>
        <v>-5.671319588005856E-4</v>
      </c>
      <c r="AP319" s="16">
        <f t="shared" si="729"/>
        <v>-5.671319588005856E-4</v>
      </c>
      <c r="AQ319" s="153">
        <f t="shared" ref="AQ319" si="772">AVERAGEIFS(AM319:AM325, AM319:AM325, "&gt;=0")</f>
        <v>43.776000000000003</v>
      </c>
      <c r="AS319" s="16">
        <f t="shared" si="600"/>
        <v>2.6129786350570657E-3</v>
      </c>
      <c r="AT319" s="77">
        <f t="shared" ref="AT319" si="773">(AQ319-AQ312)/AQ312</f>
        <v>2.436477549599901E-3</v>
      </c>
      <c r="AU319" s="16" cm="1">
        <f t="array" ref="AU319">_xlfn.STDEV.S(_xlfn._xlws.FILTER(AN319:AN325, ISNUMBER(AN319:AN325))) / AQ319</f>
        <v>7.2178976794456398E-4</v>
      </c>
      <c r="AV319" s="16" t="str">
        <f t="shared" ref="AV319" si="774">IF(AU319 &lt; 0.02, "Low Volatility",
 IF(AU319 &gt; 0.1, "High Volatility", "Medium Volatility"))</f>
        <v>Low Volatility</v>
      </c>
      <c r="AW319" s="14" t="str">
        <f t="shared" si="661"/>
        <v>Stable</v>
      </c>
    </row>
    <row r="320" spans="1:49" ht="15.75" hidden="1" thickBot="1">
      <c r="A320" s="131" t="s">
        <v>693</v>
      </c>
      <c r="B320" s="131" t="s">
        <v>1003</v>
      </c>
      <c r="C320" s="131" t="s">
        <v>1004</v>
      </c>
      <c r="D320" s="15">
        <v>46070</v>
      </c>
      <c r="E320" s="60">
        <f t="shared" si="611"/>
        <v>6858.06</v>
      </c>
      <c r="F320" s="61">
        <f t="shared" si="612"/>
        <v>-157.65999999999985</v>
      </c>
      <c r="G320" s="62">
        <f>((E320-MAX(E$16:E320))/MAX(E$16:E320))</f>
        <v>-8.9313671462622646E-2</v>
      </c>
      <c r="H320" s="16">
        <f t="shared" si="576"/>
        <v>-2.247239057431024E-2</v>
      </c>
      <c r="I320" s="153"/>
      <c r="K320" s="16">
        <f t="shared" si="637"/>
        <v>-2.8288212465516382E-2</v>
      </c>
      <c r="L320" s="77">
        <f t="shared" ref="L320:N320" si="775">L319</f>
        <v>6.987069104465538E-3</v>
      </c>
      <c r="M320" s="16">
        <f t="shared" si="775"/>
        <v>1.5469524906846733E-2</v>
      </c>
      <c r="N320" s="16" t="str">
        <f t="shared" si="775"/>
        <v>Low Volatility</v>
      </c>
      <c r="O320" s="14" t="str">
        <f t="shared" si="685"/>
        <v>Weak/Unconfirmed</v>
      </c>
      <c r="S320" s="131" t="s">
        <v>693</v>
      </c>
      <c r="T320" s="131" t="s">
        <v>1373</v>
      </c>
      <c r="U320" s="131" t="s">
        <v>1374</v>
      </c>
      <c r="V320" s="15">
        <f t="shared" si="573"/>
        <v>46070</v>
      </c>
      <c r="W320" s="60">
        <f t="shared" si="689"/>
        <v>103.1</v>
      </c>
      <c r="X320" s="61">
        <f t="shared" si="690"/>
        <v>-4.6000000000000085</v>
      </c>
      <c r="Y320" s="62">
        <f>((W320-MAX(W$16:W320))/MAX(W$16:W320))</f>
        <v>-0.36588966111076948</v>
      </c>
      <c r="Z320" s="16">
        <f t="shared" si="691"/>
        <v>-4.2711234911792094E-2</v>
      </c>
      <c r="AA320" s="153"/>
      <c r="AC320" s="16">
        <f t="shared" si="715"/>
        <v>-9.3466983205838475E-2</v>
      </c>
      <c r="AD320" s="16">
        <f t="shared" ref="AD320" si="776">AD319</f>
        <v>9.6269709011666694E-3</v>
      </c>
      <c r="AE320" s="16">
        <f t="shared" ref="AE320:AE324" si="777">AE319</f>
        <v>3.9416013803368406E-2</v>
      </c>
      <c r="AF320" s="16" t="str">
        <f t="shared" si="771"/>
        <v>Medium Volatility</v>
      </c>
      <c r="AG320" s="14" t="str">
        <f t="shared" ref="AG320:AG383" si="778">IF(AND(AC320 &gt; 0.01, AD320 &gt; 0.01), "Strong Uptrend",
 IF(AND(AC320 &lt; -0.01, AD320 &lt; -0.01), "Strong Downtrend",
 IF(ABS(AD320) &lt; 0.005, "Stable", "Weak/Unconfirmed")))</f>
        <v>Weak/Unconfirmed</v>
      </c>
      <c r="AI320" s="131" t="s">
        <v>693</v>
      </c>
      <c r="AJ320" s="131">
        <v>437038</v>
      </c>
      <c r="AK320" s="131">
        <v>437239</v>
      </c>
      <c r="AL320" s="15">
        <f t="shared" si="737"/>
        <v>46070</v>
      </c>
      <c r="AM320" s="60">
        <f t="shared" si="727"/>
        <v>43.7239</v>
      </c>
      <c r="AN320" s="61">
        <f t="shared" si="728"/>
        <v>1.9899999999999807E-2</v>
      </c>
      <c r="AO320" s="62">
        <f>((AM320-MAX(AM$16:AM320))/MAX(AM$16:AM320))</f>
        <v>-1.1205429831139292E-4</v>
      </c>
      <c r="AP320" s="16">
        <f t="shared" si="729"/>
        <v>4.5533589602781912E-4</v>
      </c>
      <c r="AQ320" s="153"/>
      <c r="AS320" s="16">
        <f t="shared" si="600"/>
        <v>2.2578589537288222E-3</v>
      </c>
      <c r="AT320" s="77">
        <f t="shared" ref="AT320:AV320" si="779">AT319</f>
        <v>2.436477549599901E-3</v>
      </c>
      <c r="AU320" s="16">
        <f t="shared" si="779"/>
        <v>7.2178976794456398E-4</v>
      </c>
      <c r="AV320" s="16" t="str">
        <f t="shared" si="779"/>
        <v>Low Volatility</v>
      </c>
      <c r="AW320" s="14" t="str">
        <f t="shared" si="661"/>
        <v>Stable</v>
      </c>
    </row>
    <row r="321" spans="1:49" ht="15.75" hidden="1" thickBot="1">
      <c r="A321" s="131" t="s">
        <v>694</v>
      </c>
      <c r="B321" s="131" t="s">
        <v>1005</v>
      </c>
      <c r="C321" s="131" t="s">
        <v>1006</v>
      </c>
      <c r="D321" s="15">
        <v>46071</v>
      </c>
      <c r="E321" s="60">
        <f t="shared" si="611"/>
        <v>7012.47</v>
      </c>
      <c r="F321" s="61">
        <f t="shared" si="612"/>
        <v>154.40999999999985</v>
      </c>
      <c r="G321" s="62">
        <f>((E321-MAX(E$16:E321))/MAX(E$16:E321))</f>
        <v>-6.8809465318398738E-2</v>
      </c>
      <c r="H321" s="16">
        <f t="shared" si="576"/>
        <v>2.2515113603555501E-2</v>
      </c>
      <c r="I321" s="153"/>
      <c r="K321" s="16">
        <f t="shared" si="637"/>
        <v>-1.7716891139453222E-2</v>
      </c>
      <c r="L321" s="77">
        <f t="shared" ref="L321:N321" si="780">L320</f>
        <v>6.987069104465538E-3</v>
      </c>
      <c r="M321" s="16">
        <f t="shared" si="780"/>
        <v>1.5469524906846733E-2</v>
      </c>
      <c r="N321" s="16" t="str">
        <f t="shared" si="780"/>
        <v>Low Volatility</v>
      </c>
      <c r="O321" s="14" t="str">
        <f t="shared" si="685"/>
        <v>Weak/Unconfirmed</v>
      </c>
      <c r="S321" s="131" t="s">
        <v>694</v>
      </c>
      <c r="T321" s="131" t="s">
        <v>1375</v>
      </c>
      <c r="U321" s="131" t="s">
        <v>1375</v>
      </c>
      <c r="V321" s="15">
        <f t="shared" si="573"/>
        <v>46071</v>
      </c>
      <c r="W321" s="60">
        <f t="shared" si="689"/>
        <v>108.89</v>
      </c>
      <c r="X321" s="61">
        <f t="shared" si="690"/>
        <v>5.7900000000000063</v>
      </c>
      <c r="Y321" s="62">
        <f>((W321-MAX(W$16:W321))/MAX(W$16:W321))</f>
        <v>-0.33027861492096688</v>
      </c>
      <c r="Z321" s="16">
        <f t="shared" si="691"/>
        <v>5.6159068865179504E-2</v>
      </c>
      <c r="AA321" s="153"/>
      <c r="AC321" s="16">
        <f t="shared" si="715"/>
        <v>-8.2181389076196903E-2</v>
      </c>
      <c r="AD321" s="16">
        <f t="shared" ref="AD321" si="781">AD319</f>
        <v>9.6269709011666694E-3</v>
      </c>
      <c r="AE321" s="16">
        <f t="shared" si="777"/>
        <v>3.9416013803368406E-2</v>
      </c>
      <c r="AF321" s="16" t="str">
        <f t="shared" si="771"/>
        <v>Medium Volatility</v>
      </c>
      <c r="AG321" s="14" t="str">
        <f t="shared" si="778"/>
        <v>Weak/Unconfirmed</v>
      </c>
      <c r="AI321" s="131" t="s">
        <v>694</v>
      </c>
      <c r="AJ321" s="131">
        <v>437240</v>
      </c>
      <c r="AK321" s="131">
        <v>437597</v>
      </c>
      <c r="AL321" s="15">
        <f t="shared" si="737"/>
        <v>46071</v>
      </c>
      <c r="AM321" s="60">
        <f t="shared" si="727"/>
        <v>43.759700000000002</v>
      </c>
      <c r="AN321" s="61">
        <f t="shared" si="728"/>
        <v>3.580000000000183E-2</v>
      </c>
      <c r="AO321" s="62">
        <f>((AM321-MAX(AM$16:AM321))/MAX(AM$16:AM321))</f>
        <v>0</v>
      </c>
      <c r="AP321" s="16">
        <f t="shared" si="729"/>
        <v>8.1877417156296282E-4</v>
      </c>
      <c r="AQ321" s="153"/>
      <c r="AS321" s="16">
        <f t="shared" si="600"/>
        <v>2.7360031897122345E-3</v>
      </c>
      <c r="AT321" s="77">
        <f t="shared" ref="AT321:AV321" si="782">AT320</f>
        <v>2.436477549599901E-3</v>
      </c>
      <c r="AU321" s="16">
        <f t="shared" si="782"/>
        <v>7.2178976794456398E-4</v>
      </c>
      <c r="AV321" s="16" t="str">
        <f t="shared" si="782"/>
        <v>Low Volatility</v>
      </c>
      <c r="AW321" s="14" t="str">
        <f t="shared" si="661"/>
        <v>Stable</v>
      </c>
    </row>
    <row r="322" spans="1:49" ht="15.75" hidden="1" thickBot="1">
      <c r="A322" s="131" t="s">
        <v>695</v>
      </c>
      <c r="B322" s="131" t="s">
        <v>1007</v>
      </c>
      <c r="C322" s="131" t="s">
        <v>1008</v>
      </c>
      <c r="D322" s="15">
        <v>46072</v>
      </c>
      <c r="E322" s="60">
        <f t="shared" si="611"/>
        <v>7037.44</v>
      </c>
      <c r="F322" s="61">
        <f t="shared" si="612"/>
        <v>24.969999999999345</v>
      </c>
      <c r="G322" s="62">
        <f>((E322-MAX(E$16:E322))/MAX(E$16:E322))</f>
        <v>-6.5493682484247709E-2</v>
      </c>
      <c r="H322" s="16">
        <f t="shared" si="576"/>
        <v>3.5607995470924429E-3</v>
      </c>
      <c r="I322" s="153"/>
      <c r="K322" s="16">
        <f t="shared" si="637"/>
        <v>2.0043019729938102E-2</v>
      </c>
      <c r="L322" s="77">
        <f t="shared" ref="L322:N322" si="783">L321</f>
        <v>6.987069104465538E-3</v>
      </c>
      <c r="M322" s="16">
        <f t="shared" si="783"/>
        <v>1.5469524906846733E-2</v>
      </c>
      <c r="N322" s="16" t="str">
        <f t="shared" si="783"/>
        <v>Low Volatility</v>
      </c>
      <c r="O322" s="14" t="str">
        <f t="shared" si="685"/>
        <v>Weak/Unconfirmed</v>
      </c>
      <c r="S322" s="131" t="s">
        <v>695</v>
      </c>
      <c r="T322" s="131" t="s">
        <v>1375</v>
      </c>
      <c r="U322" s="131" t="s">
        <v>1376</v>
      </c>
      <c r="V322" s="15">
        <f t="shared" si="573"/>
        <v>46072</v>
      </c>
      <c r="W322" s="60">
        <f t="shared" si="689"/>
        <v>110.38</v>
      </c>
      <c r="X322" s="61">
        <f t="shared" si="690"/>
        <v>1.4899999999999949</v>
      </c>
      <c r="Y322" s="62">
        <f>((W322-MAX(W$16:W322))/MAX(W$16:W322))</f>
        <v>-0.32111445968386743</v>
      </c>
      <c r="Z322" s="16">
        <f t="shared" si="691"/>
        <v>1.3683533841491366E-2</v>
      </c>
      <c r="AA322" s="153"/>
      <c r="AC322" s="16">
        <f t="shared" si="715"/>
        <v>5.0637730820483465E-2</v>
      </c>
      <c r="AD322" s="16">
        <f t="shared" ref="AD322" si="784">AD319</f>
        <v>9.6269709011666694E-3</v>
      </c>
      <c r="AE322" s="16">
        <f t="shared" si="777"/>
        <v>3.9416013803368406E-2</v>
      </c>
      <c r="AF322" s="16" t="str">
        <f t="shared" si="771"/>
        <v>Medium Volatility</v>
      </c>
      <c r="AG322" s="14" t="str">
        <f t="shared" si="778"/>
        <v>Weak/Unconfirmed</v>
      </c>
      <c r="AI322" s="131" t="s">
        <v>695</v>
      </c>
      <c r="AJ322" s="131">
        <v>437597</v>
      </c>
      <c r="AK322" s="131">
        <v>437574</v>
      </c>
      <c r="AL322" s="15">
        <f t="shared" si="737"/>
        <v>46072</v>
      </c>
      <c r="AM322" s="60">
        <f t="shared" si="727"/>
        <v>43.757399999999997</v>
      </c>
      <c r="AN322" s="61">
        <f t="shared" si="728"/>
        <v>-2.3000000000052978E-3</v>
      </c>
      <c r="AO322" s="62">
        <f>((AM322-MAX(AM$16:AM322))/MAX(AM$16:AM322))</f>
        <v>-5.2559775318507613E-5</v>
      </c>
      <c r="AP322" s="16">
        <f t="shared" si="729"/>
        <v>-5.2559775318507613E-5</v>
      </c>
      <c r="AQ322" s="153"/>
      <c r="AS322" s="16">
        <f t="shared" si="600"/>
        <v>2.5753236338639895E-3</v>
      </c>
      <c r="AT322" s="77">
        <f t="shared" ref="AT322:AV322" si="785">AT321</f>
        <v>2.436477549599901E-3</v>
      </c>
      <c r="AU322" s="16">
        <f t="shared" si="785"/>
        <v>7.2178976794456398E-4</v>
      </c>
      <c r="AV322" s="16" t="str">
        <f t="shared" si="785"/>
        <v>Low Volatility</v>
      </c>
      <c r="AW322" s="14" t="str">
        <f t="shared" si="661"/>
        <v>Stable</v>
      </c>
    </row>
    <row r="323" spans="1:49" ht="15.75" hidden="1" thickBot="1">
      <c r="A323" s="131" t="s">
        <v>696</v>
      </c>
      <c r="B323" s="131" t="s">
        <v>1009</v>
      </c>
      <c r="C323" s="131" t="s">
        <v>1010</v>
      </c>
      <c r="D323" s="15">
        <v>46073</v>
      </c>
      <c r="E323" s="60">
        <f t="shared" si="611"/>
        <v>7183.04</v>
      </c>
      <c r="F323" s="61">
        <f t="shared" si="612"/>
        <v>145.60000000000036</v>
      </c>
      <c r="G323" s="62">
        <f>((E323-MAX(E$16:E323))/MAX(E$16:E323))</f>
        <v>-4.6159362073658942E-2</v>
      </c>
      <c r="H323" s="16">
        <f t="shared" si="576"/>
        <v>2.0689341578755963E-2</v>
      </c>
      <c r="I323" s="153"/>
      <c r="K323" s="16">
        <f t="shared" si="637"/>
        <v>1.5130059723176211E-2</v>
      </c>
      <c r="L323" s="77">
        <f t="shared" ref="L323:N323" si="786">L322</f>
        <v>6.987069104465538E-3</v>
      </c>
      <c r="M323" s="16">
        <f t="shared" si="786"/>
        <v>1.5469524906846733E-2</v>
      </c>
      <c r="N323" s="16" t="str">
        <f t="shared" si="786"/>
        <v>Low Volatility</v>
      </c>
      <c r="O323" s="14" t="str">
        <f t="shared" si="685"/>
        <v>Weak/Unconfirmed</v>
      </c>
      <c r="S323" s="131" t="s">
        <v>696</v>
      </c>
      <c r="T323" s="131" t="s">
        <v>1376</v>
      </c>
      <c r="U323" s="131" t="s">
        <v>1377</v>
      </c>
      <c r="V323" s="15">
        <f t="shared" si="573"/>
        <v>46073</v>
      </c>
      <c r="W323" s="60">
        <f t="shared" si="689"/>
        <v>119.18</v>
      </c>
      <c r="X323" s="61">
        <f t="shared" si="690"/>
        <v>8.8000000000000114</v>
      </c>
      <c r="Y323" s="62">
        <f>((W323-MAX(W$16:W323))/MAX(W$16:W323))</f>
        <v>-0.26699058982717261</v>
      </c>
      <c r="Z323" s="16">
        <f t="shared" si="691"/>
        <v>7.9724587787642798E-2</v>
      </c>
      <c r="AA323" s="153"/>
      <c r="AC323" s="16">
        <f t="shared" si="715"/>
        <v>9.9953853253345756E-2</v>
      </c>
      <c r="AD323" s="16">
        <f t="shared" ref="AD323" si="787">AD319</f>
        <v>9.6269709011666694E-3</v>
      </c>
      <c r="AE323" s="16">
        <f t="shared" si="777"/>
        <v>3.9416013803368406E-2</v>
      </c>
      <c r="AF323" s="16" t="str">
        <f t="shared" si="771"/>
        <v>Medium Volatility</v>
      </c>
      <c r="AG323" s="14" t="str">
        <f t="shared" si="778"/>
        <v>Weak/Unconfirmed</v>
      </c>
      <c r="AI323" s="131" t="s">
        <v>696</v>
      </c>
      <c r="AJ323" s="131">
        <v>437574</v>
      </c>
      <c r="AK323" s="131">
        <v>438290</v>
      </c>
      <c r="AL323" s="15">
        <f t="shared" si="737"/>
        <v>46073</v>
      </c>
      <c r="AM323" s="60">
        <f t="shared" si="727"/>
        <v>43.829000000000001</v>
      </c>
      <c r="AN323" s="61">
        <f t="shared" si="728"/>
        <v>7.1600000000003661E-2</v>
      </c>
      <c r="AO323" s="62">
        <f>((AM323-MAX(AM$16:AM323))/MAX(AM$16:AM323))</f>
        <v>0</v>
      </c>
      <c r="AP323" s="16">
        <f t="shared" si="729"/>
        <v>1.6362946610174202E-3</v>
      </c>
      <c r="AQ323" s="153"/>
      <c r="AS323" s="16">
        <f t="shared" si="600"/>
        <v>2.2913960593476373E-3</v>
      </c>
      <c r="AT323" s="77">
        <f t="shared" ref="AT323:AV323" si="788">AT322</f>
        <v>2.436477549599901E-3</v>
      </c>
      <c r="AU323" s="16">
        <f t="shared" si="788"/>
        <v>7.2178976794456398E-4</v>
      </c>
      <c r="AV323" s="16" t="str">
        <f t="shared" si="788"/>
        <v>Low Volatility</v>
      </c>
      <c r="AW323" s="14" t="str">
        <f t="shared" si="661"/>
        <v>Stable</v>
      </c>
    </row>
    <row r="324" spans="1:49" ht="15.75" hidden="1" thickBot="1">
      <c r="A324" s="131" t="s">
        <v>697</v>
      </c>
      <c r="B324" s="131" t="s">
        <v>1009</v>
      </c>
      <c r="C324" s="131" t="s">
        <v>1010</v>
      </c>
      <c r="D324" s="15">
        <v>46074</v>
      </c>
      <c r="E324" s="60">
        <f t="shared" si="611"/>
        <v>7183.04</v>
      </c>
      <c r="F324" s="61">
        <f t="shared" si="612"/>
        <v>0</v>
      </c>
      <c r="G324" s="62">
        <f>((E324-MAX(E$16:E324))/MAX(E$16:E324))</f>
        <v>-4.6159362073658942E-2</v>
      </c>
      <c r="H324" s="16">
        <f t="shared" si="576"/>
        <v>0</v>
      </c>
      <c r="I324" s="153"/>
      <c r="K324" s="16">
        <f t="shared" si="637"/>
        <v>1.5130059723176211E-2</v>
      </c>
      <c r="L324" s="77">
        <f t="shared" ref="L324:N324" si="789">L323</f>
        <v>6.987069104465538E-3</v>
      </c>
      <c r="M324" s="16">
        <f t="shared" si="789"/>
        <v>1.5469524906846733E-2</v>
      </c>
      <c r="N324" s="16" t="str">
        <f t="shared" si="789"/>
        <v>Low Volatility</v>
      </c>
      <c r="O324" s="14" t="str">
        <f t="shared" si="685"/>
        <v>Weak/Unconfirmed</v>
      </c>
      <c r="S324" s="131" t="s">
        <v>697</v>
      </c>
      <c r="T324" s="131" t="s">
        <v>1376</v>
      </c>
      <c r="U324" s="131" t="s">
        <v>1377</v>
      </c>
      <c r="V324" s="15">
        <f t="shared" si="573"/>
        <v>46074</v>
      </c>
      <c r="W324" s="60">
        <f t="shared" si="689"/>
        <v>119.18</v>
      </c>
      <c r="X324" s="61">
        <f t="shared" si="690"/>
        <v>0</v>
      </c>
      <c r="Y324" s="62">
        <f>((W324-MAX(W$16:W324))/MAX(W$16:W324))</f>
        <v>-0.26699058982717261</v>
      </c>
      <c r="Z324" s="16">
        <f t="shared" si="691"/>
        <v>0</v>
      </c>
      <c r="AA324" s="153"/>
      <c r="AC324" s="16">
        <f t="shared" si="715"/>
        <v>9.9953853253345756E-2</v>
      </c>
      <c r="AD324" s="16">
        <f t="shared" ref="AD324" si="790">AD319</f>
        <v>9.6269709011666694E-3</v>
      </c>
      <c r="AE324" s="16">
        <f t="shared" si="777"/>
        <v>3.9416013803368406E-2</v>
      </c>
      <c r="AF324" s="16" t="str">
        <f t="shared" si="771"/>
        <v>Medium Volatility</v>
      </c>
      <c r="AG324" s="14" t="str">
        <f t="shared" si="778"/>
        <v>Weak/Unconfirmed</v>
      </c>
      <c r="AI324" s="131" t="s">
        <v>697</v>
      </c>
      <c r="AJ324" s="131">
        <v>437574</v>
      </c>
      <c r="AK324" s="131">
        <v>438290</v>
      </c>
      <c r="AL324" s="15">
        <f t="shared" si="737"/>
        <v>46074</v>
      </c>
      <c r="AM324" s="60">
        <f t="shared" si="727"/>
        <v>43.829000000000001</v>
      </c>
      <c r="AN324" s="61">
        <f t="shared" si="728"/>
        <v>0</v>
      </c>
      <c r="AO324" s="62">
        <f>((AM324-MAX(AM$16:AM324))/MAX(AM$16:AM324))</f>
        <v>0</v>
      </c>
      <c r="AP324" s="16">
        <f t="shared" si="729"/>
        <v>0</v>
      </c>
      <c r="AQ324" s="153"/>
      <c r="AS324" s="16">
        <f t="shared" si="600"/>
        <v>2.2913960593476373E-3</v>
      </c>
      <c r="AT324" s="77">
        <f t="shared" ref="AT324:AV324" si="791">AT323</f>
        <v>2.436477549599901E-3</v>
      </c>
      <c r="AU324" s="16">
        <f t="shared" si="791"/>
        <v>7.2178976794456398E-4</v>
      </c>
      <c r="AV324" s="16" t="str">
        <f t="shared" si="791"/>
        <v>Low Volatility</v>
      </c>
      <c r="AW324" s="14" t="str">
        <f t="shared" si="661"/>
        <v>Stable</v>
      </c>
    </row>
    <row r="325" spans="1:49" ht="15.75" hidden="1" thickBot="1">
      <c r="A325" s="131" t="s">
        <v>698</v>
      </c>
      <c r="B325" s="131" t="s">
        <v>1009</v>
      </c>
      <c r="C325" s="131" t="s">
        <v>1010</v>
      </c>
      <c r="D325" s="15">
        <v>46075</v>
      </c>
      <c r="E325" s="60">
        <f t="shared" si="611"/>
        <v>7183.04</v>
      </c>
      <c r="F325" s="61">
        <f t="shared" si="612"/>
        <v>0</v>
      </c>
      <c r="G325" s="62">
        <f>((E325-MAX(E$16:E325))/MAX(E$16:E325))</f>
        <v>-4.6159362073658942E-2</v>
      </c>
      <c r="H325" s="16">
        <f t="shared" si="576"/>
        <v>0</v>
      </c>
      <c r="I325" s="153"/>
      <c r="K325" s="16">
        <f t="shared" si="637"/>
        <v>1.5130059723176211E-2</v>
      </c>
      <c r="L325" s="77">
        <f t="shared" ref="L325:N325" si="792">L324</f>
        <v>6.987069104465538E-3</v>
      </c>
      <c r="M325" s="16">
        <f t="shared" si="792"/>
        <v>1.5469524906846733E-2</v>
      </c>
      <c r="N325" s="16" t="str">
        <f t="shared" si="792"/>
        <v>Low Volatility</v>
      </c>
      <c r="O325" s="14" t="str">
        <f t="shared" si="685"/>
        <v>Weak/Unconfirmed</v>
      </c>
      <c r="S325" s="131" t="s">
        <v>698</v>
      </c>
      <c r="T325" s="131" t="s">
        <v>1376</v>
      </c>
      <c r="U325" s="131" t="s">
        <v>1377</v>
      </c>
      <c r="V325" s="15">
        <f t="shared" si="573"/>
        <v>46075</v>
      </c>
      <c r="W325" s="60">
        <f t="shared" si="689"/>
        <v>119.18</v>
      </c>
      <c r="X325" s="61">
        <f t="shared" si="690"/>
        <v>0</v>
      </c>
      <c r="Y325" s="62">
        <f>((W325-MAX(W$16:W325))/MAX(W$16:W325))</f>
        <v>-0.26699058982717261</v>
      </c>
      <c r="Z325" s="16">
        <f t="shared" si="691"/>
        <v>0</v>
      </c>
      <c r="AA325" s="153"/>
      <c r="AC325" s="16">
        <f t="shared" si="715"/>
        <v>9.9953853253345756E-2</v>
      </c>
      <c r="AD325" s="16">
        <f t="shared" ref="AD325:AE325" si="793">AD319</f>
        <v>9.6269709011666694E-3</v>
      </c>
      <c r="AE325" s="16">
        <f t="shared" si="793"/>
        <v>3.9416013803368406E-2</v>
      </c>
      <c r="AF325" s="16" t="str">
        <f t="shared" ref="AF325:AF326" si="794">IF(AE325 &lt; 0.02, "Low Volatility",
 IF(AE325 &gt; 0.1, "High Volatility", "Medium Volatility"))</f>
        <v>Medium Volatility</v>
      </c>
      <c r="AG325" s="14" t="str">
        <f t="shared" si="778"/>
        <v>Weak/Unconfirmed</v>
      </c>
      <c r="AI325" s="131" t="s">
        <v>698</v>
      </c>
      <c r="AJ325" s="131">
        <v>437574</v>
      </c>
      <c r="AK325" s="131">
        <v>438290</v>
      </c>
      <c r="AL325" s="15">
        <f t="shared" si="737"/>
        <v>46075</v>
      </c>
      <c r="AM325" s="60">
        <f t="shared" si="727"/>
        <v>43.829000000000001</v>
      </c>
      <c r="AN325" s="61">
        <f t="shared" si="728"/>
        <v>0</v>
      </c>
      <c r="AO325" s="62">
        <f>((AM325-MAX(AM$16:AM325))/MAX(AM$16:AM325))</f>
        <v>0</v>
      </c>
      <c r="AP325" s="16">
        <f t="shared" si="729"/>
        <v>0</v>
      </c>
      <c r="AQ325" s="153"/>
      <c r="AS325" s="16">
        <f t="shared" si="600"/>
        <v>2.2913960593476373E-3</v>
      </c>
      <c r="AT325" s="77">
        <f t="shared" ref="AT325:AV325" si="795">AT324</f>
        <v>2.436477549599901E-3</v>
      </c>
      <c r="AU325" s="16">
        <f t="shared" si="795"/>
        <v>7.2178976794456398E-4</v>
      </c>
      <c r="AV325" s="16" t="str">
        <f t="shared" si="795"/>
        <v>Low Volatility</v>
      </c>
      <c r="AW325" s="14" t="str">
        <f t="shared" si="661"/>
        <v>Stable</v>
      </c>
    </row>
    <row r="326" spans="1:49" ht="15.75" hidden="1" thickBot="1">
      <c r="A326" s="131" t="s">
        <v>699</v>
      </c>
      <c r="B326" s="131" t="s">
        <v>1011</v>
      </c>
      <c r="C326" s="131" t="s">
        <v>1012</v>
      </c>
      <c r="D326" s="15">
        <v>46076</v>
      </c>
      <c r="E326" s="60">
        <f t="shared" si="611"/>
        <v>7380.25</v>
      </c>
      <c r="F326" s="61">
        <f t="shared" si="612"/>
        <v>197.21000000000004</v>
      </c>
      <c r="G326" s="62">
        <f>((E326-MAX(E$16:E326))/MAX(E$16:E326))</f>
        <v>-1.9971715588959736E-2</v>
      </c>
      <c r="H326" s="16">
        <f t="shared" si="576"/>
        <v>2.7454949436450309E-2</v>
      </c>
      <c r="I326" s="153">
        <f>AVERAGEIFS(E326:E333, E326:E333, "&gt;=0")</f>
        <v>7387.9087500000014</v>
      </c>
      <c r="K326" s="16">
        <f t="shared" si="637"/>
        <v>5.1959029151676481E-2</v>
      </c>
      <c r="L326" s="77">
        <f t="shared" ref="L326" si="796">(I326-I319)/I319</f>
        <v>3.9579399947865843E-2</v>
      </c>
      <c r="M326" s="16" cm="1">
        <f t="array" ref="M326">_xlfn.STDEV.S(_xlfn._xlws.FILTER(F326:F332, ISNUMBER(F326:F332))) / I326</f>
        <v>1.2953982206537021E-2</v>
      </c>
      <c r="N326" s="16" t="str" cm="1">
        <f t="array" ref="N326">_xlfn.LET(
  _xlpm.c, M147,
  IFERROR(
    _xlfn.IFS(_xlpm.c&lt;0.02,"Low Volatility",
        _xlpm.c&gt;0.1,"High Volatility",
        TRUE,"Medium Volatility"),
    "Insufficient data"
  )
)</f>
        <v>Low Volatility</v>
      </c>
      <c r="O326" s="14" t="str">
        <f t="shared" si="685"/>
        <v>Strong Uptrend</v>
      </c>
      <c r="S326" s="131" t="s">
        <v>699</v>
      </c>
      <c r="T326" s="131" t="s">
        <v>1378</v>
      </c>
      <c r="U326" s="131" t="s">
        <v>1379</v>
      </c>
      <c r="V326" s="15">
        <f t="shared" si="573"/>
        <v>46076</v>
      </c>
      <c r="W326" s="60">
        <f t="shared" si="689"/>
        <v>125.36</v>
      </c>
      <c r="X326" s="61">
        <f t="shared" si="690"/>
        <v>6.1799999999999926</v>
      </c>
      <c r="Y326" s="62">
        <f>((W326-MAX(W$16:W326))/MAX(W$16:W326))</f>
        <v>-0.22898087213235749</v>
      </c>
      <c r="Z326" s="16">
        <f t="shared" si="691"/>
        <v>5.1854337976170436E-2</v>
      </c>
      <c r="AA326" s="153">
        <f t="shared" ref="AA326" si="797">AVERAGEIFS(W326:W332, W326:W332, "&gt;=0")</f>
        <v>128.05571428571429</v>
      </c>
      <c r="AC326" s="16">
        <f t="shared" si="715"/>
        <v>0.16397400185701017</v>
      </c>
      <c r="AD326" s="66">
        <f t="shared" ref="AD326" si="798">(AA326-AA319)/AA319</f>
        <v>0.13811404121329063</v>
      </c>
      <c r="AE326" s="16" cm="1">
        <f t="array" ref="AE326">_xlfn.STDEV.S(_xlfn._xlws.FILTER(X326:X332, ISNUMBER(X326:X332))) / AA326</f>
        <v>2.7084856842219524E-2</v>
      </c>
      <c r="AF326" s="16" t="str">
        <f t="shared" si="794"/>
        <v>Medium Volatility</v>
      </c>
      <c r="AG326" s="14" t="str">
        <f t="shared" si="778"/>
        <v>Strong Uptrend</v>
      </c>
      <c r="AI326" s="131" t="s">
        <v>699</v>
      </c>
      <c r="AJ326" s="131">
        <v>438324</v>
      </c>
      <c r="AK326" s="131">
        <v>438350</v>
      </c>
      <c r="AL326" s="15">
        <f t="shared" si="737"/>
        <v>46076</v>
      </c>
      <c r="AM326" s="60">
        <f t="shared" si="727"/>
        <v>43.835000000000001</v>
      </c>
      <c r="AN326" s="61">
        <f t="shared" si="728"/>
        <v>6.0000000000002274E-3</v>
      </c>
      <c r="AO326" s="62">
        <f>((AM326-MAX(AM$16:AM326))/MAX(AM$16:AM326))</f>
        <v>0</v>
      </c>
      <c r="AP326" s="16">
        <f t="shared" si="729"/>
        <v>1.3689566268909232E-4</v>
      </c>
      <c r="AQ326" s="153">
        <f t="shared" ref="AQ326" si="799">AVERAGEIFS(AM326:AM332, AM326:AM332, "&gt;=0")</f>
        <v>43.890157142857149</v>
      </c>
      <c r="AS326" s="16">
        <f t="shared" si="600"/>
        <v>2.9974373055097984E-3</v>
      </c>
      <c r="AT326" s="77">
        <f t="shared" ref="AT326" si="800">(AQ326-AQ319)/AQ319</f>
        <v>2.6077563700919516E-3</v>
      </c>
      <c r="AU326" s="16" cm="1">
        <f t="array" ref="AU326">_xlfn.STDEV.S(_xlfn._xlws.FILTER(AN326:AN332, ISNUMBER(AN326:AN332))) / AQ326</f>
        <v>4.0828157316787832E-4</v>
      </c>
      <c r="AV326" s="16" t="str">
        <f t="shared" ref="AV326" si="801">IF(AU326 &lt; 0.02, "Low Volatility",
 IF(AU326 &gt; 0.1, "High Volatility", "Medium Volatility"))</f>
        <v>Low Volatility</v>
      </c>
      <c r="AW326" s="14" t="str">
        <f t="shared" si="661"/>
        <v>Stable</v>
      </c>
    </row>
    <row r="327" spans="1:49" ht="15.75" hidden="1" thickBot="1">
      <c r="A327" s="131" t="s">
        <v>700</v>
      </c>
      <c r="B327" s="131" t="s">
        <v>1013</v>
      </c>
      <c r="C327" s="131" t="s">
        <v>1014</v>
      </c>
      <c r="D327" s="15">
        <v>46077</v>
      </c>
      <c r="E327" s="60">
        <f t="shared" si="611"/>
        <v>7280.17</v>
      </c>
      <c r="F327" s="61">
        <f t="shared" si="612"/>
        <v>-100.07999999999993</v>
      </c>
      <c r="G327" s="62">
        <f>((E327-MAX(E$16:E327))/MAX(E$16:E327))</f>
        <v>-3.3261405057996268E-2</v>
      </c>
      <c r="H327" s="16">
        <f t="shared" si="576"/>
        <v>-1.3560516242674696E-2</v>
      </c>
      <c r="I327" s="153"/>
      <c r="K327" s="16">
        <f t="shared" si="637"/>
        <v>6.1549476090906122E-2</v>
      </c>
      <c r="L327" s="77">
        <f t="shared" ref="L327:N327" si="802">L326</f>
        <v>3.9579399947865843E-2</v>
      </c>
      <c r="M327" s="16">
        <f t="shared" si="802"/>
        <v>1.2953982206537021E-2</v>
      </c>
      <c r="N327" s="16" t="str">
        <f t="shared" si="802"/>
        <v>Low Volatility</v>
      </c>
      <c r="O327" s="14" t="str">
        <f t="shared" si="685"/>
        <v>Strong Uptrend</v>
      </c>
      <c r="S327" s="131" t="s">
        <v>700</v>
      </c>
      <c r="T327" s="131" t="s">
        <v>43</v>
      </c>
      <c r="U327" s="131" t="s">
        <v>1380</v>
      </c>
      <c r="V327" s="15">
        <f t="shared" si="573"/>
        <v>46077</v>
      </c>
      <c r="W327" s="60">
        <f t="shared" si="689"/>
        <v>123.11</v>
      </c>
      <c r="X327" s="61">
        <f t="shared" si="690"/>
        <v>-2.25</v>
      </c>
      <c r="Y327" s="62">
        <f>((W327-MAX(W$16:W327))/MAX(W$16:W327))</f>
        <v>-0.2428193615843533</v>
      </c>
      <c r="Z327" s="16">
        <f t="shared" si="691"/>
        <v>-1.7948308870453095E-2</v>
      </c>
      <c r="AA327" s="153"/>
      <c r="AC327" s="16">
        <f t="shared" si="715"/>
        <v>0.1940834141610088</v>
      </c>
      <c r="AD327" s="16">
        <f t="shared" ref="AD327:AF331" si="803">AD326</f>
        <v>0.13811404121329063</v>
      </c>
      <c r="AE327" s="16">
        <f t="shared" si="803"/>
        <v>2.7084856842219524E-2</v>
      </c>
      <c r="AF327" s="16" t="str">
        <f t="shared" si="803"/>
        <v>Medium Volatility</v>
      </c>
      <c r="AG327" s="14" t="str">
        <f t="shared" si="778"/>
        <v>Strong Uptrend</v>
      </c>
      <c r="AI327" s="131" t="s">
        <v>700</v>
      </c>
      <c r="AJ327" s="131">
        <v>438351</v>
      </c>
      <c r="AK327" s="131">
        <v>438432</v>
      </c>
      <c r="AL327" s="15">
        <f t="shared" si="737"/>
        <v>46077</v>
      </c>
      <c r="AM327" s="60">
        <f t="shared" si="727"/>
        <v>43.843200000000003</v>
      </c>
      <c r="AN327" s="61">
        <f t="shared" si="728"/>
        <v>8.2000000000022055E-3</v>
      </c>
      <c r="AO327" s="62">
        <f>((AM327-MAX(AM$16:AM327))/MAX(AM$16:AM327))</f>
        <v>0</v>
      </c>
      <c r="AP327" s="16">
        <f t="shared" si="729"/>
        <v>1.8706513060344943E-4</v>
      </c>
      <c r="AQ327" s="153"/>
      <c r="AS327" s="16">
        <f t="shared" si="600"/>
        <v>2.728484878979291E-3</v>
      </c>
      <c r="AT327" s="77">
        <f t="shared" ref="AT327:AV327" si="804">AT326</f>
        <v>2.6077563700919516E-3</v>
      </c>
      <c r="AU327" s="16">
        <f t="shared" si="804"/>
        <v>4.0828157316787832E-4</v>
      </c>
      <c r="AV327" s="16" t="str">
        <f t="shared" si="804"/>
        <v>Low Volatility</v>
      </c>
      <c r="AW327" s="14" t="str">
        <f t="shared" si="661"/>
        <v>Stable</v>
      </c>
    </row>
    <row r="328" spans="1:49" ht="15.75" hidden="1" thickBot="1">
      <c r="A328" s="131" t="s">
        <v>701</v>
      </c>
      <c r="B328" s="131" t="s">
        <v>1015</v>
      </c>
      <c r="C328" s="131" t="s">
        <v>1016</v>
      </c>
      <c r="D328" s="15">
        <v>46078</v>
      </c>
      <c r="E328" s="60">
        <f t="shared" si="611"/>
        <v>7266.74</v>
      </c>
      <c r="F328" s="61">
        <f t="shared" si="612"/>
        <v>-13.430000000000291</v>
      </c>
      <c r="G328" s="62">
        <f>((E328-MAX(E$16:E328))/MAX(E$16:E328))</f>
        <v>-3.5044783650813656E-2</v>
      </c>
      <c r="H328" s="16">
        <f t="shared" si="576"/>
        <v>-1.8447371421272155E-3</v>
      </c>
      <c r="I328" s="153"/>
      <c r="K328" s="16">
        <f t="shared" si="637"/>
        <v>3.6259691663564977E-2</v>
      </c>
      <c r="L328" s="77">
        <f t="shared" ref="L328:N328" si="805">L327</f>
        <v>3.9579399947865843E-2</v>
      </c>
      <c r="M328" s="16">
        <f t="shared" si="805"/>
        <v>1.2953982206537021E-2</v>
      </c>
      <c r="N328" s="16" t="str">
        <f t="shared" si="805"/>
        <v>Low Volatility</v>
      </c>
      <c r="O328" s="14" t="str">
        <f t="shared" si="685"/>
        <v>Strong Uptrend</v>
      </c>
      <c r="S328" s="131" t="s">
        <v>701</v>
      </c>
      <c r="T328" s="131" t="s">
        <v>1381</v>
      </c>
      <c r="U328" s="131" t="s">
        <v>1382</v>
      </c>
      <c r="V328" s="15">
        <f t="shared" si="573"/>
        <v>46078</v>
      </c>
      <c r="W328" s="60">
        <f t="shared" si="689"/>
        <v>124.77</v>
      </c>
      <c r="X328" s="61">
        <f t="shared" si="690"/>
        <v>1.6599999999999966</v>
      </c>
      <c r="Y328" s="62">
        <f>((W328-MAX(W$16:W328))/MAX(W$16:W328))</f>
        <v>-0.23260963158865863</v>
      </c>
      <c r="Z328" s="16">
        <f t="shared" si="691"/>
        <v>1.3483876208269E-2</v>
      </c>
      <c r="AA328" s="153"/>
      <c r="AC328" s="16">
        <f t="shared" si="715"/>
        <v>0.14583524657911651</v>
      </c>
      <c r="AD328" s="16">
        <f t="shared" ref="AD328" si="806">AD326</f>
        <v>0.13811404121329063</v>
      </c>
      <c r="AE328" s="16">
        <f t="shared" si="803"/>
        <v>2.7084856842219524E-2</v>
      </c>
      <c r="AF328" s="16" t="str">
        <f t="shared" si="803"/>
        <v>Medium Volatility</v>
      </c>
      <c r="AG328" s="14" t="str">
        <f t="shared" si="778"/>
        <v>Strong Uptrend</v>
      </c>
      <c r="AI328" s="131" t="s">
        <v>701</v>
      </c>
      <c r="AJ328" s="131">
        <v>438418</v>
      </c>
      <c r="AK328" s="131">
        <v>438650</v>
      </c>
      <c r="AL328" s="15">
        <f t="shared" si="737"/>
        <v>46078</v>
      </c>
      <c r="AM328" s="60">
        <f t="shared" si="727"/>
        <v>43.865000000000002</v>
      </c>
      <c r="AN328" s="61">
        <f t="shared" si="728"/>
        <v>2.1799999999998931E-2</v>
      </c>
      <c r="AO328" s="62">
        <f>((AM328-MAX(AM$16:AM328))/MAX(AM$16:AM328))</f>
        <v>0</v>
      </c>
      <c r="AP328" s="16">
        <f t="shared" si="729"/>
        <v>4.9722647981896692E-4</v>
      </c>
      <c r="AQ328" s="153"/>
      <c r="AS328" s="16">
        <f t="shared" si="600"/>
        <v>2.4063236265330825E-3</v>
      </c>
      <c r="AT328" s="77">
        <f t="shared" ref="AT328:AV328" si="807">AT327</f>
        <v>2.6077563700919516E-3</v>
      </c>
      <c r="AU328" s="16">
        <f t="shared" si="807"/>
        <v>4.0828157316787832E-4</v>
      </c>
      <c r="AV328" s="16" t="str">
        <f t="shared" si="807"/>
        <v>Low Volatility</v>
      </c>
      <c r="AW328" s="14" t="str">
        <f t="shared" si="661"/>
        <v>Stable</v>
      </c>
    </row>
    <row r="329" spans="1:49" ht="15.75" hidden="1" thickBot="1">
      <c r="A329" s="131" t="s">
        <v>702</v>
      </c>
      <c r="B329" s="131" t="s">
        <v>1017</v>
      </c>
      <c r="C329" s="131" t="s">
        <v>1018</v>
      </c>
      <c r="D329" s="15">
        <v>46079</v>
      </c>
      <c r="E329" s="60">
        <f t="shared" si="611"/>
        <v>7332.73</v>
      </c>
      <c r="F329" s="61">
        <f t="shared" si="612"/>
        <v>65.989999999999782</v>
      </c>
      <c r="G329" s="62">
        <f>((E329-MAX(E$16:E329))/MAX(E$16:E329))</f>
        <v>-2.628192785483326E-2</v>
      </c>
      <c r="H329" s="16">
        <f t="shared" si="576"/>
        <v>9.0811010164117308E-3</v>
      </c>
      <c r="I329" s="153"/>
      <c r="K329" s="16">
        <f t="shared" si="637"/>
        <v>4.1959860403783189E-2</v>
      </c>
      <c r="L329" s="77">
        <f t="shared" ref="L329:N329" si="808">L328</f>
        <v>3.9579399947865843E-2</v>
      </c>
      <c r="M329" s="16">
        <f t="shared" si="808"/>
        <v>1.2953982206537021E-2</v>
      </c>
      <c r="N329" s="16" t="str">
        <f t="shared" si="808"/>
        <v>Low Volatility</v>
      </c>
      <c r="O329" s="14" t="str">
        <f t="shared" si="685"/>
        <v>Strong Uptrend</v>
      </c>
      <c r="S329" s="131" t="s">
        <v>702</v>
      </c>
      <c r="T329" s="131" t="s">
        <v>1383</v>
      </c>
      <c r="U329" s="131" t="s">
        <v>1384</v>
      </c>
      <c r="V329" s="15">
        <f t="shared" si="573"/>
        <v>46079</v>
      </c>
      <c r="W329" s="60">
        <f t="shared" si="689"/>
        <v>125.41</v>
      </c>
      <c r="X329" s="61">
        <f t="shared" si="690"/>
        <v>0.64000000000000057</v>
      </c>
      <c r="Y329" s="62">
        <f>((W329-MAX(W$16:W329))/MAX(W$16:W329))</f>
        <v>-0.22867335014453538</v>
      </c>
      <c r="Z329" s="16">
        <f t="shared" si="691"/>
        <v>5.1294381662258604E-3</v>
      </c>
      <c r="AA329" s="153"/>
      <c r="AC329" s="16">
        <f t="shared" si="715"/>
        <v>0.13616597209639428</v>
      </c>
      <c r="AD329" s="16">
        <f t="shared" ref="AD329" si="809">AD326</f>
        <v>0.13811404121329063</v>
      </c>
      <c r="AE329" s="16">
        <f t="shared" si="803"/>
        <v>2.7084856842219524E-2</v>
      </c>
      <c r="AF329" s="16" t="str">
        <f t="shared" si="803"/>
        <v>Medium Volatility</v>
      </c>
      <c r="AG329" s="14" t="str">
        <f t="shared" si="778"/>
        <v>Strong Uptrend</v>
      </c>
      <c r="AI329" s="131" t="s">
        <v>702</v>
      </c>
      <c r="AJ329" s="131">
        <v>438453</v>
      </c>
      <c r="AK329" s="131">
        <v>438838</v>
      </c>
      <c r="AL329" s="15">
        <f t="shared" si="737"/>
        <v>46079</v>
      </c>
      <c r="AM329" s="60">
        <f t="shared" si="727"/>
        <v>43.883800000000001</v>
      </c>
      <c r="AN329" s="61">
        <f t="shared" si="728"/>
        <v>1.8799999999998818E-2</v>
      </c>
      <c r="AO329" s="62">
        <f>((AM329-MAX(AM$16:AM329))/MAX(AM$16:AM329))</f>
        <v>0</v>
      </c>
      <c r="AP329" s="16">
        <f t="shared" si="729"/>
        <v>4.2858771229907256E-4</v>
      </c>
      <c r="AQ329" s="153"/>
      <c r="AS329" s="16">
        <f t="shared" si="600"/>
        <v>2.888654261907788E-3</v>
      </c>
      <c r="AT329" s="77">
        <f t="shared" ref="AT329:AV329" si="810">AT328</f>
        <v>2.6077563700919516E-3</v>
      </c>
      <c r="AU329" s="16">
        <f t="shared" si="810"/>
        <v>4.0828157316787832E-4</v>
      </c>
      <c r="AV329" s="16" t="str">
        <f t="shared" si="810"/>
        <v>Low Volatility</v>
      </c>
      <c r="AW329" s="14" t="str">
        <f t="shared" si="661"/>
        <v>Stable</v>
      </c>
    </row>
    <row r="330" spans="1:49" ht="15.75" hidden="1" thickBot="1">
      <c r="A330" s="131" t="s">
        <v>703</v>
      </c>
      <c r="B330" s="131" t="s">
        <v>1019</v>
      </c>
      <c r="C330" s="131" t="s">
        <v>1020</v>
      </c>
      <c r="D330" s="15">
        <v>46080</v>
      </c>
      <c r="E330" s="60">
        <f t="shared" si="611"/>
        <v>7435.91</v>
      </c>
      <c r="F330" s="61">
        <f t="shared" si="612"/>
        <v>103.18000000000029</v>
      </c>
      <c r="G330" s="62">
        <f>((E330-MAX(E$16:E330))/MAX(E$16:E330))</f>
        <v>-1.2580587333098707E-2</v>
      </c>
      <c r="H330" s="16">
        <f t="shared" si="576"/>
        <v>1.4071157672517643E-2</v>
      </c>
      <c r="I330" s="153"/>
      <c r="K330" s="16">
        <f t="shared" si="637"/>
        <v>3.5203757740455283E-2</v>
      </c>
      <c r="L330" s="77">
        <f t="shared" ref="L330:N330" si="811">L329</f>
        <v>3.9579399947865843E-2</v>
      </c>
      <c r="M330" s="16">
        <f t="shared" si="811"/>
        <v>1.2953982206537021E-2</v>
      </c>
      <c r="N330" s="16" t="str">
        <f t="shared" si="811"/>
        <v>Low Volatility</v>
      </c>
      <c r="O330" s="14" t="str">
        <f t="shared" si="685"/>
        <v>Strong Uptrend</v>
      </c>
      <c r="S330" s="131" t="s">
        <v>703</v>
      </c>
      <c r="T330" s="131" t="s">
        <v>1385</v>
      </c>
      <c r="U330" s="131" t="s">
        <v>1386</v>
      </c>
      <c r="V330" s="15">
        <f t="shared" si="573"/>
        <v>46080</v>
      </c>
      <c r="W330" s="60">
        <f t="shared" si="689"/>
        <v>132.58000000000001</v>
      </c>
      <c r="X330" s="61">
        <f t="shared" si="690"/>
        <v>7.1700000000000159</v>
      </c>
      <c r="Y330" s="62">
        <f>((W330-MAX(W$16:W330))/MAX(W$16:W330))</f>
        <v>-0.18457469709084193</v>
      </c>
      <c r="Z330" s="16">
        <f t="shared" si="691"/>
        <v>5.717247428434747E-2</v>
      </c>
      <c r="AA330" s="153"/>
      <c r="AC330" s="16">
        <f t="shared" si="715"/>
        <v>0.11243497231079044</v>
      </c>
      <c r="AD330" s="16">
        <f t="shared" ref="AD330" si="812">AD326</f>
        <v>0.13811404121329063</v>
      </c>
      <c r="AE330" s="16">
        <f t="shared" si="803"/>
        <v>2.7084856842219524E-2</v>
      </c>
      <c r="AF330" s="16" t="str">
        <f t="shared" si="803"/>
        <v>Medium Volatility</v>
      </c>
      <c r="AG330" s="14" t="str">
        <f t="shared" si="778"/>
        <v>Strong Uptrend</v>
      </c>
      <c r="AI330" s="131" t="s">
        <v>703</v>
      </c>
      <c r="AJ330" s="131">
        <v>438840</v>
      </c>
      <c r="AK330" s="131">
        <v>439347</v>
      </c>
      <c r="AL330" s="15">
        <f t="shared" si="737"/>
        <v>46080</v>
      </c>
      <c r="AM330" s="60">
        <f t="shared" si="727"/>
        <v>43.934699999999999</v>
      </c>
      <c r="AN330" s="61">
        <f t="shared" si="728"/>
        <v>5.0899999999998613E-2</v>
      </c>
      <c r="AO330" s="62">
        <f>((AM330-MAX(AM$16:AM330))/MAX(AM$16:AM330))</f>
        <v>0</v>
      </c>
      <c r="AP330" s="16">
        <f t="shared" si="729"/>
        <v>1.1598813229483E-3</v>
      </c>
      <c r="AQ330" s="153"/>
      <c r="AS330" s="16">
        <f t="shared" si="600"/>
        <v>2.4116452577060575E-3</v>
      </c>
      <c r="AT330" s="77">
        <f t="shared" ref="AT330:AV330" si="813">AT329</f>
        <v>2.6077563700919516E-3</v>
      </c>
      <c r="AU330" s="16">
        <f t="shared" si="813"/>
        <v>4.0828157316787832E-4</v>
      </c>
      <c r="AV330" s="16" t="str">
        <f t="shared" si="813"/>
        <v>Low Volatility</v>
      </c>
      <c r="AW330" s="14" t="str">
        <f t="shared" si="661"/>
        <v>Stable</v>
      </c>
    </row>
    <row r="331" spans="1:49" ht="15.75" hidden="1" thickBot="1">
      <c r="A331" s="131" t="s">
        <v>704</v>
      </c>
      <c r="B331" s="131" t="s">
        <v>1019</v>
      </c>
      <c r="C331" s="131" t="s">
        <v>1020</v>
      </c>
      <c r="D331" s="15">
        <v>46081</v>
      </c>
      <c r="E331" s="60">
        <f t="shared" si="611"/>
        <v>7435.91</v>
      </c>
      <c r="F331" s="61">
        <f t="shared" si="612"/>
        <v>0</v>
      </c>
      <c r="G331" s="62">
        <f>((E331-MAX(E$16:E331))/MAX(E$16:E331))</f>
        <v>-1.2580587333098707E-2</v>
      </c>
      <c r="H331" s="16">
        <f t="shared" si="576"/>
        <v>0</v>
      </c>
      <c r="I331" s="153"/>
      <c r="K331" s="16">
        <f t="shared" si="637"/>
        <v>3.5203757740455283E-2</v>
      </c>
      <c r="L331" s="77">
        <f t="shared" ref="L331:N331" si="814">L330</f>
        <v>3.9579399947865843E-2</v>
      </c>
      <c r="M331" s="16">
        <f t="shared" si="814"/>
        <v>1.2953982206537021E-2</v>
      </c>
      <c r="N331" s="16" t="str">
        <f t="shared" si="814"/>
        <v>Low Volatility</v>
      </c>
      <c r="O331" s="14" t="str">
        <f t="shared" si="685"/>
        <v>Strong Uptrend</v>
      </c>
      <c r="S331" s="131" t="s">
        <v>704</v>
      </c>
      <c r="T331" s="131" t="s">
        <v>1385</v>
      </c>
      <c r="U331" s="131" t="s">
        <v>1386</v>
      </c>
      <c r="V331" s="15">
        <f t="shared" si="573"/>
        <v>46081</v>
      </c>
      <c r="W331" s="60">
        <f t="shared" si="689"/>
        <v>132.58000000000001</v>
      </c>
      <c r="X331" s="61">
        <f t="shared" si="690"/>
        <v>0</v>
      </c>
      <c r="Y331" s="62">
        <f>((W331-MAX(W$16:W331))/MAX(W$16:W331))</f>
        <v>-0.18457469709084193</v>
      </c>
      <c r="Z331" s="16">
        <f t="shared" si="691"/>
        <v>0</v>
      </c>
      <c r="AA331" s="153"/>
      <c r="AC331" s="16">
        <f t="shared" si="715"/>
        <v>0.11243497231079044</v>
      </c>
      <c r="AD331" s="16">
        <f t="shared" ref="AD331" si="815">AD326</f>
        <v>0.13811404121329063</v>
      </c>
      <c r="AE331" s="16">
        <f t="shared" si="803"/>
        <v>2.7084856842219524E-2</v>
      </c>
      <c r="AF331" s="16" t="str">
        <f t="shared" si="803"/>
        <v>Medium Volatility</v>
      </c>
      <c r="AG331" s="14" t="str">
        <f t="shared" si="778"/>
        <v>Strong Uptrend</v>
      </c>
      <c r="AI331" s="131" t="s">
        <v>704</v>
      </c>
      <c r="AJ331" s="131">
        <v>438840</v>
      </c>
      <c r="AK331" s="131">
        <v>439347</v>
      </c>
      <c r="AL331" s="15">
        <f t="shared" si="737"/>
        <v>46081</v>
      </c>
      <c r="AM331" s="60">
        <f t="shared" si="727"/>
        <v>43.934699999999999</v>
      </c>
      <c r="AN331" s="61">
        <f t="shared" si="728"/>
        <v>0</v>
      </c>
      <c r="AO331" s="62">
        <f>((AM331-MAX(AM$16:AM331))/MAX(AM$16:AM331))</f>
        <v>0</v>
      </c>
      <c r="AP331" s="16">
        <f t="shared" si="729"/>
        <v>0</v>
      </c>
      <c r="AQ331" s="153"/>
      <c r="AS331" s="16">
        <f t="shared" si="600"/>
        <v>2.4116452577060575E-3</v>
      </c>
      <c r="AT331" s="77">
        <f t="shared" ref="AT331:AV331" si="816">AT330</f>
        <v>2.6077563700919516E-3</v>
      </c>
      <c r="AU331" s="16">
        <f t="shared" si="816"/>
        <v>4.0828157316787832E-4</v>
      </c>
      <c r="AV331" s="16" t="str">
        <f t="shared" si="816"/>
        <v>Low Volatility</v>
      </c>
      <c r="AW331" s="14" t="str">
        <f t="shared" si="661"/>
        <v>Stable</v>
      </c>
    </row>
    <row r="332" spans="1:49" ht="15.75" hidden="1" thickBot="1">
      <c r="A332" s="131" t="s">
        <v>705</v>
      </c>
      <c r="B332" s="131" t="s">
        <v>1019</v>
      </c>
      <c r="C332" s="131" t="s">
        <v>1020</v>
      </c>
      <c r="D332" s="15">
        <v>46082</v>
      </c>
      <c r="E332" s="60">
        <f t="shared" si="611"/>
        <v>7435.91</v>
      </c>
      <c r="F332" s="61">
        <f t="shared" si="612"/>
        <v>0</v>
      </c>
      <c r="G332" s="62">
        <f>((E332-MAX(E$16:E332))/MAX(E$16:E332))</f>
        <v>-1.2580587333098707E-2</v>
      </c>
      <c r="H332" s="16">
        <f t="shared" si="576"/>
        <v>0</v>
      </c>
      <c r="I332" s="153"/>
      <c r="K332" s="16">
        <f t="shared" si="637"/>
        <v>3.5203757740455283E-2</v>
      </c>
      <c r="L332" s="77">
        <f t="shared" ref="L332:N332" si="817">L331</f>
        <v>3.9579399947865843E-2</v>
      </c>
      <c r="M332" s="16">
        <f t="shared" si="817"/>
        <v>1.2953982206537021E-2</v>
      </c>
      <c r="N332" s="16" t="str">
        <f t="shared" si="817"/>
        <v>Low Volatility</v>
      </c>
      <c r="O332" s="14" t="str">
        <f t="shared" si="685"/>
        <v>Strong Uptrend</v>
      </c>
      <c r="S332" s="131" t="s">
        <v>705</v>
      </c>
      <c r="T332" s="131" t="s">
        <v>1385</v>
      </c>
      <c r="U332" s="131" t="s">
        <v>1386</v>
      </c>
      <c r="V332" s="15">
        <f t="shared" si="573"/>
        <v>46082</v>
      </c>
      <c r="W332" s="60">
        <f t="shared" si="689"/>
        <v>132.58000000000001</v>
      </c>
      <c r="X332" s="61">
        <f t="shared" si="690"/>
        <v>0</v>
      </c>
      <c r="Y332" s="62">
        <f>((W332-MAX(W$16:W332))/MAX(W$16:W332))</f>
        <v>-0.18457469709084193</v>
      </c>
      <c r="Z332" s="16">
        <f t="shared" si="691"/>
        <v>0</v>
      </c>
      <c r="AA332" s="153"/>
      <c r="AC332" s="16">
        <f t="shared" si="715"/>
        <v>0.11243497231079044</v>
      </c>
      <c r="AD332" s="16">
        <f t="shared" ref="AD332:AE332" si="818">AD326</f>
        <v>0.13811404121329063</v>
      </c>
      <c r="AE332" s="16">
        <f t="shared" si="818"/>
        <v>2.7084856842219524E-2</v>
      </c>
      <c r="AF332" s="16" t="str">
        <f t="shared" ref="AF332" si="819">IF(AE332 &lt; 0.02, "Low Volatility",
 IF(AE332 &gt; 0.1, "High Volatility", "Medium Volatility"))</f>
        <v>Medium Volatility</v>
      </c>
      <c r="AG332" s="14" t="str">
        <f t="shared" si="778"/>
        <v>Strong Uptrend</v>
      </c>
      <c r="AI332" s="131" t="s">
        <v>705</v>
      </c>
      <c r="AJ332" s="131">
        <v>438840</v>
      </c>
      <c r="AK332" s="131">
        <v>439347</v>
      </c>
      <c r="AL332" s="15">
        <f t="shared" si="737"/>
        <v>46082</v>
      </c>
      <c r="AM332" s="60">
        <f t="shared" si="727"/>
        <v>43.934699999999999</v>
      </c>
      <c r="AN332" s="61">
        <f t="shared" si="728"/>
        <v>0</v>
      </c>
      <c r="AO332" s="62">
        <f>((AM332-MAX(AM$16:AM332))/MAX(AM$16:AM332))</f>
        <v>0</v>
      </c>
      <c r="AP332" s="16">
        <f t="shared" si="729"/>
        <v>0</v>
      </c>
      <c r="AQ332" s="153"/>
      <c r="AS332" s="16">
        <f t="shared" si="600"/>
        <v>2.4116452577060575E-3</v>
      </c>
      <c r="AT332" s="77">
        <f t="shared" ref="AT332:AV332" si="820">AT331</f>
        <v>2.6077563700919516E-3</v>
      </c>
      <c r="AU332" s="16">
        <f t="shared" si="820"/>
        <v>4.0828157316787832E-4</v>
      </c>
      <c r="AV332" s="16" t="str">
        <f t="shared" si="820"/>
        <v>Low Volatility</v>
      </c>
      <c r="AW332" s="14" t="str">
        <f t="shared" si="661"/>
        <v>Stable</v>
      </c>
    </row>
    <row r="333" spans="1:49" ht="15.75" hidden="1" thickBot="1">
      <c r="A333" s="131" t="s">
        <v>706</v>
      </c>
      <c r="B333" s="131" t="s">
        <v>1021</v>
      </c>
      <c r="C333" s="131" t="s">
        <v>1022</v>
      </c>
      <c r="D333" s="15">
        <v>46083</v>
      </c>
      <c r="E333" s="60">
        <f t="shared" si="611"/>
        <v>7535.65</v>
      </c>
      <c r="F333" s="61">
        <f t="shared" si="612"/>
        <v>99.739999999999782</v>
      </c>
      <c r="G333" s="62">
        <f>((E333-MAX(E$16:E333))/MAX(E$16:E333))</f>
        <v>0</v>
      </c>
      <c r="H333" s="16">
        <f t="shared" si="576"/>
        <v>1.3413287680996647E-2</v>
      </c>
      <c r="I333" s="153">
        <f>AVERAGEIFS(E333:E340, E333:E340, "&gt;=0")</f>
        <v>7295.8499999999995</v>
      </c>
      <c r="K333" s="16">
        <f t="shared" si="637"/>
        <v>2.105619728328981E-2</v>
      </c>
      <c r="L333" s="77">
        <f t="shared" ref="L333" si="821">(I333-I326)/I326</f>
        <v>-1.2460731868135478E-2</v>
      </c>
      <c r="M333" s="16" cm="1">
        <f t="array" ref="M333">_xlfn.STDEV.S(_xlfn._xlws.FILTER(F333:F339, ISNUMBER(F333:F339))) / I333</f>
        <v>2.074409161188857E-2</v>
      </c>
      <c r="N333" s="16" t="str" cm="1">
        <f t="array" ref="N333">_xlfn.LET(
  _xlpm.c, M154,
  IFERROR(
    _xlfn.IFS(_xlpm.c&lt;0.02,"Low Volatility",
        _xlpm.c&gt;0.1,"High Volatility",
        TRUE,"Medium Volatility"),
    "Insufficient data"
  )
)</f>
        <v>Low Volatility</v>
      </c>
      <c r="O333" s="14" t="str">
        <f t="shared" si="685"/>
        <v>Weak/Unconfirmed</v>
      </c>
      <c r="S333" s="131" t="s">
        <v>706</v>
      </c>
      <c r="T333" s="131" t="s">
        <v>1387</v>
      </c>
      <c r="U333" s="131" t="s">
        <v>1388</v>
      </c>
      <c r="V333" s="15">
        <f t="shared" si="573"/>
        <v>46083</v>
      </c>
      <c r="W333" s="60">
        <f t="shared" si="689"/>
        <v>127.22</v>
      </c>
      <c r="X333" s="61">
        <f t="shared" si="690"/>
        <v>-5.3600000000000136</v>
      </c>
      <c r="Y333" s="62">
        <f>((W333-MAX(W$16:W333))/MAX(W$16:W333))</f>
        <v>-0.21754105418537428</v>
      </c>
      <c r="Z333" s="16">
        <f t="shared" si="691"/>
        <v>-4.0428420576255945E-2</v>
      </c>
      <c r="AA333" s="153">
        <f t="shared" ref="AA333" si="822">AVERAGEIFS(W333:W339, W333:W339, "&gt;=0")</f>
        <v>119.18428571428571</v>
      </c>
      <c r="AC333" s="16">
        <f t="shared" si="715"/>
        <v>1.4837268666241221E-2</v>
      </c>
      <c r="AD333" s="66">
        <f t="shared" ref="AD333" si="823">(AA333-AA326)/AA326</f>
        <v>-6.9277881279353928E-2</v>
      </c>
      <c r="AE333" s="16" cm="1">
        <f t="array" ref="AE333">_xlfn.STDEV.S(_xlfn._xlws.FILTER(X333:X339, ISNUMBER(X333:X339))) / AA333</f>
        <v>3.7856794119817828E-2</v>
      </c>
      <c r="AF333" s="16" t="str">
        <f t="shared" ref="AF333:AF338" si="824">AF332</f>
        <v>Medium Volatility</v>
      </c>
      <c r="AG333" s="14" t="str">
        <f t="shared" si="778"/>
        <v>Weak/Unconfirmed</v>
      </c>
      <c r="AI333" s="131" t="s">
        <v>706</v>
      </c>
      <c r="AJ333" s="131">
        <v>439212</v>
      </c>
      <c r="AK333" s="131">
        <v>439517</v>
      </c>
      <c r="AL333" s="15">
        <f t="shared" si="737"/>
        <v>46083</v>
      </c>
      <c r="AM333" s="60">
        <f t="shared" si="727"/>
        <v>43.951700000000002</v>
      </c>
      <c r="AN333" s="61">
        <f t="shared" si="728"/>
        <v>1.7000000000003013E-2</v>
      </c>
      <c r="AO333" s="62">
        <f>((AM333-MAX(AM$16:AM333))/MAX(AM$16:AM333))</f>
        <v>0</v>
      </c>
      <c r="AP333" s="16">
        <f t="shared" si="729"/>
        <v>3.8693788736472566E-4</v>
      </c>
      <c r="AQ333" s="153">
        <f t="shared" ref="AQ333" si="825">AVERAGEIFS(AM333:AM339, AM333:AM339, "&gt;=0")</f>
        <v>44.009142857142855</v>
      </c>
      <c r="AS333" s="16">
        <f t="shared" si="600"/>
        <v>2.6622561879776794E-3</v>
      </c>
      <c r="AT333" s="77">
        <f t="shared" ref="AT333" si="826">(AQ333-AQ326)/AQ326</f>
        <v>2.7109885685399206E-3</v>
      </c>
      <c r="AU333" s="16" cm="1">
        <f t="array" ref="AU333">_xlfn.STDEV.S(_xlfn._xlws.FILTER(AN333:AN339, ISNUMBER(AN333:AN339))) / AQ333</f>
        <v>6.3826085932513804E-4</v>
      </c>
      <c r="AV333" s="16" t="str">
        <f t="shared" ref="AV333" si="827">IF(AU333 &lt; 0.02, "Low Volatility",
 IF(AU333 &gt; 0.1, "High Volatility", "Medium Volatility"))</f>
        <v>Low Volatility</v>
      </c>
      <c r="AW333" s="14" t="str">
        <f t="shared" si="661"/>
        <v>Stable</v>
      </c>
    </row>
    <row r="334" spans="1:49" ht="15.75" hidden="1" thickBot="1">
      <c r="A334" s="131" t="s">
        <v>707</v>
      </c>
      <c r="B334" s="131" t="s">
        <v>1023</v>
      </c>
      <c r="C334" s="131" t="s">
        <v>1024</v>
      </c>
      <c r="D334" s="15">
        <v>46084</v>
      </c>
      <c r="E334" s="60">
        <f t="shared" si="611"/>
        <v>7208.2</v>
      </c>
      <c r="F334" s="61">
        <f t="shared" si="612"/>
        <v>-327.44999999999982</v>
      </c>
      <c r="G334" s="62">
        <f>((E334-MAX(E$16:E334))/MAX(E$16:E334))</f>
        <v>-4.345345126166951E-2</v>
      </c>
      <c r="H334" s="16">
        <f t="shared" si="576"/>
        <v>-4.345345126166951E-2</v>
      </c>
      <c r="I334" s="153"/>
      <c r="K334" s="16">
        <f t="shared" si="637"/>
        <v>-9.8857581622407518E-3</v>
      </c>
      <c r="L334" s="77">
        <f t="shared" ref="L334:N334" si="828">L333</f>
        <v>-1.2460731868135478E-2</v>
      </c>
      <c r="M334" s="16">
        <f t="shared" si="828"/>
        <v>2.074409161188857E-2</v>
      </c>
      <c r="N334" s="16" t="str">
        <f t="shared" si="828"/>
        <v>Low Volatility</v>
      </c>
      <c r="O334" s="14" t="str">
        <f t="shared" si="685"/>
        <v>Weak/Unconfirmed</v>
      </c>
      <c r="S334" s="131" t="s">
        <v>707</v>
      </c>
      <c r="T334" s="131" t="s">
        <v>43</v>
      </c>
      <c r="U334" s="131" t="s">
        <v>1389</v>
      </c>
      <c r="V334" s="15">
        <f t="shared" si="573"/>
        <v>46084</v>
      </c>
      <c r="W334" s="60">
        <f t="shared" si="689"/>
        <v>116.75</v>
      </c>
      <c r="X334" s="61">
        <f t="shared" si="690"/>
        <v>-10.469999999999999</v>
      </c>
      <c r="Y334" s="62">
        <f>((W334-MAX(W$16:W334))/MAX(W$16:W334))</f>
        <v>-0.28193615843532815</v>
      </c>
      <c r="Z334" s="16">
        <f t="shared" si="691"/>
        <v>-8.2298380757742484E-2</v>
      </c>
      <c r="AA334" s="153"/>
      <c r="AC334" s="16">
        <f t="shared" si="715"/>
        <v>-5.1661116075054823E-2</v>
      </c>
      <c r="AD334" s="16">
        <f t="shared" ref="AD334" si="829">AD333</f>
        <v>-6.9277881279353928E-2</v>
      </c>
      <c r="AE334" s="16">
        <f t="shared" ref="AE334:AE338" si="830">AE333</f>
        <v>3.7856794119817828E-2</v>
      </c>
      <c r="AF334" s="16" t="str">
        <f t="shared" si="824"/>
        <v>Medium Volatility</v>
      </c>
      <c r="AG334" s="14" t="str">
        <f t="shared" si="778"/>
        <v>Strong Downtrend</v>
      </c>
      <c r="AI334" s="131" t="s">
        <v>707</v>
      </c>
      <c r="AJ334" s="131">
        <v>439517</v>
      </c>
      <c r="AK334" s="131">
        <v>439584</v>
      </c>
      <c r="AL334" s="15">
        <f t="shared" si="737"/>
        <v>46084</v>
      </c>
      <c r="AM334" s="60">
        <f t="shared" si="727"/>
        <v>43.958399999999997</v>
      </c>
      <c r="AN334" s="61">
        <f t="shared" si="728"/>
        <v>6.6999999999950433E-3</v>
      </c>
      <c r="AO334" s="62">
        <f>((AM334-MAX(AM$16:AM334))/MAX(AM$16:AM334))</f>
        <v>0</v>
      </c>
      <c r="AP334" s="16">
        <f t="shared" si="729"/>
        <v>1.524400648892999E-4</v>
      </c>
      <c r="AQ334" s="153"/>
      <c r="AS334" s="16">
        <f t="shared" si="600"/>
        <v>2.6275454346396799E-3</v>
      </c>
      <c r="AT334" s="77">
        <f t="shared" ref="AT334:AV334" si="831">AT333</f>
        <v>2.7109885685399206E-3</v>
      </c>
      <c r="AU334" s="16">
        <f t="shared" si="831"/>
        <v>6.3826085932513804E-4</v>
      </c>
      <c r="AV334" s="16" t="str">
        <f t="shared" si="831"/>
        <v>Low Volatility</v>
      </c>
      <c r="AW334" s="14" t="str">
        <f t="shared" si="661"/>
        <v>Stable</v>
      </c>
    </row>
    <row r="335" spans="1:49" ht="15.75" hidden="1" thickBot="1">
      <c r="A335" s="131" t="s">
        <v>708</v>
      </c>
      <c r="B335" s="131" t="s">
        <v>1025</v>
      </c>
      <c r="C335" s="131" t="s">
        <v>1026</v>
      </c>
      <c r="D335" s="15">
        <v>46085</v>
      </c>
      <c r="E335" s="60">
        <f t="shared" si="611"/>
        <v>7258.69</v>
      </c>
      <c r="F335" s="61">
        <f t="shared" si="612"/>
        <v>50.489999999999782</v>
      </c>
      <c r="G335" s="62">
        <f>((E335-MAX(E$16:E335))/MAX(E$16:E335))</f>
        <v>-3.6753299317245365E-2</v>
      </c>
      <c r="H335" s="16">
        <f t="shared" si="576"/>
        <v>7.0045226270080991E-3</v>
      </c>
      <c r="I335" s="153"/>
      <c r="K335" s="16">
        <f t="shared" si="637"/>
        <v>-1.1077869856359497E-3</v>
      </c>
      <c r="L335" s="77">
        <f t="shared" ref="L335:N335" si="832">L334</f>
        <v>-1.2460731868135478E-2</v>
      </c>
      <c r="M335" s="16">
        <f t="shared" si="832"/>
        <v>2.074409161188857E-2</v>
      </c>
      <c r="N335" s="16" t="str">
        <f t="shared" si="832"/>
        <v>Low Volatility</v>
      </c>
      <c r="O335" s="14" t="str">
        <f t="shared" si="685"/>
        <v>Weak/Unconfirmed</v>
      </c>
      <c r="S335" s="131" t="s">
        <v>708</v>
      </c>
      <c r="T335" s="131" t="s">
        <v>1390</v>
      </c>
      <c r="U335" s="131" t="s">
        <v>1391</v>
      </c>
      <c r="V335" s="15">
        <f t="shared" si="573"/>
        <v>46085</v>
      </c>
      <c r="W335" s="60">
        <f t="shared" si="689"/>
        <v>117.58</v>
      </c>
      <c r="X335" s="61">
        <f t="shared" si="690"/>
        <v>0.82999999999999829</v>
      </c>
      <c r="Y335" s="62">
        <f>((W335-MAX(W$16:W335))/MAX(W$16:W335))</f>
        <v>-0.27683129343748081</v>
      </c>
      <c r="Z335" s="16">
        <f t="shared" si="691"/>
        <v>7.1092077087794286E-3</v>
      </c>
      <c r="AA335" s="153"/>
      <c r="AC335" s="16">
        <f t="shared" si="715"/>
        <v>-5.7626031898693579E-2</v>
      </c>
      <c r="AD335" s="16">
        <f t="shared" ref="AD335" si="833">AD333</f>
        <v>-6.9277881279353928E-2</v>
      </c>
      <c r="AE335" s="16">
        <f t="shared" si="830"/>
        <v>3.7856794119817828E-2</v>
      </c>
      <c r="AF335" s="16" t="str">
        <f t="shared" si="824"/>
        <v>Medium Volatility</v>
      </c>
      <c r="AG335" s="14" t="str">
        <f t="shared" si="778"/>
        <v>Strong Downtrend</v>
      </c>
      <c r="AI335" s="131" t="s">
        <v>708</v>
      </c>
      <c r="AJ335" s="131">
        <v>439586</v>
      </c>
      <c r="AK335" s="131">
        <v>439555</v>
      </c>
      <c r="AL335" s="15">
        <f t="shared" si="737"/>
        <v>46085</v>
      </c>
      <c r="AM335" s="60">
        <f t="shared" si="727"/>
        <v>43.955500000000001</v>
      </c>
      <c r="AN335" s="61">
        <f t="shared" si="728"/>
        <v>-2.899999999996794E-3</v>
      </c>
      <c r="AO335" s="62">
        <f>((AM335-MAX(AM$16:AM335))/MAX(AM$16:AM335))</f>
        <v>-6.597146392946045E-5</v>
      </c>
      <c r="AP335" s="16">
        <f t="shared" si="729"/>
        <v>-6.597146392946045E-5</v>
      </c>
      <c r="AQ335" s="153"/>
      <c r="AS335" s="16">
        <f t="shared" si="600"/>
        <v>2.0631482959078693E-3</v>
      </c>
      <c r="AT335" s="77">
        <f t="shared" ref="AT335:AV335" si="834">AT334</f>
        <v>2.7109885685399206E-3</v>
      </c>
      <c r="AU335" s="16">
        <f t="shared" si="834"/>
        <v>6.3826085932513804E-4</v>
      </c>
      <c r="AV335" s="16" t="str">
        <f t="shared" si="834"/>
        <v>Low Volatility</v>
      </c>
      <c r="AW335" s="14" t="str">
        <f t="shared" si="661"/>
        <v>Stable</v>
      </c>
    </row>
    <row r="336" spans="1:49" ht="15.75" hidden="1" thickBot="1">
      <c r="A336" s="131" t="s">
        <v>709</v>
      </c>
      <c r="B336" s="131" t="s">
        <v>1027</v>
      </c>
      <c r="C336" s="131" t="s">
        <v>1028</v>
      </c>
      <c r="D336" s="15">
        <v>46086</v>
      </c>
      <c r="E336" s="60">
        <f t="shared" si="611"/>
        <v>7181.99</v>
      </c>
      <c r="F336" s="61">
        <f t="shared" si="612"/>
        <v>-76.699999999999818</v>
      </c>
      <c r="G336" s="62">
        <f>((E336-MAX(E$16:E336))/MAX(E$16:E336))</f>
        <v>-4.6931585198357127E-2</v>
      </c>
      <c r="H336" s="16">
        <f t="shared" si="576"/>
        <v>-1.0566644945575555E-2</v>
      </c>
      <c r="I336" s="153"/>
      <c r="K336" s="16">
        <f t="shared" si="637"/>
        <v>-2.0557145837907544E-2</v>
      </c>
      <c r="L336" s="77">
        <f t="shared" ref="L336:N336" si="835">L335</f>
        <v>-1.2460731868135478E-2</v>
      </c>
      <c r="M336" s="16">
        <f t="shared" si="835"/>
        <v>2.074409161188857E-2</v>
      </c>
      <c r="N336" s="16" t="str">
        <f t="shared" si="835"/>
        <v>Low Volatility</v>
      </c>
      <c r="O336" s="14" t="str">
        <f t="shared" si="685"/>
        <v>Strong Downtrend</v>
      </c>
      <c r="S336" s="131" t="s">
        <v>709</v>
      </c>
      <c r="T336" s="131" t="s">
        <v>1364</v>
      </c>
      <c r="U336" s="131" t="s">
        <v>1392</v>
      </c>
      <c r="V336" s="15">
        <f t="shared" ref="V336:V399" si="836">D336</f>
        <v>46086</v>
      </c>
      <c r="W336" s="60">
        <f t="shared" si="689"/>
        <v>116.1</v>
      </c>
      <c r="X336" s="61">
        <f t="shared" si="690"/>
        <v>-1.480000000000004</v>
      </c>
      <c r="Y336" s="62">
        <f>((W336-MAX(W$16:W336))/MAX(W$16:W336))</f>
        <v>-0.28593394427701585</v>
      </c>
      <c r="Z336" s="16">
        <f t="shared" si="691"/>
        <v>-1.2587174689573091E-2</v>
      </c>
      <c r="AA336" s="153"/>
      <c r="AC336" s="16">
        <f t="shared" si="715"/>
        <v>-7.4236504266007516E-2</v>
      </c>
      <c r="AD336" s="16">
        <f t="shared" ref="AD336" si="837">AD333</f>
        <v>-6.9277881279353928E-2</v>
      </c>
      <c r="AE336" s="16">
        <f t="shared" si="830"/>
        <v>3.7856794119817828E-2</v>
      </c>
      <c r="AF336" s="16" t="str">
        <f t="shared" si="824"/>
        <v>Medium Volatility</v>
      </c>
      <c r="AG336" s="14" t="str">
        <f t="shared" si="778"/>
        <v>Strong Downtrend</v>
      </c>
      <c r="AI336" s="131" t="s">
        <v>709</v>
      </c>
      <c r="AJ336" s="131">
        <v>439561</v>
      </c>
      <c r="AK336" s="131">
        <v>439944</v>
      </c>
      <c r="AL336" s="15">
        <f t="shared" si="737"/>
        <v>46086</v>
      </c>
      <c r="AM336" s="60">
        <f t="shared" si="727"/>
        <v>43.994399999999999</v>
      </c>
      <c r="AN336" s="61">
        <f t="shared" si="728"/>
        <v>3.8899999999998158E-2</v>
      </c>
      <c r="AO336" s="62">
        <f>((AM336-MAX(AM$16:AM336))/MAX(AM$16:AM336))</f>
        <v>0</v>
      </c>
      <c r="AP336" s="16">
        <f t="shared" si="729"/>
        <v>8.8498595170111041E-4</v>
      </c>
      <c r="AQ336" s="153"/>
      <c r="AS336" s="16">
        <f t="shared" si="600"/>
        <v>2.5202922262884718E-3</v>
      </c>
      <c r="AT336" s="77">
        <f t="shared" ref="AT336:AV336" si="838">AT335</f>
        <v>2.7109885685399206E-3</v>
      </c>
      <c r="AU336" s="16">
        <f t="shared" si="838"/>
        <v>6.3826085932513804E-4</v>
      </c>
      <c r="AV336" s="16" t="str">
        <f t="shared" si="838"/>
        <v>Low Volatility</v>
      </c>
      <c r="AW336" s="14" t="str">
        <f t="shared" si="661"/>
        <v>Stable</v>
      </c>
    </row>
    <row r="337" spans="1:49" ht="15.75" hidden="1" thickBot="1">
      <c r="A337" s="131" t="s">
        <v>710</v>
      </c>
      <c r="B337" s="131" t="s">
        <v>1027</v>
      </c>
      <c r="C337" s="131" t="s">
        <v>1029</v>
      </c>
      <c r="D337" s="15">
        <v>46087</v>
      </c>
      <c r="E337" s="60">
        <f t="shared" si="611"/>
        <v>7301.96</v>
      </c>
      <c r="F337" s="61">
        <f t="shared" si="612"/>
        <v>119.97000000000025</v>
      </c>
      <c r="G337" s="62">
        <f>((E337-MAX(E$16:E337))/MAX(E$16:E337))</f>
        <v>-3.1011259811695023E-2</v>
      </c>
      <c r="H337" s="16">
        <f t="shared" ref="H337:H400" si="839">F337/E336</f>
        <v>1.670428391016978E-2</v>
      </c>
      <c r="I337" s="153"/>
      <c r="K337" s="16">
        <f t="shared" si="637"/>
        <v>-1.8013935079902774E-2</v>
      </c>
      <c r="L337" s="77">
        <f t="shared" ref="L337:N337" si="840">L336</f>
        <v>-1.2460731868135478E-2</v>
      </c>
      <c r="M337" s="16">
        <f t="shared" si="840"/>
        <v>2.074409161188857E-2</v>
      </c>
      <c r="N337" s="16" t="str">
        <f t="shared" si="840"/>
        <v>Low Volatility</v>
      </c>
      <c r="O337" s="14" t="str">
        <f t="shared" si="685"/>
        <v>Strong Downtrend</v>
      </c>
      <c r="S337" s="131" t="s">
        <v>710</v>
      </c>
      <c r="T337" s="131" t="s">
        <v>1393</v>
      </c>
      <c r="U337" s="131" t="s">
        <v>1394</v>
      </c>
      <c r="V337" s="15">
        <f t="shared" si="836"/>
        <v>46087</v>
      </c>
      <c r="W337" s="60">
        <f t="shared" si="689"/>
        <v>118.88</v>
      </c>
      <c r="X337" s="61">
        <f t="shared" si="690"/>
        <v>2.7800000000000011</v>
      </c>
      <c r="Y337" s="62">
        <f>((W337-MAX(W$16:W337))/MAX(W$16:W337))</f>
        <v>-0.26883572175410547</v>
      </c>
      <c r="Z337" s="16">
        <f t="shared" si="691"/>
        <v>2.3944875107665815E-2</v>
      </c>
      <c r="AA337" s="153"/>
      <c r="AC337" s="16">
        <f t="shared" si="715"/>
        <v>-0.10333383617438539</v>
      </c>
      <c r="AD337" s="16">
        <f t="shared" ref="AD337" si="841">AD333</f>
        <v>-6.9277881279353928E-2</v>
      </c>
      <c r="AE337" s="16">
        <f t="shared" si="830"/>
        <v>3.7856794119817828E-2</v>
      </c>
      <c r="AF337" s="16" t="str">
        <f t="shared" si="824"/>
        <v>Medium Volatility</v>
      </c>
      <c r="AG337" s="14" t="str">
        <f t="shared" si="778"/>
        <v>Strong Downtrend</v>
      </c>
      <c r="AI337" s="131" t="s">
        <v>710</v>
      </c>
      <c r="AJ337" s="131">
        <v>439949</v>
      </c>
      <c r="AK337" s="131">
        <v>440680</v>
      </c>
      <c r="AL337" s="15">
        <f t="shared" si="737"/>
        <v>46087</v>
      </c>
      <c r="AM337" s="60">
        <f t="shared" si="727"/>
        <v>44.067999999999998</v>
      </c>
      <c r="AN337" s="61">
        <f t="shared" si="728"/>
        <v>7.3599999999999E-2</v>
      </c>
      <c r="AO337" s="62">
        <f>((AM337-MAX(AM$16:AM337))/MAX(AM$16:AM337))</f>
        <v>0</v>
      </c>
      <c r="AP337" s="16">
        <f t="shared" si="729"/>
        <v>1.6729401923880995E-3</v>
      </c>
      <c r="AQ337" s="153"/>
      <c r="AS337" s="16">
        <f t="shared" si="600"/>
        <v>3.034048257982834E-3</v>
      </c>
      <c r="AT337" s="77">
        <f t="shared" ref="AT337:AV337" si="842">AT336</f>
        <v>2.7109885685399206E-3</v>
      </c>
      <c r="AU337" s="16">
        <f t="shared" si="842"/>
        <v>6.3826085932513804E-4</v>
      </c>
      <c r="AV337" s="16" t="str">
        <f t="shared" si="842"/>
        <v>Low Volatility</v>
      </c>
      <c r="AW337" s="14" t="str">
        <f t="shared" si="661"/>
        <v>Stable</v>
      </c>
    </row>
    <row r="338" spans="1:49" ht="15.75" hidden="1" thickBot="1">
      <c r="A338" s="131" t="s">
        <v>711</v>
      </c>
      <c r="B338" s="131" t="s">
        <v>1027</v>
      </c>
      <c r="C338" s="131" t="s">
        <v>1029</v>
      </c>
      <c r="D338" s="15">
        <v>46088</v>
      </c>
      <c r="E338" s="60">
        <f t="shared" si="611"/>
        <v>7301.96</v>
      </c>
      <c r="F338" s="61">
        <f t="shared" si="612"/>
        <v>0</v>
      </c>
      <c r="G338" s="62">
        <f>((E338-MAX(E$16:E338))/MAX(E$16:E338))</f>
        <v>-3.1011259811695023E-2</v>
      </c>
      <c r="H338" s="16">
        <f t="shared" si="839"/>
        <v>0</v>
      </c>
      <c r="I338" s="153"/>
      <c r="K338" s="16">
        <f t="shared" si="637"/>
        <v>-1.8013935079902774E-2</v>
      </c>
      <c r="L338" s="77">
        <f t="shared" ref="L338:N338" si="843">L337</f>
        <v>-1.2460731868135478E-2</v>
      </c>
      <c r="M338" s="16">
        <f t="shared" si="843"/>
        <v>2.074409161188857E-2</v>
      </c>
      <c r="N338" s="16" t="str">
        <f t="shared" si="843"/>
        <v>Low Volatility</v>
      </c>
      <c r="O338" s="14" t="str">
        <f t="shared" si="685"/>
        <v>Strong Downtrend</v>
      </c>
      <c r="S338" s="131" t="s">
        <v>711</v>
      </c>
      <c r="T338" s="131" t="s">
        <v>1393</v>
      </c>
      <c r="U338" s="131" t="s">
        <v>1394</v>
      </c>
      <c r="V338" s="15">
        <f t="shared" si="836"/>
        <v>46088</v>
      </c>
      <c r="W338" s="60">
        <f t="shared" si="689"/>
        <v>118.88</v>
      </c>
      <c r="X338" s="61">
        <f t="shared" si="690"/>
        <v>0</v>
      </c>
      <c r="Y338" s="62">
        <f>((W338-MAX(W$16:W338))/MAX(W$16:W338))</f>
        <v>-0.26883572175410547</v>
      </c>
      <c r="Z338" s="16">
        <f t="shared" si="691"/>
        <v>0</v>
      </c>
      <c r="AA338" s="153"/>
      <c r="AC338" s="16">
        <f t="shared" si="715"/>
        <v>-0.10333383617438539</v>
      </c>
      <c r="AD338" s="16">
        <f t="shared" ref="AD338" si="844">AD333</f>
        <v>-6.9277881279353928E-2</v>
      </c>
      <c r="AE338" s="16">
        <f t="shared" si="830"/>
        <v>3.7856794119817828E-2</v>
      </c>
      <c r="AF338" s="16" t="str">
        <f t="shared" si="824"/>
        <v>Medium Volatility</v>
      </c>
      <c r="AG338" s="14" t="str">
        <f t="shared" si="778"/>
        <v>Strong Downtrend</v>
      </c>
      <c r="AI338" s="131" t="s">
        <v>711</v>
      </c>
      <c r="AJ338" s="131">
        <v>439949</v>
      </c>
      <c r="AK338" s="131">
        <v>440680</v>
      </c>
      <c r="AL338" s="15">
        <f t="shared" si="737"/>
        <v>46088</v>
      </c>
      <c r="AM338" s="60">
        <f t="shared" si="727"/>
        <v>44.067999999999998</v>
      </c>
      <c r="AN338" s="61">
        <f t="shared" si="728"/>
        <v>0</v>
      </c>
      <c r="AO338" s="62">
        <f>((AM338-MAX(AM$16:AM338))/MAX(AM$16:AM338))</f>
        <v>0</v>
      </c>
      <c r="AP338" s="16">
        <f t="shared" si="729"/>
        <v>0</v>
      </c>
      <c r="AQ338" s="153"/>
      <c r="AS338" s="16">
        <f t="shared" si="600"/>
        <v>3.034048257982834E-3</v>
      </c>
      <c r="AT338" s="77">
        <f t="shared" ref="AT338:AV338" si="845">AT337</f>
        <v>2.7109885685399206E-3</v>
      </c>
      <c r="AU338" s="16">
        <f t="shared" si="845"/>
        <v>6.3826085932513804E-4</v>
      </c>
      <c r="AV338" s="16" t="str">
        <f t="shared" si="845"/>
        <v>Low Volatility</v>
      </c>
      <c r="AW338" s="14" t="str">
        <f t="shared" si="661"/>
        <v>Stable</v>
      </c>
    </row>
    <row r="339" spans="1:49" ht="15.75" hidden="1" thickBot="1">
      <c r="A339" s="131" t="s">
        <v>712</v>
      </c>
      <c r="B339" s="131" t="s">
        <v>1027</v>
      </c>
      <c r="C339" s="131" t="s">
        <v>1029</v>
      </c>
      <c r="D339" s="15">
        <v>46089</v>
      </c>
      <c r="E339" s="60">
        <f t="shared" si="611"/>
        <v>7301.96</v>
      </c>
      <c r="F339" s="61">
        <f t="shared" si="612"/>
        <v>0</v>
      </c>
      <c r="G339" s="62">
        <f>((E339-MAX(E$16:E339))/MAX(E$16:E339))</f>
        <v>-3.1011259811695023E-2</v>
      </c>
      <c r="H339" s="16">
        <f t="shared" si="839"/>
        <v>0</v>
      </c>
      <c r="I339" s="153"/>
      <c r="K339" s="16">
        <f t="shared" si="637"/>
        <v>-1.8013935079902774E-2</v>
      </c>
      <c r="L339" s="77">
        <f t="shared" ref="L339:N339" si="846">L338</f>
        <v>-1.2460731868135478E-2</v>
      </c>
      <c r="M339" s="16">
        <f t="shared" si="846"/>
        <v>2.074409161188857E-2</v>
      </c>
      <c r="N339" s="16" t="str">
        <f t="shared" si="846"/>
        <v>Low Volatility</v>
      </c>
      <c r="O339" s="14" t="str">
        <f t="shared" si="685"/>
        <v>Strong Downtrend</v>
      </c>
      <c r="S339" s="131" t="s">
        <v>712</v>
      </c>
      <c r="T339" s="131" t="s">
        <v>1393</v>
      </c>
      <c r="U339" s="131" t="s">
        <v>1394</v>
      </c>
      <c r="V339" s="15">
        <f t="shared" si="836"/>
        <v>46089</v>
      </c>
      <c r="W339" s="60">
        <f t="shared" si="689"/>
        <v>118.88</v>
      </c>
      <c r="X339" s="61">
        <f t="shared" si="690"/>
        <v>0</v>
      </c>
      <c r="Y339" s="62">
        <f>((W339-MAX(W$16:W339))/MAX(W$16:W339))</f>
        <v>-0.26883572175410547</v>
      </c>
      <c r="Z339" s="16">
        <f t="shared" si="691"/>
        <v>0</v>
      </c>
      <c r="AA339" s="153"/>
      <c r="AC339" s="16">
        <f t="shared" si="715"/>
        <v>-0.10333383617438539</v>
      </c>
      <c r="AD339" s="16">
        <f t="shared" ref="AD339:AE339" si="847">AD333</f>
        <v>-6.9277881279353928E-2</v>
      </c>
      <c r="AE339" s="16">
        <f t="shared" si="847"/>
        <v>3.7856794119817828E-2</v>
      </c>
      <c r="AF339" s="16" t="str">
        <f t="shared" ref="AF339:AF340" si="848">IF(AE339 &lt; 0.02, "Low Volatility",
 IF(AE339 &gt; 0.1, "High Volatility", "Medium Volatility"))</f>
        <v>Medium Volatility</v>
      </c>
      <c r="AG339" s="14" t="str">
        <f t="shared" si="778"/>
        <v>Strong Downtrend</v>
      </c>
      <c r="AI339" s="131" t="s">
        <v>712</v>
      </c>
      <c r="AJ339" s="131">
        <v>439949</v>
      </c>
      <c r="AK339" s="131">
        <v>440680</v>
      </c>
      <c r="AL339" s="15">
        <f t="shared" si="737"/>
        <v>46089</v>
      </c>
      <c r="AM339" s="60">
        <f t="shared" si="727"/>
        <v>44.067999999999998</v>
      </c>
      <c r="AN339" s="61">
        <f t="shared" si="728"/>
        <v>0</v>
      </c>
      <c r="AO339" s="62">
        <f>((AM339-MAX(AM$16:AM339))/MAX(AM$16:AM339))</f>
        <v>0</v>
      </c>
      <c r="AP339" s="16">
        <f t="shared" si="729"/>
        <v>0</v>
      </c>
      <c r="AQ339" s="153"/>
      <c r="AS339" s="16">
        <f t="shared" si="600"/>
        <v>3.034048257982834E-3</v>
      </c>
      <c r="AT339" s="77">
        <f t="shared" ref="AT339:AV339" si="849">AT338</f>
        <v>2.7109885685399206E-3</v>
      </c>
      <c r="AU339" s="16">
        <f t="shared" si="849"/>
        <v>6.3826085932513804E-4</v>
      </c>
      <c r="AV339" s="16" t="str">
        <f t="shared" si="849"/>
        <v>Low Volatility</v>
      </c>
      <c r="AW339" s="14" t="str">
        <f t="shared" si="661"/>
        <v>Stable</v>
      </c>
    </row>
    <row r="340" spans="1:49" ht="15.75" hidden="1" thickBot="1">
      <c r="A340" s="131" t="s">
        <v>713</v>
      </c>
      <c r="B340" s="131" t="s">
        <v>1030</v>
      </c>
      <c r="C340" s="131" t="s">
        <v>1031</v>
      </c>
      <c r="D340" s="15">
        <v>46090</v>
      </c>
      <c r="E340" s="60">
        <f t="shared" si="611"/>
        <v>7276.39</v>
      </c>
      <c r="F340" s="61">
        <f t="shared" si="612"/>
        <v>-25.569999999999709</v>
      </c>
      <c r="G340" s="62">
        <f>((E340-MAX(E$16:E340))/MAX(E$16:E340))</f>
        <v>-3.4404464113911785E-2</v>
      </c>
      <c r="H340" s="16">
        <f t="shared" si="839"/>
        <v>-3.5017995168420135E-3</v>
      </c>
      <c r="I340" s="153">
        <f>AVERAGEIFS(E340:E347, E340:E347, "&gt;=0")</f>
        <v>7211.4887499999995</v>
      </c>
      <c r="K340" s="16">
        <f t="shared" si="637"/>
        <v>-3.4404464113911785E-2</v>
      </c>
      <c r="L340" s="77">
        <f t="shared" ref="L340" si="850">(I340-I333)/I333</f>
        <v>-1.1562909051035854E-2</v>
      </c>
      <c r="M340" s="16" cm="1">
        <f t="array" ref="M340">_xlfn.STDEV.S(_xlfn._xlws.FILTER(F340:F346, ISNUMBER(F340:F346))) / I340</f>
        <v>8.988330998396717E-3</v>
      </c>
      <c r="N340" s="16" t="str" cm="1">
        <f t="array" ref="N340">_xlfn.LET(
  _xlpm.c, M161,
  IFERROR(
    _xlfn.IFS(_xlpm.c&lt;0.02,"Low Volatility",
        _xlpm.c&gt;0.1,"High Volatility",
        TRUE,"Medium Volatility"),
    "Insufficient data"
  )
)</f>
        <v>Low Volatility</v>
      </c>
      <c r="O340" s="14" t="str">
        <f t="shared" si="685"/>
        <v>Strong Downtrend</v>
      </c>
      <c r="S340" s="131" t="s">
        <v>713</v>
      </c>
      <c r="T340" s="131" t="s">
        <v>1395</v>
      </c>
      <c r="U340" s="131" t="s">
        <v>1396</v>
      </c>
      <c r="V340" s="15">
        <f t="shared" si="836"/>
        <v>46090</v>
      </c>
      <c r="W340" s="60">
        <f t="shared" si="689"/>
        <v>123.26</v>
      </c>
      <c r="X340" s="61">
        <f t="shared" si="690"/>
        <v>4.3800000000000097</v>
      </c>
      <c r="Y340" s="62">
        <f>((W340-MAX(W$16:W340))/MAX(W$16:W340))</f>
        <v>-0.24189679562088687</v>
      </c>
      <c r="Z340" s="16">
        <f t="shared" si="691"/>
        <v>3.6843876177658226E-2</v>
      </c>
      <c r="AA340" s="153">
        <f t="shared" ref="AA340" si="851">AVERAGEIFS(W340:W346, W340:W346, "&gt;=0")</f>
        <v>118.96142857142858</v>
      </c>
      <c r="AC340" s="16">
        <f t="shared" si="715"/>
        <v>-3.1127181260808E-2</v>
      </c>
      <c r="AD340" s="66">
        <f t="shared" ref="AD340" si="852">(AA340-AA333)/AA333</f>
        <v>-1.8698534082871186E-3</v>
      </c>
      <c r="AE340" s="16" cm="1">
        <f t="array" ref="AE340">_xlfn.STDEV.S(_xlfn._xlws.FILTER(X340:X346, ISNUMBER(X340:X346))) / AA340</f>
        <v>2.6326608582977376E-2</v>
      </c>
      <c r="AF340" s="16" t="str">
        <f t="shared" si="848"/>
        <v>Medium Volatility</v>
      </c>
      <c r="AG340" s="14" t="str">
        <f t="shared" si="778"/>
        <v>Stable</v>
      </c>
      <c r="AI340" s="131" t="s">
        <v>713</v>
      </c>
      <c r="AJ340" s="131">
        <v>440683</v>
      </c>
      <c r="AK340" s="131">
        <v>440366</v>
      </c>
      <c r="AL340" s="15">
        <f t="shared" si="737"/>
        <v>46090</v>
      </c>
      <c r="AM340" s="60">
        <f t="shared" si="727"/>
        <v>44.0366</v>
      </c>
      <c r="AN340" s="61">
        <f t="shared" si="728"/>
        <v>-3.1399999999997874E-2</v>
      </c>
      <c r="AO340" s="62">
        <f>((AM340-MAX(AM$16:AM340))/MAX(AM$16:AM340))</f>
        <v>-7.125351729145383E-4</v>
      </c>
      <c r="AP340" s="16">
        <f t="shared" si="729"/>
        <v>-7.125351729145383E-4</v>
      </c>
      <c r="AQ340" s="153">
        <f t="shared" ref="AQ340" si="853">AVERAGEIFS(AM340:AM346, AM340:AM346, "&gt;=0")</f>
        <v>44.138371428571425</v>
      </c>
      <c r="AS340" s="16">
        <f t="shared" si="600"/>
        <v>1.9316658968822032E-3</v>
      </c>
      <c r="AT340" s="77">
        <f t="shared" ref="AT340" si="854">(AQ340-AQ333)/AQ333</f>
        <v>2.9364028253868932E-3</v>
      </c>
      <c r="AU340" s="16" cm="1">
        <f t="array" ref="AU340">_xlfn.STDEV.S(_xlfn._xlws.FILTER(AN340:AN346, ISNUMBER(AN340:AN346))) / AQ340</f>
        <v>9.2829301948419546E-4</v>
      </c>
      <c r="AV340" s="16" t="str">
        <f t="shared" ref="AV340" si="855">IF(AU340 &lt; 0.02, "Low Volatility",
 IF(AU340 &gt; 0.1, "High Volatility", "Medium Volatility"))</f>
        <v>Low Volatility</v>
      </c>
      <c r="AW340" s="14" t="str">
        <f t="shared" si="661"/>
        <v>Stable</v>
      </c>
    </row>
    <row r="341" spans="1:49" ht="15.75" hidden="1" thickBot="1">
      <c r="A341" s="131" t="s">
        <v>714</v>
      </c>
      <c r="B341" s="131" t="s">
        <v>1032</v>
      </c>
      <c r="C341" s="131" t="s">
        <v>1033</v>
      </c>
      <c r="D341" s="15">
        <v>46091</v>
      </c>
      <c r="E341" s="60">
        <f t="shared" si="611"/>
        <v>7355.56</v>
      </c>
      <c r="F341" s="61">
        <f t="shared" si="612"/>
        <v>79.170000000000073</v>
      </c>
      <c r="G341" s="62">
        <f>((E341-MAX(E$16:E341))/MAX(E$16:E341))</f>
        <v>-2.3898402924764188E-2</v>
      </c>
      <c r="H341" s="16">
        <f t="shared" si="839"/>
        <v>1.0880395360886383E-2</v>
      </c>
      <c r="I341" s="153"/>
      <c r="K341" s="16">
        <f t="shared" si="637"/>
        <v>2.0443383923864571E-2</v>
      </c>
      <c r="L341" s="77">
        <f t="shared" ref="L341:N341" si="856">L340</f>
        <v>-1.1562909051035854E-2</v>
      </c>
      <c r="M341" s="16">
        <f t="shared" si="856"/>
        <v>8.988330998396717E-3</v>
      </c>
      <c r="N341" s="16" t="str">
        <f t="shared" si="856"/>
        <v>Low Volatility</v>
      </c>
      <c r="O341" s="14" t="str">
        <f t="shared" si="685"/>
        <v>Weak/Unconfirmed</v>
      </c>
      <c r="S341" s="131" t="s">
        <v>714</v>
      </c>
      <c r="T341" s="131" t="s">
        <v>1397</v>
      </c>
      <c r="U341" s="131" t="s">
        <v>1398</v>
      </c>
      <c r="V341" s="15">
        <f t="shared" si="836"/>
        <v>46091</v>
      </c>
      <c r="W341" s="60">
        <f t="shared" si="689"/>
        <v>125.14</v>
      </c>
      <c r="X341" s="61">
        <f t="shared" si="690"/>
        <v>1.8799999999999955</v>
      </c>
      <c r="Y341" s="62">
        <f>((W341-MAX(W$16:W341))/MAX(W$16:W341))</f>
        <v>-0.23033396887877486</v>
      </c>
      <c r="Z341" s="16">
        <f t="shared" si="691"/>
        <v>1.5252312185623847E-2</v>
      </c>
      <c r="AA341" s="153"/>
      <c r="AC341" s="16">
        <f t="shared" si="715"/>
        <v>7.1862955032119924E-2</v>
      </c>
      <c r="AD341" s="16">
        <f t="shared" ref="AD341:AF341" si="857">AD340</f>
        <v>-1.8698534082871186E-3</v>
      </c>
      <c r="AE341" s="16">
        <f t="shared" si="857"/>
        <v>2.6326608582977376E-2</v>
      </c>
      <c r="AF341" s="16" t="str">
        <f t="shared" si="857"/>
        <v>Medium Volatility</v>
      </c>
      <c r="AG341" s="14" t="str">
        <f t="shared" si="778"/>
        <v>Stable</v>
      </c>
      <c r="AI341" s="131" t="s">
        <v>714</v>
      </c>
      <c r="AJ341" s="131">
        <v>440395</v>
      </c>
      <c r="AK341" s="131">
        <v>440652</v>
      </c>
      <c r="AL341" s="15">
        <f t="shared" si="737"/>
        <v>46091</v>
      </c>
      <c r="AM341" s="60">
        <f t="shared" si="727"/>
        <v>44.065199999999997</v>
      </c>
      <c r="AN341" s="61">
        <f t="shared" si="728"/>
        <v>2.8599999999997294E-2</v>
      </c>
      <c r="AO341" s="62">
        <f>((AM341-MAX(AM$16:AM341))/MAX(AM$16:AM341))</f>
        <v>-6.3538168285390303E-5</v>
      </c>
      <c r="AP341" s="16">
        <f t="shared" si="729"/>
        <v>6.4945976755692526E-4</v>
      </c>
      <c r="AQ341" s="153"/>
      <c r="AS341" s="16">
        <f t="shared" si="600"/>
        <v>2.4295697750600521E-3</v>
      </c>
      <c r="AT341" s="77">
        <f t="shared" ref="AT341:AV341" si="858">AT340</f>
        <v>2.9364028253868932E-3</v>
      </c>
      <c r="AU341" s="16">
        <f t="shared" si="858"/>
        <v>9.2829301948419546E-4</v>
      </c>
      <c r="AV341" s="16" t="str">
        <f t="shared" si="858"/>
        <v>Low Volatility</v>
      </c>
      <c r="AW341" s="14" t="str">
        <f t="shared" si="661"/>
        <v>Stable</v>
      </c>
    </row>
    <row r="342" spans="1:49" ht="15.75" hidden="1" thickBot="1">
      <c r="A342" s="131" t="s">
        <v>715</v>
      </c>
      <c r="B342" s="131" t="s">
        <v>1034</v>
      </c>
      <c r="C342" s="131" t="s">
        <v>1035</v>
      </c>
      <c r="D342" s="15">
        <v>46092</v>
      </c>
      <c r="E342" s="60">
        <f t="shared" si="611"/>
        <v>7336.37</v>
      </c>
      <c r="F342" s="61">
        <f t="shared" si="612"/>
        <v>-19.190000000000509</v>
      </c>
      <c r="G342" s="62">
        <f>((E342-MAX(E$16:E342))/MAX(E$16:E342))</f>
        <v>-2.644496493335011E-2</v>
      </c>
      <c r="H342" s="16">
        <f t="shared" si="839"/>
        <v>-2.6089108103258636E-3</v>
      </c>
      <c r="I342" s="153"/>
      <c r="K342" s="16">
        <f t="shared" si="637"/>
        <v>1.0701655532885452E-2</v>
      </c>
      <c r="L342" s="77">
        <f t="shared" ref="L342:N342" si="859">L341</f>
        <v>-1.1562909051035854E-2</v>
      </c>
      <c r="M342" s="16">
        <f t="shared" si="859"/>
        <v>8.988330998396717E-3</v>
      </c>
      <c r="N342" s="16" t="str">
        <f t="shared" si="859"/>
        <v>Low Volatility</v>
      </c>
      <c r="O342" s="14" t="str">
        <f t="shared" si="685"/>
        <v>Weak/Unconfirmed</v>
      </c>
      <c r="S342" s="131" t="s">
        <v>715</v>
      </c>
      <c r="T342" s="131" t="s">
        <v>1399</v>
      </c>
      <c r="U342" s="131" t="s">
        <v>1400</v>
      </c>
      <c r="V342" s="15">
        <f t="shared" si="836"/>
        <v>46092</v>
      </c>
      <c r="W342" s="60">
        <f t="shared" si="689"/>
        <v>121.57</v>
      </c>
      <c r="X342" s="61">
        <f t="shared" si="690"/>
        <v>-3.5700000000000074</v>
      </c>
      <c r="Y342" s="62">
        <f>((W342-MAX(W$16:W342))/MAX(W$16:W342))</f>
        <v>-0.25229103880927495</v>
      </c>
      <c r="Z342" s="16">
        <f t="shared" si="691"/>
        <v>-2.8528048585584203E-2</v>
      </c>
      <c r="AA342" s="153"/>
      <c r="AC342" s="16">
        <f t="shared" si="715"/>
        <v>3.393434257526786E-2</v>
      </c>
      <c r="AD342" s="16">
        <f t="shared" ref="AD342" si="860">AD340</f>
        <v>-1.8698534082871186E-3</v>
      </c>
      <c r="AE342" s="16">
        <f t="shared" ref="AE342:AF342" si="861">AE341</f>
        <v>2.6326608582977376E-2</v>
      </c>
      <c r="AF342" s="16" t="str">
        <f t="shared" si="861"/>
        <v>Medium Volatility</v>
      </c>
      <c r="AG342" s="14" t="str">
        <f t="shared" si="778"/>
        <v>Stable</v>
      </c>
      <c r="AI342" s="131" t="s">
        <v>715</v>
      </c>
      <c r="AJ342" s="131">
        <v>440685</v>
      </c>
      <c r="AK342" s="131">
        <v>440828</v>
      </c>
      <c r="AL342" s="15">
        <f t="shared" si="737"/>
        <v>46092</v>
      </c>
      <c r="AM342" s="60">
        <f t="shared" si="727"/>
        <v>44.082799999999999</v>
      </c>
      <c r="AN342" s="61">
        <f t="shared" si="728"/>
        <v>1.7600000000001614E-2</v>
      </c>
      <c r="AO342" s="62">
        <f>((AM342-MAX(AM$16:AM342))/MAX(AM$16:AM342))</f>
        <v>0</v>
      </c>
      <c r="AP342" s="16">
        <f t="shared" si="729"/>
        <v>3.9940814974178296E-4</v>
      </c>
      <c r="AQ342" s="153"/>
      <c r="AS342" s="16">
        <f t="shared" ref="AS342:AS405" si="862">(AM342-AM335)/AM335</f>
        <v>2.896110839371596E-3</v>
      </c>
      <c r="AT342" s="77">
        <f t="shared" ref="AT342:AV342" si="863">AT341</f>
        <v>2.9364028253868932E-3</v>
      </c>
      <c r="AU342" s="16">
        <f t="shared" si="863"/>
        <v>9.2829301948419546E-4</v>
      </c>
      <c r="AV342" s="16" t="str">
        <f t="shared" si="863"/>
        <v>Low Volatility</v>
      </c>
      <c r="AW342" s="14" t="str">
        <f t="shared" si="661"/>
        <v>Stable</v>
      </c>
    </row>
    <row r="343" spans="1:49" ht="15.75" hidden="1" thickBot="1">
      <c r="A343" s="131" t="s">
        <v>716</v>
      </c>
      <c r="B343" s="131" t="s">
        <v>1036</v>
      </c>
      <c r="C343" s="131" t="s">
        <v>1037</v>
      </c>
      <c r="D343" s="15">
        <v>46093</v>
      </c>
      <c r="E343" s="60">
        <f t="shared" si="611"/>
        <v>7206.33</v>
      </c>
      <c r="F343" s="61">
        <f t="shared" si="612"/>
        <v>-130.03999999999996</v>
      </c>
      <c r="G343" s="62">
        <f>((E343-MAX(E$16:E343))/MAX(E$16:E343))</f>
        <v>-4.3701605037388909E-2</v>
      </c>
      <c r="H343" s="16">
        <f t="shared" si="839"/>
        <v>-1.7725387350965117E-2</v>
      </c>
      <c r="I343" s="153"/>
      <c r="K343" s="16">
        <f t="shared" si="637"/>
        <v>3.3890328446572809E-3</v>
      </c>
      <c r="L343" s="77">
        <f t="shared" ref="L343:N343" si="864">L342</f>
        <v>-1.1562909051035854E-2</v>
      </c>
      <c r="M343" s="16">
        <f t="shared" si="864"/>
        <v>8.988330998396717E-3</v>
      </c>
      <c r="N343" s="16" t="str">
        <f t="shared" si="864"/>
        <v>Low Volatility</v>
      </c>
      <c r="O343" s="14" t="str">
        <f t="shared" si="685"/>
        <v>Weak/Unconfirmed</v>
      </c>
      <c r="S343" s="131" t="s">
        <v>716</v>
      </c>
      <c r="T343" s="131" t="s">
        <v>1401</v>
      </c>
      <c r="U343" s="131" t="s">
        <v>1402</v>
      </c>
      <c r="V343" s="15">
        <f t="shared" si="836"/>
        <v>46093</v>
      </c>
      <c r="W343" s="60">
        <f t="shared" si="689"/>
        <v>118.99</v>
      </c>
      <c r="X343" s="61">
        <f t="shared" si="690"/>
        <v>-2.5799999999999983</v>
      </c>
      <c r="Y343" s="62">
        <f>((W343-MAX(W$16:W343))/MAX(W$16:W343))</f>
        <v>-0.26815917338089679</v>
      </c>
      <c r="Z343" s="16">
        <f t="shared" si="691"/>
        <v>-2.1222341038085041E-2</v>
      </c>
      <c r="AA343" s="153"/>
      <c r="AC343" s="16">
        <f t="shared" si="715"/>
        <v>2.4892334194659783E-2</v>
      </c>
      <c r="AD343" s="16">
        <f t="shared" ref="AD343" si="865">AD340</f>
        <v>-1.8698534082871186E-3</v>
      </c>
      <c r="AE343" s="16">
        <f t="shared" ref="AE343:AF343" si="866">AE342</f>
        <v>2.6326608582977376E-2</v>
      </c>
      <c r="AF343" s="16" t="str">
        <f t="shared" si="866"/>
        <v>Medium Volatility</v>
      </c>
      <c r="AG343" s="14" t="str">
        <f t="shared" si="778"/>
        <v>Stable</v>
      </c>
      <c r="AI343" s="131" t="s">
        <v>716</v>
      </c>
      <c r="AJ343" s="131">
        <v>440826</v>
      </c>
      <c r="AK343" s="131">
        <v>441219</v>
      </c>
      <c r="AL343" s="15">
        <f t="shared" si="737"/>
        <v>46093</v>
      </c>
      <c r="AM343" s="60">
        <f t="shared" si="727"/>
        <v>44.121899999999997</v>
      </c>
      <c r="AN343" s="61">
        <f t="shared" si="728"/>
        <v>3.9099999999997692E-2</v>
      </c>
      <c r="AO343" s="62">
        <f>((AM343-MAX(AM$16:AM343))/MAX(AM$16:AM343))</f>
        <v>0</v>
      </c>
      <c r="AP343" s="16">
        <f t="shared" si="729"/>
        <v>8.8696725253381581E-4</v>
      </c>
      <c r="AQ343" s="153"/>
      <c r="AS343" s="16">
        <f t="shared" si="862"/>
        <v>2.8980961213244806E-3</v>
      </c>
      <c r="AT343" s="77">
        <f t="shared" ref="AT343:AV343" si="867">AT342</f>
        <v>2.9364028253868932E-3</v>
      </c>
      <c r="AU343" s="16">
        <f t="shared" si="867"/>
        <v>9.2829301948419546E-4</v>
      </c>
      <c r="AV343" s="16" t="str">
        <f t="shared" si="867"/>
        <v>Low Volatility</v>
      </c>
      <c r="AW343" s="14" t="str">
        <f t="shared" si="661"/>
        <v>Stable</v>
      </c>
    </row>
    <row r="344" spans="1:49" ht="15.75" hidden="1" thickBot="1">
      <c r="A344" s="131" t="s">
        <v>717</v>
      </c>
      <c r="B344" s="131" t="s">
        <v>1038</v>
      </c>
      <c r="C344" s="131" t="s">
        <v>1039</v>
      </c>
      <c r="D344" s="15">
        <v>46094</v>
      </c>
      <c r="E344" s="60">
        <f t="shared" si="611"/>
        <v>7136.03</v>
      </c>
      <c r="F344" s="61">
        <f t="shared" si="612"/>
        <v>-70.300000000000182</v>
      </c>
      <c r="G344" s="62">
        <f>((E344-MAX(E$16:E344))/MAX(E$16:E344))</f>
        <v>-5.3030594573792562E-2</v>
      </c>
      <c r="H344" s="16">
        <f t="shared" si="839"/>
        <v>-9.7553123434536287E-3</v>
      </c>
      <c r="I344" s="153"/>
      <c r="K344" s="16">
        <f t="shared" si="637"/>
        <v>-2.2724035738349743E-2</v>
      </c>
      <c r="L344" s="77">
        <f t="shared" ref="L344:N344" si="868">L343</f>
        <v>-1.1562909051035854E-2</v>
      </c>
      <c r="M344" s="16">
        <f t="shared" si="868"/>
        <v>8.988330998396717E-3</v>
      </c>
      <c r="N344" s="16" t="str">
        <f t="shared" si="868"/>
        <v>Low Volatility</v>
      </c>
      <c r="O344" s="14" t="str">
        <f t="shared" si="685"/>
        <v>Strong Downtrend</v>
      </c>
      <c r="S344" s="131" t="s">
        <v>717</v>
      </c>
      <c r="T344" s="131" t="s">
        <v>1402</v>
      </c>
      <c r="U344" s="131" t="s">
        <v>1403</v>
      </c>
      <c r="V344" s="15">
        <f t="shared" si="836"/>
        <v>46094</v>
      </c>
      <c r="W344" s="60">
        <f t="shared" si="689"/>
        <v>114.59</v>
      </c>
      <c r="X344" s="61">
        <f t="shared" si="690"/>
        <v>-4.3999999999999915</v>
      </c>
      <c r="Y344" s="62">
        <f>((W344-MAX(W$16:W344))/MAX(W$16:W344))</f>
        <v>-0.29522110830924408</v>
      </c>
      <c r="Z344" s="16">
        <f t="shared" si="691"/>
        <v>-3.6977897302294241E-2</v>
      </c>
      <c r="AA344" s="153"/>
      <c r="AC344" s="16">
        <f t="shared" si="715"/>
        <v>-3.6086810228802085E-2</v>
      </c>
      <c r="AD344" s="16">
        <f t="shared" ref="AD344" si="869">AD340</f>
        <v>-1.8698534082871186E-3</v>
      </c>
      <c r="AE344" s="16">
        <f t="shared" ref="AE344:AF344" si="870">AE343</f>
        <v>2.6326608582977376E-2</v>
      </c>
      <c r="AF344" s="16" t="str">
        <f t="shared" si="870"/>
        <v>Medium Volatility</v>
      </c>
      <c r="AG344" s="14" t="str">
        <f t="shared" si="778"/>
        <v>Stable</v>
      </c>
      <c r="AI344" s="131" t="s">
        <v>717</v>
      </c>
      <c r="AJ344" s="131">
        <v>441221</v>
      </c>
      <c r="AK344" s="131">
        <v>442207</v>
      </c>
      <c r="AL344" s="15">
        <f t="shared" si="737"/>
        <v>46094</v>
      </c>
      <c r="AM344" s="60">
        <f t="shared" si="727"/>
        <v>44.220700000000001</v>
      </c>
      <c r="AN344" s="61">
        <f t="shared" si="728"/>
        <v>9.8800000000004218E-2</v>
      </c>
      <c r="AO344" s="62">
        <f>((AM344-MAX(AM$16:AM344))/MAX(AM$16:AM344))</f>
        <v>0</v>
      </c>
      <c r="AP344" s="16">
        <f t="shared" si="729"/>
        <v>2.2392508028893639E-3</v>
      </c>
      <c r="AQ344" s="153"/>
      <c r="AS344" s="16">
        <f t="shared" si="862"/>
        <v>3.4650993918490277E-3</v>
      </c>
      <c r="AT344" s="77">
        <f t="shared" ref="AT344:AV344" si="871">AT343</f>
        <v>2.9364028253868932E-3</v>
      </c>
      <c r="AU344" s="16">
        <f t="shared" si="871"/>
        <v>9.2829301948419546E-4</v>
      </c>
      <c r="AV344" s="16" t="str">
        <f t="shared" si="871"/>
        <v>Low Volatility</v>
      </c>
      <c r="AW344" s="14" t="str">
        <f t="shared" si="661"/>
        <v>Stable</v>
      </c>
    </row>
    <row r="345" spans="1:49" ht="15.75" hidden="1" thickBot="1">
      <c r="A345" s="131" t="s">
        <v>718</v>
      </c>
      <c r="B345" s="131" t="s">
        <v>1038</v>
      </c>
      <c r="C345" s="131" t="s">
        <v>1039</v>
      </c>
      <c r="D345" s="15">
        <v>46095</v>
      </c>
      <c r="E345" s="60">
        <f t="shared" si="611"/>
        <v>7136.03</v>
      </c>
      <c r="F345" s="61">
        <f t="shared" si="612"/>
        <v>0</v>
      </c>
      <c r="G345" s="62">
        <f>((E345-MAX(E$16:E345))/MAX(E$16:E345))</f>
        <v>-5.3030594573792562E-2</v>
      </c>
      <c r="H345" s="16">
        <f t="shared" si="839"/>
        <v>0</v>
      </c>
      <c r="I345" s="153"/>
      <c r="K345" s="16">
        <f t="shared" si="637"/>
        <v>-2.2724035738349743E-2</v>
      </c>
      <c r="L345" s="77">
        <f t="shared" ref="L345:N345" si="872">L344</f>
        <v>-1.1562909051035854E-2</v>
      </c>
      <c r="M345" s="16">
        <f t="shared" si="872"/>
        <v>8.988330998396717E-3</v>
      </c>
      <c r="N345" s="16" t="str">
        <f t="shared" si="872"/>
        <v>Low Volatility</v>
      </c>
      <c r="O345" s="14" t="str">
        <f t="shared" si="685"/>
        <v>Strong Downtrend</v>
      </c>
      <c r="S345" s="131" t="s">
        <v>718</v>
      </c>
      <c r="T345" s="131" t="s">
        <v>1402</v>
      </c>
      <c r="U345" s="131" t="s">
        <v>1403</v>
      </c>
      <c r="V345" s="15">
        <f t="shared" si="836"/>
        <v>46095</v>
      </c>
      <c r="W345" s="60">
        <f t="shared" si="689"/>
        <v>114.59</v>
      </c>
      <c r="X345" s="61">
        <f t="shared" si="690"/>
        <v>0</v>
      </c>
      <c r="Y345" s="62">
        <f>((W345-MAX(W$16:W345))/MAX(W$16:W345))</f>
        <v>-0.29522110830924408</v>
      </c>
      <c r="Z345" s="16">
        <f t="shared" si="691"/>
        <v>0</v>
      </c>
      <c r="AA345" s="153"/>
      <c r="AC345" s="16">
        <f t="shared" si="715"/>
        <v>-3.6086810228802085E-2</v>
      </c>
      <c r="AD345" s="16">
        <f t="shared" ref="AD345" si="873">AD340</f>
        <v>-1.8698534082871186E-3</v>
      </c>
      <c r="AE345" s="16">
        <f t="shared" ref="AE345:AF345" si="874">AE344</f>
        <v>2.6326608582977376E-2</v>
      </c>
      <c r="AF345" s="16" t="str">
        <f t="shared" si="874"/>
        <v>Medium Volatility</v>
      </c>
      <c r="AG345" s="14" t="str">
        <f t="shared" si="778"/>
        <v>Stable</v>
      </c>
      <c r="AI345" s="131" t="s">
        <v>718</v>
      </c>
      <c r="AJ345" s="131">
        <v>441221</v>
      </c>
      <c r="AK345" s="131">
        <v>442207</v>
      </c>
      <c r="AL345" s="15">
        <f t="shared" si="737"/>
        <v>46095</v>
      </c>
      <c r="AM345" s="60">
        <f t="shared" si="727"/>
        <v>44.220700000000001</v>
      </c>
      <c r="AN345" s="61">
        <f t="shared" si="728"/>
        <v>0</v>
      </c>
      <c r="AO345" s="62">
        <f>((AM345-MAX(AM$16:AM345))/MAX(AM$16:AM345))</f>
        <v>0</v>
      </c>
      <c r="AP345" s="16">
        <f t="shared" si="729"/>
        <v>0</v>
      </c>
      <c r="AQ345" s="153"/>
      <c r="AS345" s="16">
        <f t="shared" si="862"/>
        <v>3.4650993918490277E-3</v>
      </c>
      <c r="AT345" s="77">
        <f t="shared" ref="AT345:AV345" si="875">AT344</f>
        <v>2.9364028253868932E-3</v>
      </c>
      <c r="AU345" s="16">
        <f t="shared" si="875"/>
        <v>9.2829301948419546E-4</v>
      </c>
      <c r="AV345" s="16" t="str">
        <f t="shared" si="875"/>
        <v>Low Volatility</v>
      </c>
      <c r="AW345" s="14" t="str">
        <f t="shared" si="661"/>
        <v>Stable</v>
      </c>
    </row>
    <row r="346" spans="1:49" ht="15.75" hidden="1" thickBot="1">
      <c r="A346" s="131" t="s">
        <v>719</v>
      </c>
      <c r="B346" s="131" t="s">
        <v>1038</v>
      </c>
      <c r="C346" s="131" t="s">
        <v>1039</v>
      </c>
      <c r="D346" s="15">
        <v>46096</v>
      </c>
      <c r="E346" s="60">
        <f t="shared" ref="E346:E409" si="876">VALUE(SUBSTITUTE(SUBSTITUTE(C346, ".", ""), ",", "."))</f>
        <v>7136.03</v>
      </c>
      <c r="F346" s="61">
        <f t="shared" ref="F346:F409" si="877">E346-E345</f>
        <v>0</v>
      </c>
      <c r="G346" s="62">
        <f>((E346-MAX(E$16:E346))/MAX(E$16:E346))</f>
        <v>-5.3030594573792562E-2</v>
      </c>
      <c r="H346" s="16">
        <f t="shared" si="839"/>
        <v>0</v>
      </c>
      <c r="I346" s="153"/>
      <c r="K346" s="16">
        <f t="shared" si="637"/>
        <v>-2.2724035738349743E-2</v>
      </c>
      <c r="L346" s="77">
        <f t="shared" ref="L346:N346" si="878">L345</f>
        <v>-1.1562909051035854E-2</v>
      </c>
      <c r="M346" s="16">
        <f t="shared" si="878"/>
        <v>8.988330998396717E-3</v>
      </c>
      <c r="N346" s="16" t="str">
        <f t="shared" si="878"/>
        <v>Low Volatility</v>
      </c>
      <c r="O346" s="14" t="str">
        <f t="shared" si="685"/>
        <v>Strong Downtrend</v>
      </c>
      <c r="S346" s="131" t="s">
        <v>719</v>
      </c>
      <c r="T346" s="131" t="s">
        <v>1402</v>
      </c>
      <c r="U346" s="131" t="s">
        <v>1403</v>
      </c>
      <c r="V346" s="15">
        <f t="shared" si="836"/>
        <v>46096</v>
      </c>
      <c r="W346" s="60">
        <f t="shared" si="689"/>
        <v>114.59</v>
      </c>
      <c r="X346" s="61">
        <f t="shared" si="690"/>
        <v>0</v>
      </c>
      <c r="Y346" s="62">
        <f>((W346-MAX(W$16:W346))/MAX(W$16:W346))</f>
        <v>-0.29522110830924408</v>
      </c>
      <c r="Z346" s="16">
        <f t="shared" si="691"/>
        <v>0</v>
      </c>
      <c r="AA346" s="153"/>
      <c r="AC346" s="16">
        <f t="shared" si="715"/>
        <v>-3.6086810228802085E-2</v>
      </c>
      <c r="AD346" s="16">
        <f t="shared" ref="AD346:AE346" si="879">AD340</f>
        <v>-1.8698534082871186E-3</v>
      </c>
      <c r="AE346" s="16">
        <f t="shared" si="879"/>
        <v>2.6326608582977376E-2</v>
      </c>
      <c r="AF346" s="16" t="str">
        <f t="shared" ref="AF346" si="880">IF(AE346 &lt; 0.02, "Low Volatility",
 IF(AE346 &gt; 0.1, "High Volatility", "Medium Volatility"))</f>
        <v>Medium Volatility</v>
      </c>
      <c r="AG346" s="14" t="str">
        <f t="shared" si="778"/>
        <v>Stable</v>
      </c>
      <c r="AI346" s="131" t="s">
        <v>719</v>
      </c>
      <c r="AJ346" s="131">
        <v>441221</v>
      </c>
      <c r="AK346" s="131">
        <v>442207</v>
      </c>
      <c r="AL346" s="15">
        <f t="shared" si="737"/>
        <v>46096</v>
      </c>
      <c r="AM346" s="60">
        <f t="shared" si="727"/>
        <v>44.220700000000001</v>
      </c>
      <c r="AN346" s="61">
        <f t="shared" si="728"/>
        <v>0</v>
      </c>
      <c r="AO346" s="62">
        <f>((AM346-MAX(AM$16:AM346))/MAX(AM$16:AM346))</f>
        <v>0</v>
      </c>
      <c r="AP346" s="16">
        <f t="shared" si="729"/>
        <v>0</v>
      </c>
      <c r="AQ346" s="153"/>
      <c r="AS346" s="16">
        <f t="shared" si="862"/>
        <v>3.4650993918490277E-3</v>
      </c>
      <c r="AT346" s="77">
        <f t="shared" ref="AT346:AV346" si="881">AT345</f>
        <v>2.9364028253868932E-3</v>
      </c>
      <c r="AU346" s="16">
        <f t="shared" si="881"/>
        <v>9.2829301948419546E-4</v>
      </c>
      <c r="AV346" s="16" t="str">
        <f t="shared" si="881"/>
        <v>Low Volatility</v>
      </c>
      <c r="AW346" s="14" t="str">
        <f t="shared" si="661"/>
        <v>Stable</v>
      </c>
    </row>
    <row r="347" spans="1:49" ht="15.75" hidden="1" thickBot="1">
      <c r="A347" s="131" t="s">
        <v>720</v>
      </c>
      <c r="B347" s="131" t="s">
        <v>1040</v>
      </c>
      <c r="C347" s="131" t="s">
        <v>1041</v>
      </c>
      <c r="D347" s="15">
        <v>46097</v>
      </c>
      <c r="E347" s="60">
        <f t="shared" si="876"/>
        <v>7109.17</v>
      </c>
      <c r="F347" s="61">
        <f t="shared" si="877"/>
        <v>-26.859999999999673</v>
      </c>
      <c r="G347" s="62">
        <f>((E347-MAX(E$16:E347))/MAX(E$16:E347))</f>
        <v>-5.6594985170489553E-2</v>
      </c>
      <c r="H347" s="16">
        <f t="shared" si="839"/>
        <v>-3.7639976289336892E-3</v>
      </c>
      <c r="I347" s="153">
        <f>AVERAGEIFS(E347:E354, E347:E354, "&gt;=0")</f>
        <v>6648.9675000000007</v>
      </c>
      <c r="K347" s="16">
        <f t="shared" si="637"/>
        <v>-2.2981176105184062E-2</v>
      </c>
      <c r="L347" s="77">
        <f t="shared" ref="L347" si="882">(I347-I340)/I340</f>
        <v>-7.8003484370685439E-2</v>
      </c>
      <c r="M347" s="16" cm="1">
        <f t="array" ref="M347">_xlfn.STDEV.S(_xlfn._xlws.FILTER(F347:F353, ISNUMBER(F347:F353))) / I347</f>
        <v>1.8655517482830872E-2</v>
      </c>
      <c r="N347" s="16" t="str" cm="1">
        <f t="array" ref="N347">_xlfn.LET(
  _xlpm.c, M168,
  IFERROR(
    _xlfn.IFS(_xlpm.c&lt;0.02,"Low Volatility",
        _xlpm.c&gt;0.1,"High Volatility",
        TRUE,"Medium Volatility"),
    "Insufficient data"
  )
)</f>
        <v>Low Volatility</v>
      </c>
      <c r="O347" s="14" t="str">
        <f t="shared" si="685"/>
        <v>Strong Downtrend</v>
      </c>
      <c r="S347" s="131" t="s">
        <v>720</v>
      </c>
      <c r="T347" s="131" t="s">
        <v>1403</v>
      </c>
      <c r="U347" s="131" t="s">
        <v>1404</v>
      </c>
      <c r="V347" s="15">
        <f t="shared" si="836"/>
        <v>46097</v>
      </c>
      <c r="W347" s="60">
        <f t="shared" si="689"/>
        <v>114.71</v>
      </c>
      <c r="X347" s="61">
        <f t="shared" si="690"/>
        <v>0.11999999999999034</v>
      </c>
      <c r="Y347" s="62">
        <f>((W347-MAX(W$16:W347))/MAX(W$16:W347))</f>
        <v>-0.29448305553847104</v>
      </c>
      <c r="Z347" s="16">
        <f t="shared" si="691"/>
        <v>1.0472117985861798E-3</v>
      </c>
      <c r="AA347" s="153">
        <f t="shared" ref="AA347" si="883">AVERAGEIFS(W347:W353, W347:W353, "&gt;=0")</f>
        <v>104.01857142857143</v>
      </c>
      <c r="AC347" s="16">
        <f t="shared" si="715"/>
        <v>-6.9365568716534251E-2</v>
      </c>
      <c r="AD347" s="66">
        <f t="shared" ref="AD347" si="884">(AA347-AA340)/AA340</f>
        <v>-0.12561094232224135</v>
      </c>
      <c r="AE347" s="16" cm="1">
        <f t="array" ref="AE347">_xlfn.STDEV.S(_xlfn._xlws.FILTER(X347:X353, ISNUMBER(X347:X353))) / AA347</f>
        <v>2.8183682558175976E-2</v>
      </c>
      <c r="AF347" s="16" t="str">
        <f t="shared" ref="AF347:AF352" si="885">AF346</f>
        <v>Medium Volatility</v>
      </c>
      <c r="AG347" s="14" t="str">
        <f t="shared" si="778"/>
        <v>Strong Downtrend</v>
      </c>
      <c r="AI347" s="131" t="s">
        <v>720</v>
      </c>
      <c r="AJ347" s="131">
        <v>442036</v>
      </c>
      <c r="AK347" s="131">
        <v>441694</v>
      </c>
      <c r="AL347" s="15">
        <f t="shared" si="737"/>
        <v>46097</v>
      </c>
      <c r="AM347" s="60">
        <f t="shared" si="727"/>
        <v>44.169400000000003</v>
      </c>
      <c r="AN347" s="61">
        <f t="shared" si="728"/>
        <v>-5.1299999999997681E-2</v>
      </c>
      <c r="AO347" s="62">
        <f>((AM347-MAX(AM$16:AM347))/MAX(AM$16:AM347))</f>
        <v>-1.160090184008794E-3</v>
      </c>
      <c r="AP347" s="16">
        <f t="shared" si="729"/>
        <v>-1.160090184008794E-3</v>
      </c>
      <c r="AQ347" s="153">
        <f t="shared" ref="AQ347" si="886">AVERAGEIFS(AM347:AM353, AM347:AM353, "&gt;=0")</f>
        <v>44.251228571428562</v>
      </c>
      <c r="AS347" s="16">
        <f t="shared" si="862"/>
        <v>3.0156733262786668E-3</v>
      </c>
      <c r="AT347" s="77">
        <f t="shared" ref="AT347" si="887">(AQ347-AQ340)/AQ340</f>
        <v>2.5568941309892452E-3</v>
      </c>
      <c r="AU347" s="16" cm="1">
        <f t="array" ref="AU347">_xlfn.STDEV.S(_xlfn._xlws.FILTER(AN347:AN353, ISNUMBER(AN347:AN353))) / AQ347</f>
        <v>9.0738292705497985E-4</v>
      </c>
      <c r="AV347" s="16" t="str">
        <f t="shared" ref="AV347" si="888">IF(AU347 &lt; 0.02, "Low Volatility",
 IF(AU347 &gt; 0.1, "High Volatility", "Medium Volatility"))</f>
        <v>Low Volatility</v>
      </c>
      <c r="AW347" s="14" t="str">
        <f t="shared" si="661"/>
        <v>Stable</v>
      </c>
    </row>
    <row r="348" spans="1:49" ht="15.75" hidden="1" thickBot="1">
      <c r="A348" s="131" t="s">
        <v>721</v>
      </c>
      <c r="B348" s="131" t="s">
        <v>1042</v>
      </c>
      <c r="C348" s="131" t="s">
        <v>1043</v>
      </c>
      <c r="D348" s="15">
        <v>46098</v>
      </c>
      <c r="E348" s="60">
        <f t="shared" si="876"/>
        <v>7113.06</v>
      </c>
      <c r="F348" s="61">
        <f t="shared" si="877"/>
        <v>3.8900000000003274</v>
      </c>
      <c r="G348" s="62">
        <f>((E348-MAX(E$16:E348))/MAX(E$16:E348))</f>
        <v>-5.6078772235971582E-2</v>
      </c>
      <c r="H348" s="16">
        <f t="shared" si="839"/>
        <v>5.4718061320805766E-4</v>
      </c>
      <c r="I348" s="153"/>
      <c r="K348" s="16">
        <f t="shared" si="637"/>
        <v>-3.2968258025221735E-2</v>
      </c>
      <c r="L348" s="77">
        <f t="shared" ref="L348:N348" si="889">L347</f>
        <v>-7.8003484370685439E-2</v>
      </c>
      <c r="M348" s="16">
        <f t="shared" si="889"/>
        <v>1.8655517482830872E-2</v>
      </c>
      <c r="N348" s="16" t="str">
        <f t="shared" si="889"/>
        <v>Low Volatility</v>
      </c>
      <c r="O348" s="14" t="str">
        <f t="shared" si="685"/>
        <v>Strong Downtrend</v>
      </c>
      <c r="S348" s="131" t="s">
        <v>721</v>
      </c>
      <c r="T348" s="131" t="s">
        <v>1405</v>
      </c>
      <c r="U348" s="131" t="s">
        <v>1406</v>
      </c>
      <c r="V348" s="15">
        <f t="shared" si="836"/>
        <v>46098</v>
      </c>
      <c r="W348" s="60">
        <f t="shared" si="689"/>
        <v>112.72</v>
      </c>
      <c r="X348" s="61">
        <f t="shared" si="690"/>
        <v>-1.9899999999999949</v>
      </c>
      <c r="Y348" s="62">
        <f>((W348-MAX(W$16:W348))/MAX(W$16:W348))</f>
        <v>-0.30672243065379179</v>
      </c>
      <c r="Z348" s="16">
        <f t="shared" si="691"/>
        <v>-1.7348095196582643E-2</v>
      </c>
      <c r="AA348" s="153"/>
      <c r="AC348" s="16">
        <f t="shared" si="715"/>
        <v>-9.924884129774654E-2</v>
      </c>
      <c r="AD348" s="16">
        <f t="shared" ref="AD348" si="890">AD347</f>
        <v>-0.12561094232224135</v>
      </c>
      <c r="AE348" s="16">
        <f t="shared" ref="AE348:AE352" si="891">AE347</f>
        <v>2.8183682558175976E-2</v>
      </c>
      <c r="AF348" s="16" t="str">
        <f t="shared" si="885"/>
        <v>Medium Volatility</v>
      </c>
      <c r="AG348" s="14" t="str">
        <f t="shared" si="778"/>
        <v>Strong Downtrend</v>
      </c>
      <c r="AI348" s="131" t="s">
        <v>721</v>
      </c>
      <c r="AJ348" s="131">
        <v>441723</v>
      </c>
      <c r="AK348" s="131">
        <v>441903</v>
      </c>
      <c r="AL348" s="15">
        <f t="shared" si="737"/>
        <v>46098</v>
      </c>
      <c r="AM348" s="60">
        <f t="shared" si="727"/>
        <v>44.190300000000001</v>
      </c>
      <c r="AN348" s="61">
        <f t="shared" si="728"/>
        <v>2.0899999999997476E-2</v>
      </c>
      <c r="AO348" s="62">
        <f>((AM348-MAX(AM$16:AM348))/MAX(AM$16:AM348))</f>
        <v>-6.8746084978302474E-4</v>
      </c>
      <c r="AP348" s="16">
        <f t="shared" si="729"/>
        <v>4.7317826368475631E-4</v>
      </c>
      <c r="AQ348" s="153"/>
      <c r="AS348" s="16">
        <f t="shared" si="862"/>
        <v>2.8389749734485112E-3</v>
      </c>
      <c r="AT348" s="77">
        <f t="shared" ref="AT348:AV348" si="892">AT347</f>
        <v>2.5568941309892452E-3</v>
      </c>
      <c r="AU348" s="16">
        <f t="shared" si="892"/>
        <v>9.0738292705497985E-4</v>
      </c>
      <c r="AV348" s="16" t="str">
        <f t="shared" si="892"/>
        <v>Low Volatility</v>
      </c>
      <c r="AW348" s="14" t="str">
        <f t="shared" si="661"/>
        <v>Stable</v>
      </c>
    </row>
    <row r="349" spans="1:49" ht="15.75" hidden="1" thickBot="1">
      <c r="A349" s="131" t="s">
        <v>722</v>
      </c>
      <c r="B349" s="131" t="s">
        <v>1044</v>
      </c>
      <c r="C349" s="131" t="s">
        <v>1045</v>
      </c>
      <c r="D349" s="15">
        <v>46099</v>
      </c>
      <c r="E349" s="60">
        <f t="shared" si="876"/>
        <v>6849.31</v>
      </c>
      <c r="F349" s="61">
        <f t="shared" si="877"/>
        <v>-263.75</v>
      </c>
      <c r="G349" s="62">
        <f>((E349-MAX(E$16:E349))/MAX(E$16:E349))</f>
        <v>-9.1079070816717775E-2</v>
      </c>
      <c r="H349" s="16">
        <f t="shared" si="839"/>
        <v>-3.7079681599761563E-2</v>
      </c>
      <c r="I349" s="153"/>
      <c r="K349" s="16">
        <f t="shared" si="637"/>
        <v>-6.6389781322370528E-2</v>
      </c>
      <c r="L349" s="77">
        <f t="shared" ref="L349:N349" si="893">L348</f>
        <v>-7.8003484370685439E-2</v>
      </c>
      <c r="M349" s="16">
        <f t="shared" si="893"/>
        <v>1.8655517482830872E-2</v>
      </c>
      <c r="N349" s="16" t="str">
        <f t="shared" si="893"/>
        <v>Low Volatility</v>
      </c>
      <c r="O349" s="14" t="str">
        <f t="shared" si="685"/>
        <v>Strong Downtrend</v>
      </c>
      <c r="S349" s="131" t="s">
        <v>722</v>
      </c>
      <c r="T349" s="131" t="s">
        <v>1407</v>
      </c>
      <c r="U349" s="131" t="s">
        <v>1408</v>
      </c>
      <c r="V349" s="15">
        <f t="shared" si="836"/>
        <v>46099</v>
      </c>
      <c r="W349" s="60">
        <f t="shared" si="689"/>
        <v>107.14</v>
      </c>
      <c r="X349" s="61">
        <f t="shared" si="690"/>
        <v>-5.5799999999999983</v>
      </c>
      <c r="Y349" s="62">
        <f>((W349-MAX(W$16:W349))/MAX(W$16:W349))</f>
        <v>-0.34104188449474138</v>
      </c>
      <c r="Z349" s="16">
        <f t="shared" si="691"/>
        <v>-4.9503193754435758E-2</v>
      </c>
      <c r="AA349" s="153"/>
      <c r="AC349" s="16">
        <f t="shared" si="715"/>
        <v>-0.11869704696882449</v>
      </c>
      <c r="AD349" s="16">
        <f t="shared" ref="AD349" si="894">AD347</f>
        <v>-0.12561094232224135</v>
      </c>
      <c r="AE349" s="16">
        <f t="shared" si="891"/>
        <v>2.8183682558175976E-2</v>
      </c>
      <c r="AF349" s="16" t="str">
        <f t="shared" si="885"/>
        <v>Medium Volatility</v>
      </c>
      <c r="AG349" s="14" t="str">
        <f t="shared" si="778"/>
        <v>Strong Downtrend</v>
      </c>
      <c r="AI349" s="131" t="s">
        <v>722</v>
      </c>
      <c r="AJ349" s="131">
        <v>441985</v>
      </c>
      <c r="AK349" s="131">
        <v>442112</v>
      </c>
      <c r="AL349" s="15">
        <f t="shared" si="737"/>
        <v>46099</v>
      </c>
      <c r="AM349" s="60">
        <f t="shared" si="727"/>
        <v>44.211199999999998</v>
      </c>
      <c r="AN349" s="61">
        <f t="shared" si="728"/>
        <v>2.0899999999997476E-2</v>
      </c>
      <c r="AO349" s="62">
        <f>((AM349-MAX(AM$16:AM349))/MAX(AM$16:AM349))</f>
        <v>-2.1483151555725549E-4</v>
      </c>
      <c r="AP349" s="16">
        <f t="shared" si="729"/>
        <v>4.729544719089365E-4</v>
      </c>
      <c r="AQ349" s="153"/>
      <c r="AS349" s="16">
        <f t="shared" si="862"/>
        <v>2.9127006451495638E-3</v>
      </c>
      <c r="AT349" s="77">
        <f t="shared" ref="AT349:AV349" si="895">AT348</f>
        <v>2.5568941309892452E-3</v>
      </c>
      <c r="AU349" s="16">
        <f t="shared" si="895"/>
        <v>9.0738292705497985E-4</v>
      </c>
      <c r="AV349" s="16" t="str">
        <f t="shared" si="895"/>
        <v>Low Volatility</v>
      </c>
      <c r="AW349" s="14" t="str">
        <f t="shared" si="661"/>
        <v>Stable</v>
      </c>
    </row>
    <row r="350" spans="1:49" ht="15.75" hidden="1" thickBot="1">
      <c r="A350" s="131" t="s">
        <v>723</v>
      </c>
      <c r="B350" s="131" t="s">
        <v>1046</v>
      </c>
      <c r="C350" s="131" t="s">
        <v>1047</v>
      </c>
      <c r="D350" s="15">
        <v>46100</v>
      </c>
      <c r="E350" s="60">
        <f t="shared" si="876"/>
        <v>6621.92</v>
      </c>
      <c r="F350" s="61">
        <f t="shared" si="877"/>
        <v>-227.39000000000033</v>
      </c>
      <c r="G350" s="62">
        <f>((E350-MAX(E$16:E350))/MAX(E$16:E350))</f>
        <v>-0.12125430453909081</v>
      </c>
      <c r="H350" s="16">
        <f t="shared" si="839"/>
        <v>-3.3198964567233827E-2</v>
      </c>
      <c r="I350" s="153"/>
      <c r="K350" s="16">
        <f t="shared" si="637"/>
        <v>-8.1096757989156734E-2</v>
      </c>
      <c r="L350" s="77">
        <f t="shared" ref="L350:N350" si="896">L349</f>
        <v>-7.8003484370685439E-2</v>
      </c>
      <c r="M350" s="16">
        <f t="shared" si="896"/>
        <v>1.8655517482830872E-2</v>
      </c>
      <c r="N350" s="16" t="str">
        <f t="shared" si="896"/>
        <v>Low Volatility</v>
      </c>
      <c r="O350" s="14" t="str">
        <f t="shared" si="685"/>
        <v>Strong Downtrend</v>
      </c>
      <c r="S350" s="131" t="s">
        <v>723</v>
      </c>
      <c r="T350" s="131" t="s">
        <v>1409</v>
      </c>
      <c r="U350" s="131" t="s">
        <v>1410</v>
      </c>
      <c r="V350" s="15">
        <f t="shared" si="836"/>
        <v>46100</v>
      </c>
      <c r="W350" s="60">
        <f t="shared" si="689"/>
        <v>103.76</v>
      </c>
      <c r="X350" s="61">
        <f t="shared" si="690"/>
        <v>-3.3799999999999955</v>
      </c>
      <c r="Y350" s="62">
        <f>((W350-MAX(W$16:W350))/MAX(W$16:W350))</f>
        <v>-0.36183037087151732</v>
      </c>
      <c r="Z350" s="16">
        <f t="shared" si="691"/>
        <v>-3.1547507933544855E-2</v>
      </c>
      <c r="AA350" s="153"/>
      <c r="AC350" s="16">
        <f t="shared" si="715"/>
        <v>-0.12799394907135045</v>
      </c>
      <c r="AD350" s="16">
        <f t="shared" ref="AD350" si="897">AD347</f>
        <v>-0.12561094232224135</v>
      </c>
      <c r="AE350" s="16">
        <f t="shared" si="891"/>
        <v>2.8183682558175976E-2</v>
      </c>
      <c r="AF350" s="16" t="str">
        <f t="shared" si="885"/>
        <v>Medium Volatility</v>
      </c>
      <c r="AG350" s="14" t="str">
        <f t="shared" si="778"/>
        <v>Strong Downtrend</v>
      </c>
      <c r="AI350" s="131" t="s">
        <v>723</v>
      </c>
      <c r="AJ350" s="131">
        <v>442365</v>
      </c>
      <c r="AK350" s="131">
        <v>442949</v>
      </c>
      <c r="AL350" s="15">
        <f t="shared" si="737"/>
        <v>46100</v>
      </c>
      <c r="AM350" s="60">
        <f t="shared" si="727"/>
        <v>44.294899999999998</v>
      </c>
      <c r="AN350" s="61">
        <f t="shared" si="728"/>
        <v>8.370000000000033E-2</v>
      </c>
      <c r="AO350" s="62">
        <f>((AM350-MAX(AM$16:AM350))/MAX(AM$16:AM350))</f>
        <v>0</v>
      </c>
      <c r="AP350" s="16">
        <f t="shared" si="729"/>
        <v>1.8931854371742982E-3</v>
      </c>
      <c r="AQ350" s="153"/>
      <c r="AS350" s="16">
        <f t="shared" si="862"/>
        <v>3.9209553532373225E-3</v>
      </c>
      <c r="AT350" s="77">
        <f t="shared" ref="AT350:AV350" si="898">AT349</f>
        <v>2.5568941309892452E-3</v>
      </c>
      <c r="AU350" s="16">
        <f t="shared" si="898"/>
        <v>9.0738292705497985E-4</v>
      </c>
      <c r="AV350" s="16" t="str">
        <f t="shared" si="898"/>
        <v>Low Volatility</v>
      </c>
      <c r="AW350" s="14" t="str">
        <f t="shared" si="661"/>
        <v>Stable</v>
      </c>
    </row>
    <row r="351" spans="1:49" ht="15.75" hidden="1" thickBot="1">
      <c r="A351" s="131" t="s">
        <v>724</v>
      </c>
      <c r="B351" s="131" t="s">
        <v>1048</v>
      </c>
      <c r="C351" s="131" t="s">
        <v>1049</v>
      </c>
      <c r="D351" s="15">
        <v>46101</v>
      </c>
      <c r="E351" s="60">
        <f t="shared" si="876"/>
        <v>6406.8</v>
      </c>
      <c r="F351" s="61">
        <f t="shared" si="877"/>
        <v>-215.11999999999989</v>
      </c>
      <c r="G351" s="62">
        <f>((E351-MAX(E$16:E351))/MAX(E$16:E351))</f>
        <v>-0.14980127792559361</v>
      </c>
      <c r="H351" s="16">
        <f t="shared" si="839"/>
        <v>-3.2486046343054568E-2</v>
      </c>
      <c r="I351" s="153"/>
      <c r="K351" s="16">
        <f t="shared" si="637"/>
        <v>-0.10218987308069047</v>
      </c>
      <c r="L351" s="77">
        <f t="shared" ref="L351:N351" si="899">L350</f>
        <v>-7.8003484370685439E-2</v>
      </c>
      <c r="M351" s="16">
        <f t="shared" si="899"/>
        <v>1.8655517482830872E-2</v>
      </c>
      <c r="N351" s="16" t="str">
        <f t="shared" si="899"/>
        <v>Low Volatility</v>
      </c>
      <c r="O351" s="14" t="str">
        <f t="shared" si="685"/>
        <v>Strong Downtrend</v>
      </c>
      <c r="S351" s="131" t="s">
        <v>724</v>
      </c>
      <c r="T351" s="131" t="s">
        <v>1410</v>
      </c>
      <c r="U351" s="131" t="s">
        <v>1411</v>
      </c>
      <c r="V351" s="15">
        <f t="shared" si="836"/>
        <v>46101</v>
      </c>
      <c r="W351" s="60">
        <f t="shared" si="689"/>
        <v>96.6</v>
      </c>
      <c r="X351" s="61">
        <f t="shared" si="690"/>
        <v>-7.1600000000000108</v>
      </c>
      <c r="Y351" s="62">
        <f>((W351-MAX(W$16:W351))/MAX(W$16:W351))</f>
        <v>-0.40586751952764627</v>
      </c>
      <c r="Z351" s="16">
        <f t="shared" si="691"/>
        <v>-6.9005397070162011E-2</v>
      </c>
      <c r="AA351" s="153"/>
      <c r="AC351" s="16">
        <f t="shared" si="715"/>
        <v>-0.15699450213805749</v>
      </c>
      <c r="AD351" s="16">
        <f t="shared" ref="AD351" si="900">AD347</f>
        <v>-0.12561094232224135</v>
      </c>
      <c r="AE351" s="16">
        <f t="shared" si="891"/>
        <v>2.8183682558175976E-2</v>
      </c>
      <c r="AF351" s="16" t="str">
        <f t="shared" si="885"/>
        <v>Medium Volatility</v>
      </c>
      <c r="AG351" s="14" t="str">
        <f t="shared" si="778"/>
        <v>Strong Downtrend</v>
      </c>
      <c r="AI351" s="131" t="s">
        <v>724</v>
      </c>
      <c r="AJ351" s="131">
        <v>442947</v>
      </c>
      <c r="AK351" s="131">
        <v>442976</v>
      </c>
      <c r="AL351" s="15">
        <f t="shared" si="737"/>
        <v>46101</v>
      </c>
      <c r="AM351" s="60">
        <f t="shared" si="727"/>
        <v>44.297600000000003</v>
      </c>
      <c r="AN351" s="61">
        <f t="shared" si="728"/>
        <v>2.7000000000043656E-3</v>
      </c>
      <c r="AO351" s="62">
        <f>((AM351-MAX(AM$16:AM351))/MAX(AM$16:AM351))</f>
        <v>0</v>
      </c>
      <c r="AP351" s="16">
        <f t="shared" si="729"/>
        <v>6.0955098668342534E-5</v>
      </c>
      <c r="AQ351" s="153"/>
      <c r="AS351" s="16">
        <f t="shared" si="862"/>
        <v>1.7390045838261712E-3</v>
      </c>
      <c r="AT351" s="77">
        <f t="shared" ref="AT351:AV351" si="901">AT350</f>
        <v>2.5568941309892452E-3</v>
      </c>
      <c r="AU351" s="16">
        <f t="shared" si="901"/>
        <v>9.0738292705497985E-4</v>
      </c>
      <c r="AV351" s="16" t="str">
        <f t="shared" si="901"/>
        <v>Low Volatility</v>
      </c>
      <c r="AW351" s="14" t="str">
        <f t="shared" si="661"/>
        <v>Stable</v>
      </c>
    </row>
    <row r="352" spans="1:49" ht="15.75" hidden="1" thickBot="1">
      <c r="A352" s="131" t="s">
        <v>725</v>
      </c>
      <c r="B352" s="131" t="s">
        <v>1048</v>
      </c>
      <c r="C352" s="131" t="s">
        <v>1049</v>
      </c>
      <c r="D352" s="15">
        <v>46102</v>
      </c>
      <c r="E352" s="60">
        <f t="shared" si="876"/>
        <v>6406.8</v>
      </c>
      <c r="F352" s="61">
        <f t="shared" si="877"/>
        <v>0</v>
      </c>
      <c r="G352" s="62">
        <f>((E352-MAX(E$16:E352))/MAX(E$16:E352))</f>
        <v>-0.14980127792559361</v>
      </c>
      <c r="H352" s="16">
        <f t="shared" si="839"/>
        <v>0</v>
      </c>
      <c r="I352" s="153"/>
      <c r="K352" s="16">
        <f t="shared" ref="K352:K415" si="902">(E352-E345)/E345</f>
        <v>-0.10218987308069047</v>
      </c>
      <c r="L352" s="77">
        <f t="shared" ref="L352:N352" si="903">L351</f>
        <v>-7.8003484370685439E-2</v>
      </c>
      <c r="M352" s="16">
        <f t="shared" si="903"/>
        <v>1.8655517482830872E-2</v>
      </c>
      <c r="N352" s="16" t="str">
        <f t="shared" si="903"/>
        <v>Low Volatility</v>
      </c>
      <c r="O352" s="14" t="str">
        <f t="shared" si="685"/>
        <v>Strong Downtrend</v>
      </c>
      <c r="S352" s="131" t="s">
        <v>725</v>
      </c>
      <c r="T352" s="131" t="s">
        <v>1410</v>
      </c>
      <c r="U352" s="131" t="s">
        <v>1411</v>
      </c>
      <c r="V352" s="15">
        <f t="shared" si="836"/>
        <v>46102</v>
      </c>
      <c r="W352" s="60">
        <f t="shared" si="689"/>
        <v>96.6</v>
      </c>
      <c r="X352" s="61">
        <f t="shared" si="690"/>
        <v>0</v>
      </c>
      <c r="Y352" s="62">
        <f>((W352-MAX(W$16:W352))/MAX(W$16:W352))</f>
        <v>-0.40586751952764627</v>
      </c>
      <c r="Z352" s="16">
        <f t="shared" si="691"/>
        <v>0</v>
      </c>
      <c r="AA352" s="153"/>
      <c r="AC352" s="16">
        <f t="shared" si="715"/>
        <v>-0.15699450213805749</v>
      </c>
      <c r="AD352" s="16">
        <f t="shared" ref="AD352" si="904">AD347</f>
        <v>-0.12561094232224135</v>
      </c>
      <c r="AE352" s="16">
        <f t="shared" si="891"/>
        <v>2.8183682558175976E-2</v>
      </c>
      <c r="AF352" s="16" t="str">
        <f t="shared" si="885"/>
        <v>Medium Volatility</v>
      </c>
      <c r="AG352" s="14" t="str">
        <f t="shared" si="778"/>
        <v>Strong Downtrend</v>
      </c>
      <c r="AI352" s="131" t="s">
        <v>725</v>
      </c>
      <c r="AJ352" s="131">
        <v>442947</v>
      </c>
      <c r="AK352" s="131">
        <v>442976</v>
      </c>
      <c r="AL352" s="15">
        <f t="shared" si="737"/>
        <v>46102</v>
      </c>
      <c r="AM352" s="60">
        <f t="shared" si="727"/>
        <v>44.297600000000003</v>
      </c>
      <c r="AN352" s="61">
        <f t="shared" si="728"/>
        <v>0</v>
      </c>
      <c r="AO352" s="62">
        <f>((AM352-MAX(AM$16:AM352))/MAX(AM$16:AM352))</f>
        <v>0</v>
      </c>
      <c r="AP352" s="16">
        <f t="shared" si="729"/>
        <v>0</v>
      </c>
      <c r="AQ352" s="153"/>
      <c r="AS352" s="16">
        <f t="shared" si="862"/>
        <v>1.7390045838261712E-3</v>
      </c>
      <c r="AT352" s="77">
        <f t="shared" ref="AT352:AV352" si="905">AT351</f>
        <v>2.5568941309892452E-3</v>
      </c>
      <c r="AU352" s="16">
        <f t="shared" si="905"/>
        <v>9.0738292705497985E-4</v>
      </c>
      <c r="AV352" s="16" t="str">
        <f t="shared" si="905"/>
        <v>Low Volatility</v>
      </c>
      <c r="AW352" s="14" t="str">
        <f t="shared" si="661"/>
        <v>Stable</v>
      </c>
    </row>
    <row r="353" spans="1:49" ht="15.75" hidden="1" thickBot="1">
      <c r="A353" s="131" t="s">
        <v>726</v>
      </c>
      <c r="B353" s="131" t="s">
        <v>1048</v>
      </c>
      <c r="C353" s="131" t="s">
        <v>1049</v>
      </c>
      <c r="D353" s="15">
        <v>46103</v>
      </c>
      <c r="E353" s="60">
        <f t="shared" si="876"/>
        <v>6406.8</v>
      </c>
      <c r="F353" s="61">
        <f t="shared" si="877"/>
        <v>0</v>
      </c>
      <c r="G353" s="62">
        <f>((E353-MAX(E$16:E353))/MAX(E$16:E353))</f>
        <v>-0.14980127792559361</v>
      </c>
      <c r="H353" s="16">
        <f t="shared" si="839"/>
        <v>0</v>
      </c>
      <c r="I353" s="153"/>
      <c r="K353" s="16">
        <f t="shared" si="902"/>
        <v>-0.10218987308069047</v>
      </c>
      <c r="L353" s="77">
        <f t="shared" ref="L353:N353" si="906">L352</f>
        <v>-7.8003484370685439E-2</v>
      </c>
      <c r="M353" s="16">
        <f t="shared" si="906"/>
        <v>1.8655517482830872E-2</v>
      </c>
      <c r="N353" s="16" t="str">
        <f t="shared" si="906"/>
        <v>Low Volatility</v>
      </c>
      <c r="O353" s="14" t="str">
        <f t="shared" si="685"/>
        <v>Strong Downtrend</v>
      </c>
      <c r="S353" s="131" t="s">
        <v>726</v>
      </c>
      <c r="T353" s="131" t="s">
        <v>1410</v>
      </c>
      <c r="U353" s="131" t="s">
        <v>1411</v>
      </c>
      <c r="V353" s="15">
        <f t="shared" si="836"/>
        <v>46103</v>
      </c>
      <c r="W353" s="60">
        <f t="shared" si="689"/>
        <v>96.6</v>
      </c>
      <c r="X353" s="61">
        <f t="shared" si="690"/>
        <v>0</v>
      </c>
      <c r="Y353" s="62">
        <f>((W353-MAX(W$16:W353))/MAX(W$16:W353))</f>
        <v>-0.40586751952764627</v>
      </c>
      <c r="Z353" s="16">
        <f t="shared" si="691"/>
        <v>0</v>
      </c>
      <c r="AA353" s="153"/>
      <c r="AC353" s="16">
        <f t="shared" si="715"/>
        <v>-0.15699450213805749</v>
      </c>
      <c r="AD353" s="16">
        <f t="shared" ref="AD353:AE353" si="907">AD347</f>
        <v>-0.12561094232224135</v>
      </c>
      <c r="AE353" s="16">
        <f t="shared" si="907"/>
        <v>2.8183682558175976E-2</v>
      </c>
      <c r="AF353" s="16" t="str">
        <f t="shared" ref="AF353:AF354" si="908">IF(AE353 &lt; 0.02, "Low Volatility",
 IF(AE353 &gt; 0.1, "High Volatility", "Medium Volatility"))</f>
        <v>Medium Volatility</v>
      </c>
      <c r="AG353" s="14" t="str">
        <f t="shared" si="778"/>
        <v>Strong Downtrend</v>
      </c>
      <c r="AI353" s="131" t="s">
        <v>726</v>
      </c>
      <c r="AJ353" s="131">
        <v>442947</v>
      </c>
      <c r="AK353" s="131">
        <v>442976</v>
      </c>
      <c r="AL353" s="15">
        <f t="shared" si="737"/>
        <v>46103</v>
      </c>
      <c r="AM353" s="60">
        <f t="shared" si="727"/>
        <v>44.297600000000003</v>
      </c>
      <c r="AN353" s="61">
        <f t="shared" si="728"/>
        <v>0</v>
      </c>
      <c r="AO353" s="62">
        <f>((AM353-MAX(AM$16:AM353))/MAX(AM$16:AM353))</f>
        <v>0</v>
      </c>
      <c r="AP353" s="16">
        <f t="shared" si="729"/>
        <v>0</v>
      </c>
      <c r="AQ353" s="153"/>
      <c r="AS353" s="16">
        <f t="shared" si="862"/>
        <v>1.7390045838261712E-3</v>
      </c>
      <c r="AT353" s="77">
        <f t="shared" ref="AT353:AV353" si="909">AT352</f>
        <v>2.5568941309892452E-3</v>
      </c>
      <c r="AU353" s="16">
        <f t="shared" si="909"/>
        <v>9.0738292705497985E-4</v>
      </c>
      <c r="AV353" s="16" t="str">
        <f t="shared" si="909"/>
        <v>Low Volatility</v>
      </c>
      <c r="AW353" s="14" t="str">
        <f t="shared" si="661"/>
        <v>Stable</v>
      </c>
    </row>
    <row r="354" spans="1:49" ht="15.75" hidden="1" thickBot="1">
      <c r="A354" s="131" t="s">
        <v>727</v>
      </c>
      <c r="B354" s="131" t="s">
        <v>1050</v>
      </c>
      <c r="C354" s="131" t="s">
        <v>1051</v>
      </c>
      <c r="D354" s="15">
        <v>46104</v>
      </c>
      <c r="E354" s="60">
        <f t="shared" si="876"/>
        <v>6277.88</v>
      </c>
      <c r="F354" s="61">
        <f t="shared" si="877"/>
        <v>-128.92000000000007</v>
      </c>
      <c r="G354" s="62">
        <f>((E354-MAX(E$16:E354))/MAX(E$16:E354))</f>
        <v>-0.1669092911693085</v>
      </c>
      <c r="H354" s="16">
        <f t="shared" si="839"/>
        <v>-2.0122369981894248E-2</v>
      </c>
      <c r="I354" s="153">
        <f>AVERAGEIFS(E354:E361, E354:E361, "&gt;=0")</f>
        <v>6378.1237500000007</v>
      </c>
      <c r="K354" s="16">
        <f t="shared" si="902"/>
        <v>-0.11693207505236194</v>
      </c>
      <c r="L354" s="77">
        <f t="shared" ref="L354" si="910">(I354-I347)/I347</f>
        <v>-4.0734708058055624E-2</v>
      </c>
      <c r="M354" s="16" cm="1">
        <f t="array" ref="M354">_xlfn.STDEV.S(_xlfn._xlws.FILTER(F354:F360, ISNUMBER(F354:F360))) / I354</f>
        <v>1.9432554631469107E-2</v>
      </c>
      <c r="N354" s="16" t="str" cm="1">
        <f t="array" ref="N354">_xlfn.LET(
  _xlpm.c, M175,
  IFERROR(
    _xlfn.IFS(_xlpm.c&lt;0.02,"Low Volatility",
        _xlpm.c&gt;0.1,"High Volatility",
        TRUE,"Medium Volatility"),
    "Insufficient data"
  )
)</f>
        <v>Low Volatility</v>
      </c>
      <c r="O354" s="14" t="str">
        <f t="shared" si="685"/>
        <v>Strong Downtrend</v>
      </c>
      <c r="S354" s="131" t="s">
        <v>727</v>
      </c>
      <c r="T354" s="131" t="s">
        <v>1412</v>
      </c>
      <c r="U354" s="131" t="s">
        <v>1413</v>
      </c>
      <c r="V354" s="15">
        <f t="shared" si="836"/>
        <v>46104</v>
      </c>
      <c r="W354" s="60">
        <f t="shared" si="689"/>
        <v>98.54</v>
      </c>
      <c r="X354" s="61">
        <f t="shared" si="690"/>
        <v>1.9400000000000119</v>
      </c>
      <c r="Y354" s="62">
        <f>((W354-MAX(W$16:W354))/MAX(W$16:W354))</f>
        <v>-0.3939356664001476</v>
      </c>
      <c r="Z354" s="16">
        <f t="shared" si="691"/>
        <v>2.0082815734989774E-2</v>
      </c>
      <c r="AA354" s="153">
        <f t="shared" ref="AA354" si="911">AVERAGEIFS(W354:W360, W354:W360, "&gt;=0")</f>
        <v>99.645714285714277</v>
      </c>
      <c r="AC354" s="16">
        <f t="shared" si="715"/>
        <v>-0.1409641705169557</v>
      </c>
      <c r="AD354" s="66">
        <f t="shared" ref="AD354" si="912">(AA354-AA347)/AA347</f>
        <v>-4.2039196297364613E-2</v>
      </c>
      <c r="AE354" s="16" cm="1">
        <f t="array" ref="AE354">_xlfn.STDEV.S(_xlfn._xlws.FILTER(X354:X360, ISNUMBER(X354:X360))) / AA354</f>
        <v>2.6071489215627599E-2</v>
      </c>
      <c r="AF354" s="16" t="str">
        <f t="shared" si="908"/>
        <v>Medium Volatility</v>
      </c>
      <c r="AG354" s="14" t="str">
        <f t="shared" si="778"/>
        <v>Strong Downtrend</v>
      </c>
      <c r="AI354" s="131" t="s">
        <v>727</v>
      </c>
      <c r="AJ354" s="131">
        <v>442977</v>
      </c>
      <c r="AK354" s="131">
        <v>443048</v>
      </c>
      <c r="AL354" s="15">
        <f t="shared" si="737"/>
        <v>46104</v>
      </c>
      <c r="AM354" s="60">
        <f t="shared" si="727"/>
        <v>44.3048</v>
      </c>
      <c r="AN354" s="61">
        <f t="shared" si="728"/>
        <v>7.1999999999974307E-3</v>
      </c>
      <c r="AO354" s="62">
        <f>((AM354-MAX(AM$16:AM354))/MAX(AM$16:AM354))</f>
        <v>0</v>
      </c>
      <c r="AP354" s="16">
        <f t="shared" si="729"/>
        <v>1.6253702232169306E-4</v>
      </c>
      <c r="AQ354" s="153">
        <f t="shared" ref="AQ354" si="913">AVERAGEIFS(AM354:AM360, AM354:AM360, "&gt;=0")</f>
        <v>44.368028571428574</v>
      </c>
      <c r="AS354" s="16">
        <f t="shared" si="862"/>
        <v>3.0654706652115961E-3</v>
      </c>
      <c r="AT354" s="77">
        <f t="shared" ref="AT354" si="914">(AQ354-AQ347)/AQ347</f>
        <v>2.6394747393618263E-3</v>
      </c>
      <c r="AU354" s="16" cm="1">
        <f t="array" ref="AU354">_xlfn.STDEV.S(_xlfn._xlws.FILTER(AN354:AN360, ISNUMBER(AN354:AN360))) / AQ354</f>
        <v>7.484816430640463E-4</v>
      </c>
      <c r="AV354" s="16" t="str">
        <f t="shared" ref="AV354" si="915">IF(AU354 &lt; 0.02, "Low Volatility",
 IF(AU354 &gt; 0.1, "High Volatility", "Medium Volatility"))</f>
        <v>Low Volatility</v>
      </c>
      <c r="AW354" s="14" t="str">
        <f t="shared" si="661"/>
        <v>Stable</v>
      </c>
    </row>
    <row r="355" spans="1:49" ht="15.75" hidden="1" thickBot="1">
      <c r="A355" s="131" t="s">
        <v>728</v>
      </c>
      <c r="B355" s="131" t="s">
        <v>1052</v>
      </c>
      <c r="C355" s="131" t="s">
        <v>1053</v>
      </c>
      <c r="D355" s="15">
        <v>46105</v>
      </c>
      <c r="E355" s="60">
        <f t="shared" si="876"/>
        <v>6377.14</v>
      </c>
      <c r="F355" s="61">
        <f t="shared" si="877"/>
        <v>99.260000000000218</v>
      </c>
      <c r="G355" s="62">
        <f>((E355-MAX(E$16:E355))/MAX(E$16:E355))</f>
        <v>-0.15373723567310044</v>
      </c>
      <c r="H355" s="16">
        <f t="shared" si="839"/>
        <v>1.5811069979037543E-2</v>
      </c>
      <c r="I355" s="153"/>
      <c r="K355" s="16">
        <f t="shared" si="902"/>
        <v>-0.1034603953853897</v>
      </c>
      <c r="L355" s="77">
        <f t="shared" ref="L355:N355" si="916">L354</f>
        <v>-4.0734708058055624E-2</v>
      </c>
      <c r="M355" s="16">
        <f t="shared" si="916"/>
        <v>1.9432554631469107E-2</v>
      </c>
      <c r="N355" s="16" t="str">
        <f t="shared" si="916"/>
        <v>Low Volatility</v>
      </c>
      <c r="O355" s="14" t="str">
        <f t="shared" si="685"/>
        <v>Strong Downtrend</v>
      </c>
      <c r="S355" s="131" t="s">
        <v>728</v>
      </c>
      <c r="T355" s="131" t="s">
        <v>1414</v>
      </c>
      <c r="U355" s="131" t="s">
        <v>1415</v>
      </c>
      <c r="V355" s="15">
        <f t="shared" si="836"/>
        <v>46105</v>
      </c>
      <c r="W355" s="60">
        <f t="shared" si="689"/>
        <v>101.61</v>
      </c>
      <c r="X355" s="61">
        <f t="shared" si="690"/>
        <v>3.0699999999999932</v>
      </c>
      <c r="Y355" s="62">
        <f>((W355-MAX(W$16:W355))/MAX(W$16:W355))</f>
        <v>-0.37505381634786888</v>
      </c>
      <c r="Z355" s="16">
        <f t="shared" si="691"/>
        <v>3.115486097016433E-2</v>
      </c>
      <c r="AA355" s="153"/>
      <c r="AC355" s="16">
        <f t="shared" si="715"/>
        <v>-9.8562810503903475E-2</v>
      </c>
      <c r="AD355" s="16">
        <f t="shared" ref="AD355:AF359" si="917">AD354</f>
        <v>-4.2039196297364613E-2</v>
      </c>
      <c r="AE355" s="16">
        <f t="shared" si="917"/>
        <v>2.6071489215627599E-2</v>
      </c>
      <c r="AF355" s="16" t="str">
        <f t="shared" si="917"/>
        <v>Medium Volatility</v>
      </c>
      <c r="AG355" s="14" t="str">
        <f t="shared" si="778"/>
        <v>Strong Downtrend</v>
      </c>
      <c r="AI355" s="131" t="s">
        <v>728</v>
      </c>
      <c r="AJ355" s="131">
        <v>443142</v>
      </c>
      <c r="AK355" s="131">
        <v>443373</v>
      </c>
      <c r="AL355" s="15">
        <f t="shared" si="737"/>
        <v>46105</v>
      </c>
      <c r="AM355" s="60">
        <f t="shared" si="727"/>
        <v>44.337299999999999</v>
      </c>
      <c r="AN355" s="61">
        <f t="shared" si="728"/>
        <v>3.2499999999998863E-2</v>
      </c>
      <c r="AO355" s="62">
        <f>((AM355-MAX(AM$16:AM355))/MAX(AM$16:AM355))</f>
        <v>0</v>
      </c>
      <c r="AP355" s="16">
        <f t="shared" si="729"/>
        <v>7.3355482927355193E-4</v>
      </c>
      <c r="AQ355" s="153"/>
      <c r="AS355" s="16">
        <f t="shared" si="862"/>
        <v>3.3265218837617862E-3</v>
      </c>
      <c r="AT355" s="77">
        <f t="shared" ref="AT355:AV355" si="918">AT354</f>
        <v>2.6394747393618263E-3</v>
      </c>
      <c r="AU355" s="16">
        <f t="shared" si="918"/>
        <v>7.484816430640463E-4</v>
      </c>
      <c r="AV355" s="16" t="str">
        <f t="shared" si="918"/>
        <v>Low Volatility</v>
      </c>
      <c r="AW355" s="14" t="str">
        <f t="shared" si="661"/>
        <v>Stable</v>
      </c>
    </row>
    <row r="356" spans="1:49" ht="15.75" hidden="1" thickBot="1">
      <c r="A356" s="131" t="s">
        <v>729</v>
      </c>
      <c r="B356" s="131" t="s">
        <v>1054</v>
      </c>
      <c r="C356" s="131" t="s">
        <v>1055</v>
      </c>
      <c r="D356" s="15">
        <v>46106</v>
      </c>
      <c r="E356" s="60">
        <f t="shared" si="876"/>
        <v>6425.38</v>
      </c>
      <c r="F356" s="61">
        <f t="shared" si="877"/>
        <v>48.239999999999782</v>
      </c>
      <c r="G356" s="62">
        <f>((E356-MAX(E$16:E356))/MAX(E$16:E356))</f>
        <v>-0.14733566447486277</v>
      </c>
      <c r="H356" s="16">
        <f t="shared" si="839"/>
        <v>7.564519518153871E-3</v>
      </c>
      <c r="I356" s="153"/>
      <c r="K356" s="16">
        <f t="shared" si="902"/>
        <v>-6.1893825801431129E-2</v>
      </c>
      <c r="L356" s="77">
        <f t="shared" ref="L356:N356" si="919">L355</f>
        <v>-4.0734708058055624E-2</v>
      </c>
      <c r="M356" s="16">
        <f t="shared" si="919"/>
        <v>1.9432554631469107E-2</v>
      </c>
      <c r="N356" s="16" t="str">
        <f t="shared" si="919"/>
        <v>Low Volatility</v>
      </c>
      <c r="O356" s="14" t="str">
        <f t="shared" si="685"/>
        <v>Strong Downtrend</v>
      </c>
      <c r="S356" s="131" t="s">
        <v>729</v>
      </c>
      <c r="T356" s="131" t="s">
        <v>1416</v>
      </c>
      <c r="U356" s="131" t="s">
        <v>1415</v>
      </c>
      <c r="V356" s="15">
        <f t="shared" si="836"/>
        <v>46106</v>
      </c>
      <c r="W356" s="60">
        <f t="shared" si="689"/>
        <v>101.61</v>
      </c>
      <c r="X356" s="61">
        <f t="shared" si="690"/>
        <v>0</v>
      </c>
      <c r="Y356" s="62">
        <f>((W356-MAX(W$16:W356))/MAX(W$16:W356))</f>
        <v>-0.37505381634786888</v>
      </c>
      <c r="Z356" s="16">
        <f t="shared" si="691"/>
        <v>0</v>
      </c>
      <c r="AA356" s="153"/>
      <c r="AC356" s="16">
        <f t="shared" si="715"/>
        <v>-5.1614709725592692E-2</v>
      </c>
      <c r="AD356" s="16">
        <f t="shared" ref="AD356" si="920">AD354</f>
        <v>-4.2039196297364613E-2</v>
      </c>
      <c r="AE356" s="16">
        <f t="shared" si="917"/>
        <v>2.6071489215627599E-2</v>
      </c>
      <c r="AF356" s="16" t="str">
        <f t="shared" si="917"/>
        <v>Medium Volatility</v>
      </c>
      <c r="AG356" s="14" t="str">
        <f t="shared" si="778"/>
        <v>Strong Downtrend</v>
      </c>
      <c r="AI356" s="131" t="s">
        <v>729</v>
      </c>
      <c r="AJ356" s="131">
        <v>443301</v>
      </c>
      <c r="AK356" s="131">
        <v>443411</v>
      </c>
      <c r="AL356" s="15">
        <f t="shared" si="737"/>
        <v>46106</v>
      </c>
      <c r="AM356" s="60">
        <f t="shared" si="727"/>
        <v>44.341099999999997</v>
      </c>
      <c r="AN356" s="61">
        <f t="shared" si="728"/>
        <v>3.7999999999982492E-3</v>
      </c>
      <c r="AO356" s="62">
        <f>((AM356-MAX(AM$16:AM356))/MAX(AM$16:AM356))</f>
        <v>0</v>
      </c>
      <c r="AP356" s="16">
        <f t="shared" si="729"/>
        <v>8.5706617227441665E-5</v>
      </c>
      <c r="AQ356" s="153"/>
      <c r="AS356" s="16">
        <f t="shared" si="862"/>
        <v>2.9381695136073945E-3</v>
      </c>
      <c r="AT356" s="77">
        <f t="shared" ref="AT356:AV356" si="921">AT355</f>
        <v>2.6394747393618263E-3</v>
      </c>
      <c r="AU356" s="16">
        <f t="shared" si="921"/>
        <v>7.484816430640463E-4</v>
      </c>
      <c r="AV356" s="16" t="str">
        <f t="shared" si="921"/>
        <v>Low Volatility</v>
      </c>
      <c r="AW356" s="14" t="str">
        <f t="shared" ref="AW356:AW419" si="922">IF(AND(AS356 &gt; 0.01, AT356 &gt; 0.01), "Strong Uptrend",
 IF(AND(AS356 &lt; -0.01, AT356 &lt; -0.01), "Strong Downtrend",
 IF(ABS(AT356) &lt; 0.005, "Stable", "Weak/Unconfirmed")))</f>
        <v>Stable</v>
      </c>
    </row>
    <row r="357" spans="1:49" ht="15.75" hidden="1" thickBot="1">
      <c r="A357" s="131" t="s">
        <v>730</v>
      </c>
      <c r="B357" s="131" t="s">
        <v>1056</v>
      </c>
      <c r="C357" s="131" t="s">
        <v>1057</v>
      </c>
      <c r="D357" s="15">
        <v>46107</v>
      </c>
      <c r="E357" s="60">
        <f t="shared" si="876"/>
        <v>6243.8</v>
      </c>
      <c r="F357" s="61">
        <f t="shared" si="877"/>
        <v>-181.57999999999993</v>
      </c>
      <c r="G357" s="62">
        <f>((E357-MAX(E$16:E357))/MAX(E$16:E357))</f>
        <v>-0.17143179420487942</v>
      </c>
      <c r="H357" s="16">
        <f t="shared" si="839"/>
        <v>-2.8259807202064301E-2</v>
      </c>
      <c r="I357" s="153"/>
      <c r="K357" s="16">
        <f t="shared" si="902"/>
        <v>-5.7101263681832444E-2</v>
      </c>
      <c r="L357" s="77">
        <f t="shared" ref="L357:N357" si="923">L356</f>
        <v>-4.0734708058055624E-2</v>
      </c>
      <c r="M357" s="16">
        <f t="shared" si="923"/>
        <v>1.9432554631469107E-2</v>
      </c>
      <c r="N357" s="16" t="str">
        <f t="shared" si="923"/>
        <v>Low Volatility</v>
      </c>
      <c r="O357" s="14" t="str">
        <f t="shared" si="685"/>
        <v>Strong Downtrend</v>
      </c>
      <c r="S357" s="131" t="s">
        <v>730</v>
      </c>
      <c r="T357" s="131" t="s">
        <v>1417</v>
      </c>
      <c r="U357" s="131" t="s">
        <v>1418</v>
      </c>
      <c r="V357" s="15">
        <f t="shared" si="836"/>
        <v>46107</v>
      </c>
      <c r="W357" s="60">
        <f t="shared" si="689"/>
        <v>96.96</v>
      </c>
      <c r="X357" s="61">
        <f t="shared" si="690"/>
        <v>-4.6500000000000057</v>
      </c>
      <c r="Y357" s="62">
        <f>((W357-MAX(W$16:W357))/MAX(W$16:W357))</f>
        <v>-0.40365336121532697</v>
      </c>
      <c r="Z357" s="16">
        <f t="shared" si="691"/>
        <v>-4.5763212282255737E-2</v>
      </c>
      <c r="AA357" s="153"/>
      <c r="AC357" s="16">
        <f t="shared" si="715"/>
        <v>-6.553585196607567E-2</v>
      </c>
      <c r="AD357" s="16">
        <f t="shared" ref="AD357" si="924">AD354</f>
        <v>-4.2039196297364613E-2</v>
      </c>
      <c r="AE357" s="16">
        <f t="shared" si="917"/>
        <v>2.6071489215627599E-2</v>
      </c>
      <c r="AF357" s="16" t="str">
        <f t="shared" si="917"/>
        <v>Medium Volatility</v>
      </c>
      <c r="AG357" s="14" t="str">
        <f t="shared" si="778"/>
        <v>Strong Downtrend</v>
      </c>
      <c r="AI357" s="131" t="s">
        <v>730</v>
      </c>
      <c r="AJ357" s="131">
        <v>443363</v>
      </c>
      <c r="AK357" s="131">
        <v>443330</v>
      </c>
      <c r="AL357" s="15">
        <f t="shared" si="737"/>
        <v>46107</v>
      </c>
      <c r="AM357" s="60">
        <f t="shared" si="727"/>
        <v>44.332999999999998</v>
      </c>
      <c r="AN357" s="61">
        <f t="shared" si="728"/>
        <v>-8.0999999999988859E-3</v>
      </c>
      <c r="AO357" s="62">
        <f>((AM357-MAX(AM$16:AM357))/MAX(AM$16:AM357))</f>
        <v>-1.8267476449611953E-4</v>
      </c>
      <c r="AP357" s="16">
        <f t="shared" si="729"/>
        <v>-1.8267476449611953E-4</v>
      </c>
      <c r="AQ357" s="153"/>
      <c r="AS357" s="16">
        <f t="shared" si="862"/>
        <v>8.6014417009633217E-4</v>
      </c>
      <c r="AT357" s="77">
        <f t="shared" ref="AT357:AV357" si="925">AT356</f>
        <v>2.6394747393618263E-3</v>
      </c>
      <c r="AU357" s="16">
        <f t="shared" si="925"/>
        <v>7.484816430640463E-4</v>
      </c>
      <c r="AV357" s="16" t="str">
        <f t="shared" si="925"/>
        <v>Low Volatility</v>
      </c>
      <c r="AW357" s="14" t="str">
        <f t="shared" si="922"/>
        <v>Stable</v>
      </c>
    </row>
    <row r="358" spans="1:49" ht="15.75" hidden="1" thickBot="1">
      <c r="A358" s="131" t="s">
        <v>731</v>
      </c>
      <c r="B358" s="131" t="s">
        <v>1058</v>
      </c>
      <c r="C358" s="131" t="s">
        <v>1059</v>
      </c>
      <c r="D358" s="15">
        <v>46108</v>
      </c>
      <c r="E358" s="60">
        <f t="shared" si="876"/>
        <v>6418.21</v>
      </c>
      <c r="F358" s="61">
        <f t="shared" si="877"/>
        <v>174.40999999999985</v>
      </c>
      <c r="G358" s="62">
        <f>((E358-MAX(E$16:E358))/MAX(E$16:E358))</f>
        <v>-0.14828714178604363</v>
      </c>
      <c r="H358" s="16">
        <f t="shared" si="839"/>
        <v>2.7933309843364593E-2</v>
      </c>
      <c r="I358" s="153"/>
      <c r="K358" s="16">
        <f t="shared" si="902"/>
        <v>1.7809202722107534E-3</v>
      </c>
      <c r="L358" s="77">
        <f t="shared" ref="L358:N358" si="926">L357</f>
        <v>-4.0734708058055624E-2</v>
      </c>
      <c r="M358" s="16">
        <f t="shared" si="926"/>
        <v>1.9432554631469107E-2</v>
      </c>
      <c r="N358" s="16" t="str">
        <f t="shared" si="926"/>
        <v>Low Volatility</v>
      </c>
      <c r="O358" s="14" t="str">
        <f t="shared" si="685"/>
        <v>Weak/Unconfirmed</v>
      </c>
      <c r="S358" s="131" t="s">
        <v>731</v>
      </c>
      <c r="T358" s="131" t="s">
        <v>1419</v>
      </c>
      <c r="U358" s="131" t="s">
        <v>1420</v>
      </c>
      <c r="V358" s="15">
        <f t="shared" si="836"/>
        <v>46108</v>
      </c>
      <c r="W358" s="60">
        <f t="shared" si="689"/>
        <v>99.6</v>
      </c>
      <c r="X358" s="61">
        <f t="shared" si="690"/>
        <v>2.6400000000000006</v>
      </c>
      <c r="Y358" s="62">
        <f>((W358-MAX(W$16:W358))/MAX(W$16:W358))</f>
        <v>-0.38741620025831852</v>
      </c>
      <c r="Z358" s="16">
        <f t="shared" si="691"/>
        <v>2.7227722772277235E-2</v>
      </c>
      <c r="AA358" s="153"/>
      <c r="AC358" s="16">
        <f t="shared" si="715"/>
        <v>3.1055900621118016E-2</v>
      </c>
      <c r="AD358" s="16">
        <f t="shared" ref="AD358" si="927">AD354</f>
        <v>-4.2039196297364613E-2</v>
      </c>
      <c r="AE358" s="16">
        <f t="shared" si="917"/>
        <v>2.6071489215627599E-2</v>
      </c>
      <c r="AF358" s="16" t="str">
        <f t="shared" si="917"/>
        <v>Medium Volatility</v>
      </c>
      <c r="AG358" s="14" t="str">
        <f t="shared" si="778"/>
        <v>Weak/Unconfirmed</v>
      </c>
      <c r="AI358" s="131" t="s">
        <v>731</v>
      </c>
      <c r="AJ358" s="131">
        <v>443396</v>
      </c>
      <c r="AK358" s="131">
        <v>444200</v>
      </c>
      <c r="AL358" s="15">
        <f t="shared" si="737"/>
        <v>46108</v>
      </c>
      <c r="AM358" s="60">
        <f t="shared" si="727"/>
        <v>44.42</v>
      </c>
      <c r="AN358" s="61">
        <f t="shared" si="728"/>
        <v>8.7000000000003297E-2</v>
      </c>
      <c r="AO358" s="62">
        <f>((AM358-MAX(AM$16:AM358))/MAX(AM$16:AM358))</f>
        <v>0</v>
      </c>
      <c r="AP358" s="16">
        <f t="shared" si="729"/>
        <v>1.9624207700810526E-3</v>
      </c>
      <c r="AQ358" s="153"/>
      <c r="AS358" s="16">
        <f t="shared" si="862"/>
        <v>2.7631293794697443E-3</v>
      </c>
      <c r="AT358" s="77">
        <f t="shared" ref="AT358:AV358" si="928">AT357</f>
        <v>2.6394747393618263E-3</v>
      </c>
      <c r="AU358" s="16">
        <f t="shared" si="928"/>
        <v>7.484816430640463E-4</v>
      </c>
      <c r="AV358" s="16" t="str">
        <f t="shared" si="928"/>
        <v>Low Volatility</v>
      </c>
      <c r="AW358" s="14" t="str">
        <f t="shared" si="922"/>
        <v>Stable</v>
      </c>
    </row>
    <row r="359" spans="1:49" ht="15.75" hidden="1" thickBot="1">
      <c r="A359" s="131" t="s">
        <v>732</v>
      </c>
      <c r="B359" s="131" t="s">
        <v>1058</v>
      </c>
      <c r="C359" s="131" t="s">
        <v>1059</v>
      </c>
      <c r="D359" s="15">
        <v>46109</v>
      </c>
      <c r="E359" s="60">
        <f t="shared" si="876"/>
        <v>6418.21</v>
      </c>
      <c r="F359" s="61">
        <f t="shared" si="877"/>
        <v>0</v>
      </c>
      <c r="G359" s="62">
        <f>((E359-MAX(E$16:E359))/MAX(E$16:E359))</f>
        <v>-0.14828714178604363</v>
      </c>
      <c r="H359" s="16">
        <f t="shared" si="839"/>
        <v>0</v>
      </c>
      <c r="I359" s="153"/>
      <c r="K359" s="16">
        <f t="shared" si="902"/>
        <v>1.7809202722107534E-3</v>
      </c>
      <c r="L359" s="77">
        <f t="shared" ref="L359:N359" si="929">L358</f>
        <v>-4.0734708058055624E-2</v>
      </c>
      <c r="M359" s="16">
        <f t="shared" si="929"/>
        <v>1.9432554631469107E-2</v>
      </c>
      <c r="N359" s="16" t="str">
        <f t="shared" si="929"/>
        <v>Low Volatility</v>
      </c>
      <c r="O359" s="14" t="str">
        <f t="shared" si="685"/>
        <v>Weak/Unconfirmed</v>
      </c>
      <c r="S359" s="131" t="s">
        <v>732</v>
      </c>
      <c r="T359" s="131" t="s">
        <v>1419</v>
      </c>
      <c r="U359" s="131" t="s">
        <v>1420</v>
      </c>
      <c r="V359" s="15">
        <f t="shared" si="836"/>
        <v>46109</v>
      </c>
      <c r="W359" s="60">
        <f t="shared" si="689"/>
        <v>99.6</v>
      </c>
      <c r="X359" s="61">
        <f t="shared" si="690"/>
        <v>0</v>
      </c>
      <c r="Y359" s="62">
        <f>((W359-MAX(W$16:W359))/MAX(W$16:W359))</f>
        <v>-0.38741620025831852</v>
      </c>
      <c r="Z359" s="16">
        <f t="shared" si="691"/>
        <v>0</v>
      </c>
      <c r="AA359" s="153"/>
      <c r="AC359" s="16">
        <f t="shared" si="715"/>
        <v>3.1055900621118016E-2</v>
      </c>
      <c r="AD359" s="16">
        <f t="shared" ref="AD359" si="930">AD354</f>
        <v>-4.2039196297364613E-2</v>
      </c>
      <c r="AE359" s="16">
        <f t="shared" si="917"/>
        <v>2.6071489215627599E-2</v>
      </c>
      <c r="AF359" s="16" t="str">
        <f t="shared" si="917"/>
        <v>Medium Volatility</v>
      </c>
      <c r="AG359" s="14" t="str">
        <f t="shared" si="778"/>
        <v>Weak/Unconfirmed</v>
      </c>
      <c r="AI359" s="131" t="s">
        <v>732</v>
      </c>
      <c r="AJ359" s="131">
        <v>443396</v>
      </c>
      <c r="AK359" s="131">
        <v>444200</v>
      </c>
      <c r="AL359" s="15">
        <f t="shared" si="737"/>
        <v>46109</v>
      </c>
      <c r="AM359" s="60">
        <f t="shared" si="727"/>
        <v>44.42</v>
      </c>
      <c r="AN359" s="61">
        <f t="shared" si="728"/>
        <v>0</v>
      </c>
      <c r="AO359" s="62">
        <f>((AM359-MAX(AM$16:AM359))/MAX(AM$16:AM359))</f>
        <v>0</v>
      </c>
      <c r="AP359" s="16">
        <f t="shared" si="729"/>
        <v>0</v>
      </c>
      <c r="AQ359" s="153"/>
      <c r="AS359" s="16">
        <f t="shared" si="862"/>
        <v>2.7631293794697443E-3</v>
      </c>
      <c r="AT359" s="77">
        <f t="shared" ref="AT359:AV359" si="931">AT358</f>
        <v>2.6394747393618263E-3</v>
      </c>
      <c r="AU359" s="16">
        <f t="shared" si="931"/>
        <v>7.484816430640463E-4</v>
      </c>
      <c r="AV359" s="16" t="str">
        <f t="shared" si="931"/>
        <v>Low Volatility</v>
      </c>
      <c r="AW359" s="14" t="str">
        <f t="shared" si="922"/>
        <v>Stable</v>
      </c>
    </row>
    <row r="360" spans="1:49" ht="15.75" hidden="1" thickBot="1">
      <c r="A360" s="131" t="s">
        <v>733</v>
      </c>
      <c r="B360" s="131" t="s">
        <v>1058</v>
      </c>
      <c r="C360" s="131" t="s">
        <v>1059</v>
      </c>
      <c r="D360" s="15">
        <v>46110</v>
      </c>
      <c r="E360" s="60">
        <f t="shared" si="876"/>
        <v>6418.21</v>
      </c>
      <c r="F360" s="61">
        <f t="shared" si="877"/>
        <v>0</v>
      </c>
      <c r="G360" s="62">
        <f>((E360-MAX(E$16:E360))/MAX(E$16:E360))</f>
        <v>-0.14828714178604363</v>
      </c>
      <c r="H360" s="16">
        <f t="shared" si="839"/>
        <v>0</v>
      </c>
      <c r="I360" s="153"/>
      <c r="K360" s="16">
        <f t="shared" si="902"/>
        <v>1.7809202722107534E-3</v>
      </c>
      <c r="L360" s="77">
        <f t="shared" ref="L360:N360" si="932">L359</f>
        <v>-4.0734708058055624E-2</v>
      </c>
      <c r="M360" s="16">
        <f t="shared" si="932"/>
        <v>1.9432554631469107E-2</v>
      </c>
      <c r="N360" s="16" t="str">
        <f t="shared" si="932"/>
        <v>Low Volatility</v>
      </c>
      <c r="O360" s="14" t="str">
        <f t="shared" si="685"/>
        <v>Weak/Unconfirmed</v>
      </c>
      <c r="S360" s="131" t="s">
        <v>733</v>
      </c>
      <c r="T360" s="131" t="s">
        <v>1419</v>
      </c>
      <c r="U360" s="131" t="s">
        <v>1420</v>
      </c>
      <c r="V360" s="15">
        <f t="shared" si="836"/>
        <v>46110</v>
      </c>
      <c r="W360" s="60">
        <f t="shared" si="689"/>
        <v>99.6</v>
      </c>
      <c r="X360" s="61">
        <f t="shared" si="690"/>
        <v>0</v>
      </c>
      <c r="Y360" s="62">
        <f>((W360-MAX(W$16:W360))/MAX(W$16:W360))</f>
        <v>-0.38741620025831852</v>
      </c>
      <c r="Z360" s="16">
        <f t="shared" si="691"/>
        <v>0</v>
      </c>
      <c r="AA360" s="153"/>
      <c r="AC360" s="16">
        <f t="shared" si="715"/>
        <v>3.1055900621118016E-2</v>
      </c>
      <c r="AD360" s="16">
        <f t="shared" ref="AD360:AE360" si="933">AD354</f>
        <v>-4.2039196297364613E-2</v>
      </c>
      <c r="AE360" s="16">
        <f t="shared" si="933"/>
        <v>2.6071489215627599E-2</v>
      </c>
      <c r="AF360" s="16" t="str">
        <f t="shared" ref="AF360" si="934">IF(AE360 &lt; 0.02, "Low Volatility",
 IF(AE360 &gt; 0.1, "High Volatility", "Medium Volatility"))</f>
        <v>Medium Volatility</v>
      </c>
      <c r="AG360" s="14" t="str">
        <f t="shared" si="778"/>
        <v>Weak/Unconfirmed</v>
      </c>
      <c r="AI360" s="131" t="s">
        <v>733</v>
      </c>
      <c r="AJ360" s="131">
        <v>443396</v>
      </c>
      <c r="AK360" s="131">
        <v>444200</v>
      </c>
      <c r="AL360" s="15">
        <f t="shared" si="737"/>
        <v>46110</v>
      </c>
      <c r="AM360" s="60">
        <f t="shared" si="727"/>
        <v>44.42</v>
      </c>
      <c r="AN360" s="61">
        <f t="shared" si="728"/>
        <v>0</v>
      </c>
      <c r="AO360" s="62">
        <f>((AM360-MAX(AM$16:AM360))/MAX(AM$16:AM360))</f>
        <v>0</v>
      </c>
      <c r="AP360" s="16">
        <f t="shared" si="729"/>
        <v>0</v>
      </c>
      <c r="AQ360" s="153"/>
      <c r="AS360" s="16">
        <f t="shared" si="862"/>
        <v>2.7631293794697443E-3</v>
      </c>
      <c r="AT360" s="77">
        <f t="shared" ref="AT360:AV360" si="935">AT359</f>
        <v>2.6394747393618263E-3</v>
      </c>
      <c r="AU360" s="16">
        <f t="shared" si="935"/>
        <v>7.484816430640463E-4</v>
      </c>
      <c r="AV360" s="16" t="str">
        <f t="shared" si="935"/>
        <v>Low Volatility</v>
      </c>
      <c r="AW360" s="14" t="str">
        <f t="shared" si="922"/>
        <v>Stable</v>
      </c>
    </row>
    <row r="361" spans="1:49" ht="15.75" hidden="1" thickBot="1">
      <c r="A361" s="131" t="s">
        <v>734</v>
      </c>
      <c r="B361" s="131" t="s">
        <v>1060</v>
      </c>
      <c r="C361" s="131" t="s">
        <v>1061</v>
      </c>
      <c r="D361" s="15">
        <v>46111</v>
      </c>
      <c r="E361" s="60">
        <f t="shared" si="876"/>
        <v>6446.16</v>
      </c>
      <c r="F361" s="61">
        <f t="shared" si="877"/>
        <v>27.949999999999818</v>
      </c>
      <c r="G361" s="62">
        <f>((E361-MAX(E$16:E361))/MAX(E$16:E361))</f>
        <v>-0.14457810540563851</v>
      </c>
      <c r="H361" s="16">
        <f t="shared" si="839"/>
        <v>4.3547967423938792E-3</v>
      </c>
      <c r="I361" s="153">
        <f>AVERAGEIFS(E361:E368, E361:E368, "&gt;=0")</f>
        <v>6673.0175000000008</v>
      </c>
      <c r="K361" s="16">
        <f t="shared" si="902"/>
        <v>2.6805227242317431E-2</v>
      </c>
      <c r="L361" s="77">
        <f t="shared" ref="L361" si="936">(I361-I354)/I354</f>
        <v>4.6235187895186283E-2</v>
      </c>
      <c r="M361" s="16" cm="1">
        <f t="array" ref="M361">_xlfn.STDEV.S(_xlfn._xlws.FILTER(F361:F367, ISNUMBER(F361:F367))) / I361</f>
        <v>1.6368392139515405E-2</v>
      </c>
      <c r="N361" s="16" t="str" cm="1">
        <f t="array" ref="N361">_xlfn.LET(
  _xlpm.c, M182,
  IFERROR(
    _xlfn.IFS(_xlpm.c&lt;0.02,"Low Volatility",
        _xlpm.c&gt;0.1,"High Volatility",
        TRUE,"Medium Volatility"),
    "Insufficient data"
  )
)</f>
        <v>Low Volatility</v>
      </c>
      <c r="O361" s="14" t="str">
        <f t="shared" si="685"/>
        <v>Strong Uptrend</v>
      </c>
      <c r="S361" s="131" t="s">
        <v>734</v>
      </c>
      <c r="T361" s="131" t="s">
        <v>1421</v>
      </c>
      <c r="U361" s="131" t="s">
        <v>1422</v>
      </c>
      <c r="V361" s="15">
        <f t="shared" si="836"/>
        <v>46111</v>
      </c>
      <c r="W361" s="60">
        <f t="shared" si="689"/>
        <v>100.2</v>
      </c>
      <c r="X361" s="61">
        <f t="shared" si="690"/>
        <v>0.60000000000000853</v>
      </c>
      <c r="Y361" s="62">
        <f>((W361-MAX(W$16:W361))/MAX(W$16:W361))</f>
        <v>-0.38372593640445291</v>
      </c>
      <c r="Z361" s="16">
        <f t="shared" si="691"/>
        <v>6.0240963855422549E-3</v>
      </c>
      <c r="AA361" s="153">
        <f t="shared" ref="AA361" si="937">AVERAGEIFS(W361:W367, W361:W367, "&gt;=0")</f>
        <v>104.80285714285716</v>
      </c>
      <c r="AC361" s="16">
        <f t="shared" si="715"/>
        <v>1.6845950882890162E-2</v>
      </c>
      <c r="AD361" s="66">
        <f t="shared" ref="AD361" si="938">(AA361-AA354)/AA354</f>
        <v>5.1754788393164657E-2</v>
      </c>
      <c r="AE361" s="16" cm="1">
        <f t="array" ref="AE361">_xlfn.STDEV.S(_xlfn._xlws.FILTER(X361:X367, ISNUMBER(X361:X367))) / AA361</f>
        <v>2.9569978932036878E-2</v>
      </c>
      <c r="AF361" s="16" t="str">
        <f t="shared" ref="AF361:AF366" si="939">AF360</f>
        <v>Medium Volatility</v>
      </c>
      <c r="AG361" s="14" t="str">
        <f t="shared" si="778"/>
        <v>Strong Uptrend</v>
      </c>
      <c r="AI361" s="131" t="s">
        <v>734</v>
      </c>
      <c r="AJ361" s="131">
        <v>444316</v>
      </c>
      <c r="AK361" s="131">
        <v>444456</v>
      </c>
      <c r="AL361" s="15">
        <f t="shared" si="737"/>
        <v>46111</v>
      </c>
      <c r="AM361" s="60">
        <f t="shared" si="727"/>
        <v>44.445599999999999</v>
      </c>
      <c r="AN361" s="61">
        <f t="shared" si="728"/>
        <v>2.5599999999997181E-2</v>
      </c>
      <c r="AO361" s="62">
        <f>((AM361-MAX(AM$16:AM361))/MAX(AM$16:AM361))</f>
        <v>0</v>
      </c>
      <c r="AP361" s="16">
        <f t="shared" si="729"/>
        <v>5.7631697433582123E-4</v>
      </c>
      <c r="AQ361" s="153">
        <f t="shared" ref="AQ361" si="940">AVERAGEIFS(AM361:AM367, AM361:AM367, "&gt;=0")</f>
        <v>44.510042857142857</v>
      </c>
      <c r="AS361" s="16">
        <f t="shared" si="862"/>
        <v>3.1779852295913467E-3</v>
      </c>
      <c r="AT361" s="77">
        <f t="shared" ref="AT361" si="941">(AQ361-AQ354)/AQ354</f>
        <v>3.2008247895362702E-3</v>
      </c>
      <c r="AU361" s="16" cm="1">
        <f t="array" ref="AU361">_xlfn.STDEV.S(_xlfn._xlws.FILTER(AN361:AN367, ISNUMBER(AN361:AN367))) / AQ361</f>
        <v>1.0007570654631099E-3</v>
      </c>
      <c r="AV361" s="16" t="str">
        <f t="shared" ref="AV361" si="942">IF(AU361 &lt; 0.02, "Low Volatility",
 IF(AU361 &gt; 0.1, "High Volatility", "Medium Volatility"))</f>
        <v>Low Volatility</v>
      </c>
      <c r="AW361" s="14" t="str">
        <f t="shared" si="922"/>
        <v>Stable</v>
      </c>
    </row>
    <row r="362" spans="1:49" ht="15.75" hidden="1" thickBot="1">
      <c r="A362" s="131" t="s">
        <v>735</v>
      </c>
      <c r="B362" s="131" t="s">
        <v>1062</v>
      </c>
      <c r="C362" s="131" t="s">
        <v>1063</v>
      </c>
      <c r="D362" s="15">
        <v>46112</v>
      </c>
      <c r="E362" s="60">
        <f t="shared" si="876"/>
        <v>6673.09</v>
      </c>
      <c r="F362" s="61">
        <f t="shared" si="877"/>
        <v>226.93000000000029</v>
      </c>
      <c r="G362" s="62">
        <f>((E362-MAX(E$16:E362))/MAX(E$16:E362))</f>
        <v>-0.11446391485804139</v>
      </c>
      <c r="H362" s="16">
        <f t="shared" si="839"/>
        <v>3.5203904339948168E-2</v>
      </c>
      <c r="I362" s="153"/>
      <c r="K362" s="16">
        <f t="shared" si="902"/>
        <v>4.6407950899619549E-2</v>
      </c>
      <c r="L362" s="77">
        <f t="shared" ref="L362:N362" si="943">L361</f>
        <v>4.6235187895186283E-2</v>
      </c>
      <c r="M362" s="16">
        <f t="shared" si="943"/>
        <v>1.6368392139515405E-2</v>
      </c>
      <c r="N362" s="16" t="str">
        <f t="shared" si="943"/>
        <v>Low Volatility</v>
      </c>
      <c r="O362" s="14" t="str">
        <f t="shared" si="685"/>
        <v>Strong Uptrend</v>
      </c>
      <c r="S362" s="131" t="s">
        <v>735</v>
      </c>
      <c r="T362" s="131" t="s">
        <v>1422</v>
      </c>
      <c r="U362" s="131" t="s">
        <v>1423</v>
      </c>
      <c r="V362" s="15">
        <f t="shared" si="836"/>
        <v>46112</v>
      </c>
      <c r="W362" s="60">
        <f t="shared" si="689"/>
        <v>107.41</v>
      </c>
      <c r="X362" s="61">
        <f t="shared" si="690"/>
        <v>7.2099999999999937</v>
      </c>
      <c r="Y362" s="62">
        <f>((W362-MAX(W$16:W362))/MAX(W$16:W362))</f>
        <v>-0.33938126576050193</v>
      </c>
      <c r="Z362" s="16">
        <f t="shared" si="691"/>
        <v>7.1956087824351228E-2</v>
      </c>
      <c r="AA362" s="153"/>
      <c r="AC362" s="16">
        <f t="shared" si="715"/>
        <v>5.7080995964964049E-2</v>
      </c>
      <c r="AD362" s="16">
        <f t="shared" ref="AD362" si="944">AD361</f>
        <v>5.1754788393164657E-2</v>
      </c>
      <c r="AE362" s="16">
        <f t="shared" ref="AE362:AE366" si="945">AE361</f>
        <v>2.9569978932036878E-2</v>
      </c>
      <c r="AF362" s="16" t="str">
        <f t="shared" si="939"/>
        <v>Medium Volatility</v>
      </c>
      <c r="AG362" s="14" t="str">
        <f t="shared" si="778"/>
        <v>Strong Uptrend</v>
      </c>
      <c r="AI362" s="131" t="s">
        <v>735</v>
      </c>
      <c r="AJ362" s="131">
        <v>444275</v>
      </c>
      <c r="AK362" s="131">
        <v>444499</v>
      </c>
      <c r="AL362" s="15">
        <f t="shared" si="737"/>
        <v>46112</v>
      </c>
      <c r="AM362" s="60">
        <f t="shared" si="727"/>
        <v>44.4499</v>
      </c>
      <c r="AN362" s="61">
        <f t="shared" si="728"/>
        <v>4.3000000000006366E-3</v>
      </c>
      <c r="AO362" s="62">
        <f>((AM362-MAX(AM$16:AM362))/MAX(AM$16:AM362))</f>
        <v>0</v>
      </c>
      <c r="AP362" s="16">
        <f t="shared" si="729"/>
        <v>9.6747484565415625E-5</v>
      </c>
      <c r="AQ362" s="153"/>
      <c r="AS362" s="16">
        <f t="shared" si="862"/>
        <v>2.539622394688005E-3</v>
      </c>
      <c r="AT362" s="77">
        <f t="shared" ref="AT362:AV362" si="946">AT361</f>
        <v>3.2008247895362702E-3</v>
      </c>
      <c r="AU362" s="16">
        <f t="shared" si="946"/>
        <v>1.0007570654631099E-3</v>
      </c>
      <c r="AV362" s="16" t="str">
        <f t="shared" si="946"/>
        <v>Low Volatility</v>
      </c>
      <c r="AW362" s="14" t="str">
        <f t="shared" si="922"/>
        <v>Stable</v>
      </c>
    </row>
    <row r="363" spans="1:49" ht="15.75" hidden="1" thickBot="1">
      <c r="A363" s="131" t="s">
        <v>736</v>
      </c>
      <c r="B363" s="131" t="s">
        <v>1064</v>
      </c>
      <c r="C363" s="131" t="s">
        <v>1065</v>
      </c>
      <c r="D363" s="15">
        <v>46113</v>
      </c>
      <c r="E363" s="60">
        <f t="shared" si="876"/>
        <v>6803.48</v>
      </c>
      <c r="F363" s="61">
        <f t="shared" si="877"/>
        <v>130.38999999999942</v>
      </c>
      <c r="G363" s="62">
        <f>((E363-MAX(E$16:E363))/MAX(E$16:E363))</f>
        <v>-9.7160828860151427E-2</v>
      </c>
      <c r="H363" s="16">
        <f t="shared" si="839"/>
        <v>1.9539673524559001E-2</v>
      </c>
      <c r="I363" s="153"/>
      <c r="K363" s="16">
        <f t="shared" si="902"/>
        <v>5.8844768714068185E-2</v>
      </c>
      <c r="L363" s="77">
        <f t="shared" ref="L363:N363" si="947">L362</f>
        <v>4.6235187895186283E-2</v>
      </c>
      <c r="M363" s="16">
        <f t="shared" si="947"/>
        <v>1.6368392139515405E-2</v>
      </c>
      <c r="N363" s="16" t="str">
        <f t="shared" si="947"/>
        <v>Low Volatility</v>
      </c>
      <c r="O363" s="14" t="str">
        <f t="shared" ref="O363:O426" si="948">IF(AND(K363 &gt; 0.01, L363 &gt; 0.01), "Strong Uptrend",
 IF(AND(K363 &lt; -0.01, L363 &lt; -0.01), "Strong Downtrend",
 IF(ABS(L363) &lt; 0.005, "Stable", "Weak/Unconfirmed")))</f>
        <v>Strong Uptrend</v>
      </c>
      <c r="S363" s="131" t="s">
        <v>736</v>
      </c>
      <c r="T363" s="131" t="s">
        <v>1423</v>
      </c>
      <c r="U363" s="131" t="s">
        <v>1424</v>
      </c>
      <c r="V363" s="15">
        <f t="shared" si="836"/>
        <v>46113</v>
      </c>
      <c r="W363" s="60">
        <f t="shared" si="689"/>
        <v>107.42</v>
      </c>
      <c r="X363" s="61">
        <f t="shared" si="690"/>
        <v>1.0000000000005116E-2</v>
      </c>
      <c r="Y363" s="62">
        <f>((W363-MAX(W$16:W363))/MAX(W$16:W363))</f>
        <v>-0.33931976136293746</v>
      </c>
      <c r="Z363" s="16">
        <f t="shared" si="691"/>
        <v>9.310120100554061E-5</v>
      </c>
      <c r="AA363" s="153"/>
      <c r="AC363" s="16">
        <f t="shared" si="715"/>
        <v>5.7179411475248521E-2</v>
      </c>
      <c r="AD363" s="16">
        <f t="shared" ref="AD363" si="949">AD361</f>
        <v>5.1754788393164657E-2</v>
      </c>
      <c r="AE363" s="16">
        <f t="shared" si="945"/>
        <v>2.9569978932036878E-2</v>
      </c>
      <c r="AF363" s="16" t="str">
        <f t="shared" si="939"/>
        <v>Medium Volatility</v>
      </c>
      <c r="AG363" s="14" t="str">
        <f t="shared" si="778"/>
        <v>Strong Uptrend</v>
      </c>
      <c r="AI363" s="131" t="s">
        <v>736</v>
      </c>
      <c r="AJ363" s="131">
        <v>444524</v>
      </c>
      <c r="AK363" s="131">
        <v>444705</v>
      </c>
      <c r="AL363" s="15">
        <f t="shared" si="737"/>
        <v>46113</v>
      </c>
      <c r="AM363" s="60">
        <f t="shared" si="727"/>
        <v>44.470500000000001</v>
      </c>
      <c r="AN363" s="61">
        <f t="shared" si="728"/>
        <v>2.0600000000001728E-2</v>
      </c>
      <c r="AO363" s="62">
        <f>((AM363-MAX(AM$16:AM363))/MAX(AM$16:AM363))</f>
        <v>0</v>
      </c>
      <c r="AP363" s="16">
        <f t="shared" si="729"/>
        <v>4.6344311235799694E-4</v>
      </c>
      <c r="AQ363" s="153"/>
      <c r="AS363" s="16">
        <f t="shared" si="862"/>
        <v>2.9182857439261534E-3</v>
      </c>
      <c r="AT363" s="77">
        <f t="shared" ref="AT363:AV363" si="950">AT362</f>
        <v>3.2008247895362702E-3</v>
      </c>
      <c r="AU363" s="16">
        <f t="shared" si="950"/>
        <v>1.0007570654631099E-3</v>
      </c>
      <c r="AV363" s="16" t="str">
        <f t="shared" si="950"/>
        <v>Low Volatility</v>
      </c>
      <c r="AW363" s="14" t="str">
        <f t="shared" si="922"/>
        <v>Stable</v>
      </c>
    </row>
    <row r="364" spans="1:49" ht="15.75" hidden="1" thickBot="1">
      <c r="A364" s="131" t="s">
        <v>737</v>
      </c>
      <c r="B364" s="131" t="s">
        <v>1066</v>
      </c>
      <c r="C364" s="131" t="s">
        <v>1067</v>
      </c>
      <c r="D364" s="15">
        <v>46114</v>
      </c>
      <c r="E364" s="60">
        <f t="shared" si="876"/>
        <v>6686.5</v>
      </c>
      <c r="F364" s="61">
        <f t="shared" si="877"/>
        <v>-116.97999999999956</v>
      </c>
      <c r="G364" s="62">
        <f>((E364-MAX(E$16:E364))/MAX(E$16:E364))</f>
        <v>-0.11268437361077009</v>
      </c>
      <c r="H364" s="16">
        <f t="shared" si="839"/>
        <v>-1.7194141821538327E-2</v>
      </c>
      <c r="I364" s="153"/>
      <c r="K364" s="16">
        <f t="shared" si="902"/>
        <v>7.0902335116435469E-2</v>
      </c>
      <c r="L364" s="77">
        <f t="shared" ref="L364:N364" si="951">L363</f>
        <v>4.6235187895186283E-2</v>
      </c>
      <c r="M364" s="16">
        <f t="shared" si="951"/>
        <v>1.6368392139515405E-2</v>
      </c>
      <c r="N364" s="16" t="str">
        <f t="shared" si="951"/>
        <v>Low Volatility</v>
      </c>
      <c r="O364" s="14" t="str">
        <f t="shared" si="948"/>
        <v>Strong Uptrend</v>
      </c>
      <c r="S364" s="131" t="s">
        <v>737</v>
      </c>
      <c r="T364" s="131" t="s">
        <v>1424</v>
      </c>
      <c r="U364" s="131" t="s">
        <v>1425</v>
      </c>
      <c r="V364" s="15">
        <f t="shared" si="836"/>
        <v>46114</v>
      </c>
      <c r="W364" s="60">
        <f t="shared" ref="W364:W427" si="952">VALUE(SUBSTITUTE(SUBSTITUTE(U364, ".", ""), ",", "."))</f>
        <v>104.43</v>
      </c>
      <c r="X364" s="61">
        <f t="shared" ref="X364:X427" si="953">W364-W363</f>
        <v>-2.9899999999999949</v>
      </c>
      <c r="Y364" s="62">
        <f>((W364-MAX(W$16:W364))/MAX(W$16:W364))</f>
        <v>-0.35770957623470073</v>
      </c>
      <c r="Z364" s="16">
        <f t="shared" ref="Z364:Z427" si="954">(W364-W363)/W363</f>
        <v>-2.7834667659653648E-2</v>
      </c>
      <c r="AA364" s="153"/>
      <c r="AC364" s="16">
        <f t="shared" si="715"/>
        <v>7.704207920792093E-2</v>
      </c>
      <c r="AD364" s="16">
        <f t="shared" ref="AD364" si="955">AD361</f>
        <v>5.1754788393164657E-2</v>
      </c>
      <c r="AE364" s="16">
        <f t="shared" si="945"/>
        <v>2.9569978932036878E-2</v>
      </c>
      <c r="AF364" s="16" t="str">
        <f t="shared" si="939"/>
        <v>Medium Volatility</v>
      </c>
      <c r="AG364" s="14" t="str">
        <f t="shared" si="778"/>
        <v>Strong Uptrend</v>
      </c>
      <c r="AI364" s="131" t="s">
        <v>737</v>
      </c>
      <c r="AJ364" s="131">
        <v>444717</v>
      </c>
      <c r="AK364" s="131">
        <v>444610</v>
      </c>
      <c r="AL364" s="15">
        <f t="shared" si="737"/>
        <v>46114</v>
      </c>
      <c r="AM364" s="60">
        <f t="shared" si="727"/>
        <v>44.460999999999999</v>
      </c>
      <c r="AN364" s="61">
        <f t="shared" si="728"/>
        <v>-9.5000000000027285E-3</v>
      </c>
      <c r="AO364" s="62">
        <f>((AM364-MAX(AM$16:AM364))/MAX(AM$16:AM364))</f>
        <v>-2.1362476248305568E-4</v>
      </c>
      <c r="AP364" s="16">
        <f t="shared" si="729"/>
        <v>-2.1362476248305568E-4</v>
      </c>
      <c r="AQ364" s="153"/>
      <c r="AS364" s="16">
        <f t="shared" si="862"/>
        <v>2.8872397536823611E-3</v>
      </c>
      <c r="AT364" s="77">
        <f t="shared" ref="AT364:AV364" si="956">AT363</f>
        <v>3.2008247895362702E-3</v>
      </c>
      <c r="AU364" s="16">
        <f t="shared" si="956"/>
        <v>1.0007570654631099E-3</v>
      </c>
      <c r="AV364" s="16" t="str">
        <f t="shared" si="956"/>
        <v>Low Volatility</v>
      </c>
      <c r="AW364" s="14" t="str">
        <f t="shared" si="922"/>
        <v>Stable</v>
      </c>
    </row>
    <row r="365" spans="1:49" ht="15.75" hidden="1" thickBot="1">
      <c r="A365" s="131" t="s">
        <v>738</v>
      </c>
      <c r="B365" s="131" t="s">
        <v>1068</v>
      </c>
      <c r="C365" s="131" t="s">
        <v>1069</v>
      </c>
      <c r="D365" s="15">
        <v>46115</v>
      </c>
      <c r="E365" s="60">
        <f t="shared" si="876"/>
        <v>6704.43</v>
      </c>
      <c r="F365" s="61">
        <f t="shared" si="877"/>
        <v>17.930000000000291</v>
      </c>
      <c r="G365" s="62">
        <f>((E365-MAX(E$16:E365))/MAX(E$16:E365))</f>
        <v>-0.11030501682004862</v>
      </c>
      <c r="H365" s="16">
        <f t="shared" si="839"/>
        <v>2.6815224706498602E-3</v>
      </c>
      <c r="I365" s="153"/>
      <c r="K365" s="16">
        <f t="shared" si="902"/>
        <v>4.4594988322289274E-2</v>
      </c>
      <c r="L365" s="77">
        <f t="shared" ref="L365:N365" si="957">L364</f>
        <v>4.6235187895186283E-2</v>
      </c>
      <c r="M365" s="16">
        <f t="shared" si="957"/>
        <v>1.6368392139515405E-2</v>
      </c>
      <c r="N365" s="16" t="str">
        <f t="shared" si="957"/>
        <v>Low Volatility</v>
      </c>
      <c r="O365" s="14" t="str">
        <f t="shared" si="948"/>
        <v>Strong Uptrend</v>
      </c>
      <c r="S365" s="131" t="s">
        <v>738</v>
      </c>
      <c r="T365" s="131" t="s">
        <v>1426</v>
      </c>
      <c r="U365" s="131" t="s">
        <v>1427</v>
      </c>
      <c r="V365" s="15">
        <f t="shared" si="836"/>
        <v>46115</v>
      </c>
      <c r="W365" s="60">
        <f t="shared" si="952"/>
        <v>104.72</v>
      </c>
      <c r="X365" s="61">
        <f t="shared" si="953"/>
        <v>0.28999999999999204</v>
      </c>
      <c r="Y365" s="62">
        <f>((W365-MAX(W$16:W365))/MAX(W$16:W365))</f>
        <v>-0.35592594870533245</v>
      </c>
      <c r="Z365" s="16">
        <f t="shared" si="954"/>
        <v>2.7769797950779663E-3</v>
      </c>
      <c r="AA365" s="153"/>
      <c r="AC365" s="16">
        <f t="shared" si="715"/>
        <v>5.140562248995989E-2</v>
      </c>
      <c r="AD365" s="16">
        <f t="shared" ref="AD365" si="958">AD361</f>
        <v>5.1754788393164657E-2</v>
      </c>
      <c r="AE365" s="16">
        <f t="shared" si="945"/>
        <v>2.9569978932036878E-2</v>
      </c>
      <c r="AF365" s="16" t="str">
        <f t="shared" si="939"/>
        <v>Medium Volatility</v>
      </c>
      <c r="AG365" s="14" t="str">
        <f t="shared" si="778"/>
        <v>Strong Uptrend</v>
      </c>
      <c r="AI365" s="131" t="s">
        <v>738</v>
      </c>
      <c r="AJ365" s="131">
        <v>445205</v>
      </c>
      <c r="AK365" s="131">
        <v>445811</v>
      </c>
      <c r="AL365" s="15">
        <f t="shared" si="737"/>
        <v>46115</v>
      </c>
      <c r="AM365" s="60">
        <f t="shared" si="727"/>
        <v>44.581099999999999</v>
      </c>
      <c r="AN365" s="61">
        <f t="shared" si="728"/>
        <v>0.12010000000000076</v>
      </c>
      <c r="AO365" s="62">
        <f>((AM365-MAX(AM$16:AM365))/MAX(AM$16:AM365))</f>
        <v>0</v>
      </c>
      <c r="AP365" s="16">
        <f t="shared" si="729"/>
        <v>2.7012437866894756E-3</v>
      </c>
      <c r="AQ365" s="153"/>
      <c r="AS365" s="16">
        <f t="shared" si="862"/>
        <v>3.6267447095902198E-3</v>
      </c>
      <c r="AT365" s="77">
        <f t="shared" ref="AT365:AV365" si="959">AT364</f>
        <v>3.2008247895362702E-3</v>
      </c>
      <c r="AU365" s="16">
        <f t="shared" si="959"/>
        <v>1.0007570654631099E-3</v>
      </c>
      <c r="AV365" s="16" t="str">
        <f t="shared" si="959"/>
        <v>Low Volatility</v>
      </c>
      <c r="AW365" s="14" t="str">
        <f t="shared" si="922"/>
        <v>Stable</v>
      </c>
    </row>
    <row r="366" spans="1:49" ht="15.75" hidden="1" thickBot="1">
      <c r="A366" s="131" t="s">
        <v>739</v>
      </c>
      <c r="B366" s="131" t="s">
        <v>1068</v>
      </c>
      <c r="C366" s="131" t="s">
        <v>1069</v>
      </c>
      <c r="D366" s="15">
        <v>46116</v>
      </c>
      <c r="E366" s="60">
        <f t="shared" si="876"/>
        <v>6704.43</v>
      </c>
      <c r="F366" s="61">
        <f t="shared" si="877"/>
        <v>0</v>
      </c>
      <c r="G366" s="62">
        <f>((E366-MAX(E$16:E366))/MAX(E$16:E366))</f>
        <v>-0.11030501682004862</v>
      </c>
      <c r="H366" s="16">
        <f t="shared" si="839"/>
        <v>0</v>
      </c>
      <c r="I366" s="153"/>
      <c r="K366" s="16">
        <f t="shared" si="902"/>
        <v>4.4594988322289274E-2</v>
      </c>
      <c r="L366" s="77">
        <f t="shared" ref="L366:N366" si="960">L365</f>
        <v>4.6235187895186283E-2</v>
      </c>
      <c r="M366" s="16">
        <f t="shared" si="960"/>
        <v>1.6368392139515405E-2</v>
      </c>
      <c r="N366" s="16" t="str">
        <f t="shared" si="960"/>
        <v>Low Volatility</v>
      </c>
      <c r="O366" s="14" t="str">
        <f t="shared" si="948"/>
        <v>Strong Uptrend</v>
      </c>
      <c r="S366" s="131" t="s">
        <v>739</v>
      </c>
      <c r="T366" s="131" t="s">
        <v>1426</v>
      </c>
      <c r="U366" s="131" t="s">
        <v>1427</v>
      </c>
      <c r="V366" s="15">
        <f t="shared" si="836"/>
        <v>46116</v>
      </c>
      <c r="W366" s="60">
        <f t="shared" si="952"/>
        <v>104.72</v>
      </c>
      <c r="X366" s="61">
        <f t="shared" si="953"/>
        <v>0</v>
      </c>
      <c r="Y366" s="62">
        <f>((W366-MAX(W$16:W366))/MAX(W$16:W366))</f>
        <v>-0.35592594870533245</v>
      </c>
      <c r="Z366" s="16">
        <f t="shared" si="954"/>
        <v>0</v>
      </c>
      <c r="AA366" s="153"/>
      <c r="AC366" s="16">
        <f t="shared" si="715"/>
        <v>5.140562248995989E-2</v>
      </c>
      <c r="AD366" s="16">
        <f t="shared" ref="AD366" si="961">AD361</f>
        <v>5.1754788393164657E-2</v>
      </c>
      <c r="AE366" s="16">
        <f t="shared" si="945"/>
        <v>2.9569978932036878E-2</v>
      </c>
      <c r="AF366" s="16" t="str">
        <f t="shared" si="939"/>
        <v>Medium Volatility</v>
      </c>
      <c r="AG366" s="14" t="str">
        <f t="shared" si="778"/>
        <v>Strong Uptrend</v>
      </c>
      <c r="AI366" s="131" t="s">
        <v>739</v>
      </c>
      <c r="AJ366" s="131">
        <v>445205</v>
      </c>
      <c r="AK366" s="131">
        <v>445811</v>
      </c>
      <c r="AL366" s="15">
        <f t="shared" si="737"/>
        <v>46116</v>
      </c>
      <c r="AM366" s="60">
        <f t="shared" si="727"/>
        <v>44.581099999999999</v>
      </c>
      <c r="AN366" s="61">
        <f t="shared" si="728"/>
        <v>0</v>
      </c>
      <c r="AO366" s="62">
        <f>((AM366-MAX(AM$16:AM366))/MAX(AM$16:AM366))</f>
        <v>0</v>
      </c>
      <c r="AP366" s="16">
        <f t="shared" si="729"/>
        <v>0</v>
      </c>
      <c r="AQ366" s="153"/>
      <c r="AS366" s="16">
        <f t="shared" si="862"/>
        <v>3.6267447095902198E-3</v>
      </c>
      <c r="AT366" s="77">
        <f t="shared" ref="AT366:AV366" si="962">AT365</f>
        <v>3.2008247895362702E-3</v>
      </c>
      <c r="AU366" s="16">
        <f t="shared" si="962"/>
        <v>1.0007570654631099E-3</v>
      </c>
      <c r="AV366" s="16" t="str">
        <f t="shared" si="962"/>
        <v>Low Volatility</v>
      </c>
      <c r="AW366" s="14" t="str">
        <f t="shared" si="922"/>
        <v>Stable</v>
      </c>
    </row>
    <row r="367" spans="1:49" ht="15.75" hidden="1" thickBot="1">
      <c r="A367" s="131" t="s">
        <v>740</v>
      </c>
      <c r="B367" s="131" t="s">
        <v>1068</v>
      </c>
      <c r="C367" s="131" t="s">
        <v>1069</v>
      </c>
      <c r="D367" s="15">
        <v>46117</v>
      </c>
      <c r="E367" s="60">
        <f t="shared" si="876"/>
        <v>6704.43</v>
      </c>
      <c r="F367" s="61">
        <f t="shared" si="877"/>
        <v>0</v>
      </c>
      <c r="G367" s="62">
        <f>((E367-MAX(E$16:E367))/MAX(E$16:E367))</f>
        <v>-0.11030501682004862</v>
      </c>
      <c r="H367" s="16">
        <f t="shared" si="839"/>
        <v>0</v>
      </c>
      <c r="I367" s="153"/>
      <c r="K367" s="16">
        <f t="shared" si="902"/>
        <v>4.4594988322289274E-2</v>
      </c>
      <c r="L367" s="77">
        <f t="shared" ref="L367:N367" si="963">L366</f>
        <v>4.6235187895186283E-2</v>
      </c>
      <c r="M367" s="16">
        <f t="shared" si="963"/>
        <v>1.6368392139515405E-2</v>
      </c>
      <c r="N367" s="16" t="str">
        <f t="shared" si="963"/>
        <v>Low Volatility</v>
      </c>
      <c r="O367" s="14" t="str">
        <f t="shared" si="948"/>
        <v>Strong Uptrend</v>
      </c>
      <c r="S367" s="131" t="s">
        <v>740</v>
      </c>
      <c r="T367" s="131" t="s">
        <v>1426</v>
      </c>
      <c r="U367" s="131" t="s">
        <v>1427</v>
      </c>
      <c r="V367" s="15">
        <f t="shared" si="836"/>
        <v>46117</v>
      </c>
      <c r="W367" s="60">
        <f t="shared" si="952"/>
        <v>104.72</v>
      </c>
      <c r="X367" s="61">
        <f t="shared" si="953"/>
        <v>0</v>
      </c>
      <c r="Y367" s="62">
        <f>((W367-MAX(W$16:W367))/MAX(W$16:W367))</f>
        <v>-0.35592594870533245</v>
      </c>
      <c r="Z367" s="16">
        <f t="shared" si="954"/>
        <v>0</v>
      </c>
      <c r="AA367" s="153"/>
      <c r="AC367" s="16">
        <f t="shared" si="715"/>
        <v>5.140562248995989E-2</v>
      </c>
      <c r="AD367" s="16">
        <f t="shared" ref="AD367:AE367" si="964">AD361</f>
        <v>5.1754788393164657E-2</v>
      </c>
      <c r="AE367" s="16">
        <f t="shared" si="964"/>
        <v>2.9569978932036878E-2</v>
      </c>
      <c r="AF367" s="16" t="str">
        <f t="shared" ref="AF367:AF368" si="965">IF(AE367 &lt; 0.02, "Low Volatility",
 IF(AE367 &gt; 0.1, "High Volatility", "Medium Volatility"))</f>
        <v>Medium Volatility</v>
      </c>
      <c r="AG367" s="14" t="str">
        <f t="shared" si="778"/>
        <v>Strong Uptrend</v>
      </c>
      <c r="AI367" s="131" t="s">
        <v>740</v>
      </c>
      <c r="AJ367" s="131">
        <v>445205</v>
      </c>
      <c r="AK367" s="131">
        <v>445811</v>
      </c>
      <c r="AL367" s="15">
        <f t="shared" si="737"/>
        <v>46117</v>
      </c>
      <c r="AM367" s="60">
        <f t="shared" si="727"/>
        <v>44.581099999999999</v>
      </c>
      <c r="AN367" s="61">
        <f t="shared" si="728"/>
        <v>0</v>
      </c>
      <c r="AO367" s="62">
        <f>((AM367-MAX(AM$16:AM367))/MAX(AM$16:AM367))</f>
        <v>0</v>
      </c>
      <c r="AP367" s="16">
        <f t="shared" si="729"/>
        <v>0</v>
      </c>
      <c r="AQ367" s="153"/>
      <c r="AS367" s="16">
        <f t="shared" si="862"/>
        <v>3.6267447095902198E-3</v>
      </c>
      <c r="AT367" s="77">
        <f t="shared" ref="AT367:AV367" si="966">AT366</f>
        <v>3.2008247895362702E-3</v>
      </c>
      <c r="AU367" s="16">
        <f t="shared" si="966"/>
        <v>1.0007570654631099E-3</v>
      </c>
      <c r="AV367" s="16" t="str">
        <f t="shared" si="966"/>
        <v>Low Volatility</v>
      </c>
      <c r="AW367" s="14" t="str">
        <f t="shared" si="922"/>
        <v>Stable</v>
      </c>
    </row>
    <row r="368" spans="1:49" ht="15.75" hidden="1" thickBot="1">
      <c r="A368" s="131" t="s">
        <v>741</v>
      </c>
      <c r="B368" s="131" t="s">
        <v>1070</v>
      </c>
      <c r="C368" s="131" t="s">
        <v>1071</v>
      </c>
      <c r="D368" s="15">
        <v>46118</v>
      </c>
      <c r="E368" s="60">
        <f t="shared" si="876"/>
        <v>6661.62</v>
      </c>
      <c r="F368" s="61">
        <f t="shared" si="877"/>
        <v>-42.8100000000004</v>
      </c>
      <c r="G368" s="62">
        <f>((E368-MAX(E$16:E368))/MAX(E$16:E368))</f>
        <v>-0.11598601315082306</v>
      </c>
      <c r="H368" s="16">
        <f t="shared" si="839"/>
        <v>-6.3853302965353352E-3</v>
      </c>
      <c r="I368" s="153">
        <f>AVERAGEIFS(E368:E375, E368:E375, "&gt;=0")</f>
        <v>6781.1612499999983</v>
      </c>
      <c r="K368" s="16">
        <f t="shared" si="902"/>
        <v>3.3424550430023466E-2</v>
      </c>
      <c r="L368" s="77">
        <f t="shared" ref="L368" si="967">(I368-I361)/I361</f>
        <v>1.6206124140989805E-2</v>
      </c>
      <c r="M368" s="16" cm="1">
        <f t="array" ref="M368">_xlfn.STDEV.S(_xlfn._xlws.FILTER(F368:F374, ISNUMBER(F368:F374))) / I368</f>
        <v>7.1602357087460714E-3</v>
      </c>
      <c r="N368" s="16" t="str" cm="1">
        <f t="array" ref="N368">_xlfn.LET(
  _xlpm.c, M189,
  IFERROR(
    _xlfn.IFS(_xlpm.c&lt;0.02,"Low Volatility",
        _xlpm.c&gt;0.1,"High Volatility",
        TRUE,"Medium Volatility"),
    "Insufficient data"
  )
)</f>
        <v>Low Volatility</v>
      </c>
      <c r="O368" s="14" t="str">
        <f t="shared" si="948"/>
        <v>Strong Uptrend</v>
      </c>
      <c r="S368" s="131" t="s">
        <v>741</v>
      </c>
      <c r="T368" s="131" t="s">
        <v>1428</v>
      </c>
      <c r="U368" s="131" t="s">
        <v>1429</v>
      </c>
      <c r="V368" s="15">
        <f t="shared" si="836"/>
        <v>46118</v>
      </c>
      <c r="W368" s="60">
        <f t="shared" si="952"/>
        <v>104.32</v>
      </c>
      <c r="X368" s="61">
        <f t="shared" si="953"/>
        <v>-0.40000000000000568</v>
      </c>
      <c r="Y368" s="62">
        <f>((W368-MAX(W$16:W368))/MAX(W$16:W368))</f>
        <v>-0.35838612460790953</v>
      </c>
      <c r="Z368" s="16">
        <f t="shared" si="954"/>
        <v>-3.8197097020626976E-3</v>
      </c>
      <c r="AA368" s="153">
        <f t="shared" ref="AA368" si="968">AVERAGEIFS(W368:W374, W368:W374, "&gt;=0")</f>
        <v>107.12285714285713</v>
      </c>
      <c r="AC368" s="16">
        <f t="shared" si="715"/>
        <v>4.1117764471057784E-2</v>
      </c>
      <c r="AD368" s="66">
        <f t="shared" ref="AD368" si="969">(AA368-AA361)/AA361</f>
        <v>2.2136801068672815E-2</v>
      </c>
      <c r="AE368" s="16" cm="1">
        <f t="array" ref="AE368">_xlfn.STDEV.S(_xlfn._xlws.FILTER(X368:X374, ISNUMBER(X368:X374))) / AA368</f>
        <v>7.7935305392042723E-3</v>
      </c>
      <c r="AF368" s="16" t="str">
        <f t="shared" si="965"/>
        <v>Low Volatility</v>
      </c>
      <c r="AG368" s="14" t="str">
        <f t="shared" si="778"/>
        <v>Strong Uptrend</v>
      </c>
      <c r="AI368" s="131" t="s">
        <v>741</v>
      </c>
      <c r="AJ368" s="131">
        <v>445800</v>
      </c>
      <c r="AK368" s="131">
        <v>445698</v>
      </c>
      <c r="AL368" s="15">
        <f t="shared" si="737"/>
        <v>46118</v>
      </c>
      <c r="AM368" s="60">
        <f t="shared" si="727"/>
        <v>44.569800000000001</v>
      </c>
      <c r="AN368" s="61">
        <f t="shared" si="728"/>
        <v>-1.1299999999998533E-2</v>
      </c>
      <c r="AO368" s="62">
        <f>((AM368-MAX(AM$16:AM368))/MAX(AM$16:AM368))</f>
        <v>-2.53470641146103E-4</v>
      </c>
      <c r="AP368" s="16">
        <f t="shared" si="729"/>
        <v>-2.53470641146103E-4</v>
      </c>
      <c r="AQ368" s="153">
        <f t="shared" ref="AQ368" si="970">AVERAGEIFS(AM368:AM374, AM368:AM374, "&gt;=0")</f>
        <v>44.585814285714278</v>
      </c>
      <c r="AS368" s="16">
        <f t="shared" si="862"/>
        <v>2.7944273448890747E-3</v>
      </c>
      <c r="AT368" s="77">
        <f t="shared" ref="AT368" si="971">(AQ368-AQ361)/AQ361</f>
        <v>1.7023445431093736E-3</v>
      </c>
      <c r="AU368" s="16" cm="1">
        <f t="array" ref="AU368">_xlfn.STDEV.S(_xlfn._xlws.FILTER(AN368:AN374, ISNUMBER(AN368:AN374))) / AQ368</f>
        <v>1.0800207242326054E-3</v>
      </c>
      <c r="AV368" s="16" t="str">
        <f t="shared" ref="AV368" si="972">IF(AU368 &lt; 0.02, "Low Volatility",
 IF(AU368 &gt; 0.1, "High Volatility", "Medium Volatility"))</f>
        <v>Low Volatility</v>
      </c>
      <c r="AW368" s="14" t="str">
        <f t="shared" si="922"/>
        <v>Stable</v>
      </c>
    </row>
    <row r="369" spans="1:49" ht="15.75" hidden="1" thickBot="1">
      <c r="A369" s="131" t="s">
        <v>742</v>
      </c>
      <c r="B369" s="131" t="s">
        <v>1072</v>
      </c>
      <c r="C369" s="131" t="s">
        <v>1073</v>
      </c>
      <c r="D369" s="15">
        <v>46119</v>
      </c>
      <c r="E369" s="60">
        <f t="shared" si="876"/>
        <v>6750.9</v>
      </c>
      <c r="F369" s="61">
        <f t="shared" si="877"/>
        <v>89.279999999999745</v>
      </c>
      <c r="G369" s="62">
        <f>((E369-MAX(E$16:E369))/MAX(E$16:E369))</f>
        <v>-0.10413832914214434</v>
      </c>
      <c r="H369" s="16">
        <f t="shared" si="839"/>
        <v>1.3402145424085994E-2</v>
      </c>
      <c r="I369" s="153"/>
      <c r="K369" s="16">
        <f t="shared" si="902"/>
        <v>1.1660265334350276E-2</v>
      </c>
      <c r="L369" s="77">
        <f t="shared" ref="L369:N369" si="973">L368</f>
        <v>1.6206124140989805E-2</v>
      </c>
      <c r="M369" s="16">
        <f t="shared" si="973"/>
        <v>7.1602357087460714E-3</v>
      </c>
      <c r="N369" s="16" t="str">
        <f t="shared" si="973"/>
        <v>Low Volatility</v>
      </c>
      <c r="O369" s="14" t="str">
        <f t="shared" si="948"/>
        <v>Strong Uptrend</v>
      </c>
      <c r="S369" s="131" t="s">
        <v>742</v>
      </c>
      <c r="T369" s="131" t="s">
        <v>1430</v>
      </c>
      <c r="U369" s="131" t="s">
        <v>1428</v>
      </c>
      <c r="V369" s="15">
        <f t="shared" si="836"/>
        <v>46119</v>
      </c>
      <c r="W369" s="60">
        <f t="shared" si="952"/>
        <v>104.71</v>
      </c>
      <c r="X369" s="61">
        <f t="shared" si="953"/>
        <v>0.39000000000000057</v>
      </c>
      <c r="Y369" s="62">
        <f>((W369-MAX(W$16:W369))/MAX(W$16:W369))</f>
        <v>-0.35598745310289692</v>
      </c>
      <c r="Z369" s="16">
        <f t="shared" si="954"/>
        <v>3.7384969325153432E-3</v>
      </c>
      <c r="AA369" s="153"/>
      <c r="AC369" s="16">
        <f t="shared" si="715"/>
        <v>-2.513732427148313E-2</v>
      </c>
      <c r="AD369" s="16">
        <f t="shared" ref="AD369:AF369" si="974">AD368</f>
        <v>2.2136801068672815E-2</v>
      </c>
      <c r="AE369" s="16">
        <f t="shared" si="974"/>
        <v>7.7935305392042723E-3</v>
      </c>
      <c r="AF369" s="16" t="str">
        <f t="shared" si="974"/>
        <v>Low Volatility</v>
      </c>
      <c r="AG369" s="14" t="str">
        <f t="shared" si="778"/>
        <v>Weak/Unconfirmed</v>
      </c>
      <c r="AI369" s="131" t="s">
        <v>742</v>
      </c>
      <c r="AJ369" s="131">
        <v>445810</v>
      </c>
      <c r="AK369" s="131">
        <v>446045</v>
      </c>
      <c r="AL369" s="15">
        <f t="shared" si="737"/>
        <v>46119</v>
      </c>
      <c r="AM369" s="60">
        <f t="shared" si="727"/>
        <v>44.604500000000002</v>
      </c>
      <c r="AN369" s="61">
        <f t="shared" si="728"/>
        <v>3.4700000000000841E-2</v>
      </c>
      <c r="AO369" s="62">
        <f>((AM369-MAX(AM$16:AM369))/MAX(AM$16:AM369))</f>
        <v>0</v>
      </c>
      <c r="AP369" s="16">
        <f t="shared" si="729"/>
        <v>7.7855408819426698E-4</v>
      </c>
      <c r="AQ369" s="153"/>
      <c r="AS369" s="16">
        <f t="shared" si="862"/>
        <v>3.4780730665311299E-3</v>
      </c>
      <c r="AT369" s="77">
        <f t="shared" ref="AT369:AV369" si="975">AT368</f>
        <v>1.7023445431093736E-3</v>
      </c>
      <c r="AU369" s="16">
        <f t="shared" si="975"/>
        <v>1.0800207242326054E-3</v>
      </c>
      <c r="AV369" s="16" t="str">
        <f t="shared" si="975"/>
        <v>Low Volatility</v>
      </c>
      <c r="AW369" s="14" t="str">
        <f t="shared" si="922"/>
        <v>Stable</v>
      </c>
    </row>
    <row r="370" spans="1:49" ht="15.75" hidden="1" thickBot="1">
      <c r="A370" s="131" t="s">
        <v>743</v>
      </c>
      <c r="B370" s="131" t="s">
        <v>1074</v>
      </c>
      <c r="C370" s="131" t="s">
        <v>1075</v>
      </c>
      <c r="D370" s="15">
        <v>46120</v>
      </c>
      <c r="E370" s="60">
        <f t="shared" si="876"/>
        <v>6755.24</v>
      </c>
      <c r="F370" s="61">
        <f t="shared" si="877"/>
        <v>4.3400000000001455</v>
      </c>
      <c r="G370" s="62">
        <f>((E370-MAX(E$16:E370))/MAX(E$16:E370))</f>
        <v>-0.10356240005838911</v>
      </c>
      <c r="H370" s="16">
        <f t="shared" si="839"/>
        <v>6.4287724599685161E-4</v>
      </c>
      <c r="I370" s="153"/>
      <c r="K370" s="16">
        <f t="shared" si="902"/>
        <v>-7.0904889850487967E-3</v>
      </c>
      <c r="L370" s="77">
        <f t="shared" ref="L370:N370" si="976">L369</f>
        <v>1.6206124140989805E-2</v>
      </c>
      <c r="M370" s="16">
        <f t="shared" si="976"/>
        <v>7.1602357087460714E-3</v>
      </c>
      <c r="N370" s="16" t="str">
        <f t="shared" si="976"/>
        <v>Low Volatility</v>
      </c>
      <c r="O370" s="14" t="str">
        <f t="shared" si="948"/>
        <v>Weak/Unconfirmed</v>
      </c>
      <c r="S370" s="131" t="s">
        <v>743</v>
      </c>
      <c r="T370" s="131" t="s">
        <v>1428</v>
      </c>
      <c r="U370" s="131" t="s">
        <v>1431</v>
      </c>
      <c r="V370" s="15">
        <f t="shared" si="836"/>
        <v>46120</v>
      </c>
      <c r="W370" s="60">
        <f t="shared" si="952"/>
        <v>106.08</v>
      </c>
      <c r="X370" s="61">
        <f t="shared" si="953"/>
        <v>1.3700000000000045</v>
      </c>
      <c r="Y370" s="62">
        <f>((W370-MAX(W$16:W370))/MAX(W$16:W370))</f>
        <v>-0.34756135063657057</v>
      </c>
      <c r="Z370" s="16">
        <f t="shared" si="954"/>
        <v>1.3083755133225142E-2</v>
      </c>
      <c r="AA370" s="153"/>
      <c r="AC370" s="16">
        <f t="shared" ref="AC370:AC433" si="977">(W370-W363)/W363</f>
        <v>-1.2474399553155869E-2</v>
      </c>
      <c r="AD370" s="16">
        <f t="shared" ref="AD370" si="978">AD368</f>
        <v>2.2136801068672815E-2</v>
      </c>
      <c r="AE370" s="16">
        <f t="shared" ref="AE370:AF370" si="979">AE369</f>
        <v>7.7935305392042723E-3</v>
      </c>
      <c r="AF370" s="16" t="str">
        <f t="shared" si="979"/>
        <v>Low Volatility</v>
      </c>
      <c r="AG370" s="14" t="str">
        <f t="shared" si="778"/>
        <v>Weak/Unconfirmed</v>
      </c>
      <c r="AI370" s="131" t="s">
        <v>743</v>
      </c>
      <c r="AJ370" s="131">
        <v>446021</v>
      </c>
      <c r="AK370" s="131">
        <v>445158</v>
      </c>
      <c r="AL370" s="15">
        <f t="shared" si="737"/>
        <v>46120</v>
      </c>
      <c r="AM370" s="60">
        <f t="shared" si="727"/>
        <v>44.515799999999999</v>
      </c>
      <c r="AN370" s="61">
        <f t="shared" si="728"/>
        <v>-8.8700000000002888E-2</v>
      </c>
      <c r="AO370" s="62">
        <f>((AM370-MAX(AM$16:AM370))/MAX(AM$16:AM370))</f>
        <v>-1.9885885953211647E-3</v>
      </c>
      <c r="AP370" s="16">
        <f t="shared" si="729"/>
        <v>-1.9885885953211647E-3</v>
      </c>
      <c r="AQ370" s="153"/>
      <c r="AS370" s="16">
        <f t="shared" si="862"/>
        <v>1.0186528147872736E-3</v>
      </c>
      <c r="AT370" s="77">
        <f t="shared" ref="AT370:AV370" si="980">AT369</f>
        <v>1.7023445431093736E-3</v>
      </c>
      <c r="AU370" s="16">
        <f t="shared" si="980"/>
        <v>1.0800207242326054E-3</v>
      </c>
      <c r="AV370" s="16" t="str">
        <f t="shared" si="980"/>
        <v>Low Volatility</v>
      </c>
      <c r="AW370" s="14" t="str">
        <f t="shared" si="922"/>
        <v>Stable</v>
      </c>
    </row>
    <row r="371" spans="1:49" ht="15.75" hidden="1" thickBot="1">
      <c r="A371" s="131" t="s">
        <v>744</v>
      </c>
      <c r="B371" s="131" t="s">
        <v>1076</v>
      </c>
      <c r="C371" s="131" t="s">
        <v>1077</v>
      </c>
      <c r="D371" s="15">
        <v>46121</v>
      </c>
      <c r="E371" s="60">
        <f t="shared" si="876"/>
        <v>6830.6</v>
      </c>
      <c r="F371" s="61">
        <f t="shared" si="877"/>
        <v>75.360000000000582</v>
      </c>
      <c r="G371" s="62">
        <f>((E371-MAX(E$16:E371))/MAX(E$16:E371))</f>
        <v>-9.3561935599450516E-2</v>
      </c>
      <c r="H371" s="16">
        <f t="shared" si="839"/>
        <v>1.1155784250448627E-2</v>
      </c>
      <c r="I371" s="153"/>
      <c r="K371" s="16">
        <f t="shared" si="902"/>
        <v>2.1550886113811465E-2</v>
      </c>
      <c r="L371" s="77">
        <f t="shared" ref="L371:N371" si="981">L370</f>
        <v>1.6206124140989805E-2</v>
      </c>
      <c r="M371" s="16">
        <f t="shared" si="981"/>
        <v>7.1602357087460714E-3</v>
      </c>
      <c r="N371" s="16" t="str">
        <f t="shared" si="981"/>
        <v>Low Volatility</v>
      </c>
      <c r="O371" s="14" t="str">
        <f t="shared" si="948"/>
        <v>Strong Uptrend</v>
      </c>
      <c r="S371" s="131" t="s">
        <v>744</v>
      </c>
      <c r="T371" s="131" t="s">
        <v>1432</v>
      </c>
      <c r="U371" s="131" t="s">
        <v>1433</v>
      </c>
      <c r="V371" s="15">
        <f t="shared" si="836"/>
        <v>46121</v>
      </c>
      <c r="W371" s="60">
        <f t="shared" si="952"/>
        <v>107.99</v>
      </c>
      <c r="X371" s="61">
        <f t="shared" si="953"/>
        <v>1.9099999999999966</v>
      </c>
      <c r="Y371" s="62">
        <f>((W371-MAX(W$16:W371))/MAX(W$16:W371))</f>
        <v>-0.3358140107017652</v>
      </c>
      <c r="Z371" s="16">
        <f t="shared" si="954"/>
        <v>1.8005279034690767E-2</v>
      </c>
      <c r="AA371" s="153"/>
      <c r="AC371" s="16">
        <f t="shared" si="977"/>
        <v>3.4089820932682063E-2</v>
      </c>
      <c r="AD371" s="16">
        <f t="shared" ref="AD371" si="982">AD368</f>
        <v>2.2136801068672815E-2</v>
      </c>
      <c r="AE371" s="16">
        <f t="shared" ref="AE371:AF371" si="983">AE370</f>
        <v>7.7935305392042723E-3</v>
      </c>
      <c r="AF371" s="16" t="str">
        <f t="shared" si="983"/>
        <v>Low Volatility</v>
      </c>
      <c r="AG371" s="14" t="str">
        <f t="shared" si="778"/>
        <v>Strong Uptrend</v>
      </c>
      <c r="AI371" s="131" t="s">
        <v>744</v>
      </c>
      <c r="AJ371" s="131">
        <v>445247</v>
      </c>
      <c r="AK371" s="131">
        <v>445674</v>
      </c>
      <c r="AL371" s="15">
        <f t="shared" si="737"/>
        <v>46121</v>
      </c>
      <c r="AM371" s="60">
        <f t="shared" si="727"/>
        <v>44.567399999999999</v>
      </c>
      <c r="AN371" s="61">
        <f t="shared" si="728"/>
        <v>5.1600000000000534E-2</v>
      </c>
      <c r="AO371" s="62">
        <f>((AM371-MAX(AM$16:AM371))/MAX(AM$16:AM371))</f>
        <v>-8.3175464358982508E-4</v>
      </c>
      <c r="AP371" s="16">
        <f t="shared" si="729"/>
        <v>1.1591390023317685E-3</v>
      </c>
      <c r="AQ371" s="153"/>
      <c r="AS371" s="16">
        <f t="shared" si="862"/>
        <v>2.3931085670587868E-3</v>
      </c>
      <c r="AT371" s="77">
        <f t="shared" ref="AT371:AV371" si="984">AT370</f>
        <v>1.7023445431093736E-3</v>
      </c>
      <c r="AU371" s="16">
        <f t="shared" si="984"/>
        <v>1.0800207242326054E-3</v>
      </c>
      <c r="AV371" s="16" t="str">
        <f t="shared" si="984"/>
        <v>Low Volatility</v>
      </c>
      <c r="AW371" s="14" t="str">
        <f t="shared" si="922"/>
        <v>Stable</v>
      </c>
    </row>
    <row r="372" spans="1:49" ht="15.75" hidden="1" thickBot="1">
      <c r="A372" s="131" t="s">
        <v>745</v>
      </c>
      <c r="B372" s="131" t="s">
        <v>1077</v>
      </c>
      <c r="C372" s="131" t="s">
        <v>1078</v>
      </c>
      <c r="D372" s="15">
        <v>46122</v>
      </c>
      <c r="E372" s="60">
        <f t="shared" si="876"/>
        <v>6812.73</v>
      </c>
      <c r="F372" s="61">
        <f t="shared" si="877"/>
        <v>-17.8700000000008</v>
      </c>
      <c r="G372" s="62">
        <f>((E372-MAX(E$16:E372))/MAX(E$16:E372))</f>
        <v>-9.5933330236940423E-2</v>
      </c>
      <c r="H372" s="16">
        <f t="shared" si="839"/>
        <v>-2.6161684185870642E-3</v>
      </c>
      <c r="I372" s="153"/>
      <c r="K372" s="16">
        <f t="shared" si="902"/>
        <v>1.6153498507703007E-2</v>
      </c>
      <c r="L372" s="77">
        <f t="shared" ref="L372:N372" si="985">L371</f>
        <v>1.6206124140989805E-2</v>
      </c>
      <c r="M372" s="16">
        <f t="shared" si="985"/>
        <v>7.1602357087460714E-3</v>
      </c>
      <c r="N372" s="16" t="str">
        <f t="shared" si="985"/>
        <v>Low Volatility</v>
      </c>
      <c r="O372" s="14" t="str">
        <f t="shared" si="948"/>
        <v>Strong Uptrend</v>
      </c>
      <c r="S372" s="131" t="s">
        <v>745</v>
      </c>
      <c r="T372" s="131" t="s">
        <v>1433</v>
      </c>
      <c r="U372" s="131" t="s">
        <v>1434</v>
      </c>
      <c r="V372" s="15">
        <f t="shared" si="836"/>
        <v>46122</v>
      </c>
      <c r="W372" s="60">
        <f t="shared" si="952"/>
        <v>108.92</v>
      </c>
      <c r="X372" s="61">
        <f t="shared" si="953"/>
        <v>0.93000000000000682</v>
      </c>
      <c r="Y372" s="62">
        <f>((W372-MAX(W$16:W372))/MAX(W$16:W372))</f>
        <v>-0.33009410172827358</v>
      </c>
      <c r="Z372" s="16">
        <f t="shared" si="954"/>
        <v>8.6119085100472906E-3</v>
      </c>
      <c r="AA372" s="153"/>
      <c r="AC372" s="16">
        <f t="shared" si="977"/>
        <v>4.0106951871657782E-2</v>
      </c>
      <c r="AD372" s="16">
        <f t="shared" ref="AD372" si="986">AD368</f>
        <v>2.2136801068672815E-2</v>
      </c>
      <c r="AE372" s="16">
        <f t="shared" ref="AE372:AF372" si="987">AE371</f>
        <v>7.7935305392042723E-3</v>
      </c>
      <c r="AF372" s="16" t="str">
        <f t="shared" si="987"/>
        <v>Low Volatility</v>
      </c>
      <c r="AG372" s="14" t="str">
        <f t="shared" si="778"/>
        <v>Strong Uptrend</v>
      </c>
      <c r="AI372" s="131" t="s">
        <v>745</v>
      </c>
      <c r="AJ372" s="131">
        <v>445674</v>
      </c>
      <c r="AK372" s="131">
        <v>446144</v>
      </c>
      <c r="AL372" s="15">
        <f t="shared" si="737"/>
        <v>46122</v>
      </c>
      <c r="AM372" s="60">
        <f t="shared" si="727"/>
        <v>44.614400000000003</v>
      </c>
      <c r="AN372" s="61">
        <f t="shared" si="728"/>
        <v>4.700000000000415E-2</v>
      </c>
      <c r="AO372" s="62">
        <f>((AM372-MAX(AM$16:AM372))/MAX(AM$16:AM372))</f>
        <v>0</v>
      </c>
      <c r="AP372" s="16">
        <f t="shared" si="729"/>
        <v>1.0545824975207025E-3</v>
      </c>
      <c r="AQ372" s="153"/>
      <c r="AS372" s="16">
        <f t="shared" si="862"/>
        <v>7.4695330532454566E-4</v>
      </c>
      <c r="AT372" s="77">
        <f t="shared" ref="AT372:AV372" si="988">AT371</f>
        <v>1.7023445431093736E-3</v>
      </c>
      <c r="AU372" s="16">
        <f t="shared" si="988"/>
        <v>1.0800207242326054E-3</v>
      </c>
      <c r="AV372" s="16" t="str">
        <f t="shared" si="988"/>
        <v>Low Volatility</v>
      </c>
      <c r="AW372" s="14" t="str">
        <f t="shared" si="922"/>
        <v>Stable</v>
      </c>
    </row>
    <row r="373" spans="1:49" ht="15.75" hidden="1" thickBot="1">
      <c r="A373" s="131" t="s">
        <v>746</v>
      </c>
      <c r="B373" s="131" t="s">
        <v>1077</v>
      </c>
      <c r="C373" s="131" t="s">
        <v>1078</v>
      </c>
      <c r="D373" s="15">
        <v>46123</v>
      </c>
      <c r="E373" s="60">
        <f t="shared" si="876"/>
        <v>6812.73</v>
      </c>
      <c r="F373" s="61">
        <f t="shared" si="877"/>
        <v>0</v>
      </c>
      <c r="G373" s="62">
        <f>((E373-MAX(E$16:E373))/MAX(E$16:E373))</f>
        <v>-9.5933330236940423E-2</v>
      </c>
      <c r="H373" s="16">
        <f t="shared" si="839"/>
        <v>0</v>
      </c>
      <c r="I373" s="153"/>
      <c r="K373" s="16">
        <f t="shared" si="902"/>
        <v>1.6153498507703007E-2</v>
      </c>
      <c r="L373" s="77">
        <f t="shared" ref="L373:N373" si="989">L372</f>
        <v>1.6206124140989805E-2</v>
      </c>
      <c r="M373" s="16">
        <f t="shared" si="989"/>
        <v>7.1602357087460714E-3</v>
      </c>
      <c r="N373" s="16" t="str">
        <f t="shared" si="989"/>
        <v>Low Volatility</v>
      </c>
      <c r="O373" s="14" t="str">
        <f t="shared" si="948"/>
        <v>Strong Uptrend</v>
      </c>
      <c r="S373" s="131" t="s">
        <v>746</v>
      </c>
      <c r="T373" s="131" t="s">
        <v>1433</v>
      </c>
      <c r="U373" s="131" t="s">
        <v>1434</v>
      </c>
      <c r="V373" s="15">
        <f t="shared" si="836"/>
        <v>46123</v>
      </c>
      <c r="W373" s="60">
        <f t="shared" si="952"/>
        <v>108.92</v>
      </c>
      <c r="X373" s="61">
        <f t="shared" si="953"/>
        <v>0</v>
      </c>
      <c r="Y373" s="62">
        <f>((W373-MAX(W$16:W373))/MAX(W$16:W373))</f>
        <v>-0.33009410172827358</v>
      </c>
      <c r="Z373" s="16">
        <f t="shared" si="954"/>
        <v>0</v>
      </c>
      <c r="AA373" s="153"/>
      <c r="AC373" s="16">
        <f t="shared" si="977"/>
        <v>4.0106951871657782E-2</v>
      </c>
      <c r="AD373" s="16">
        <f t="shared" ref="AD373" si="990">AD368</f>
        <v>2.2136801068672815E-2</v>
      </c>
      <c r="AE373" s="16">
        <f t="shared" ref="AE373:AF373" si="991">AE372</f>
        <v>7.7935305392042723E-3</v>
      </c>
      <c r="AF373" s="16" t="str">
        <f t="shared" si="991"/>
        <v>Low Volatility</v>
      </c>
      <c r="AG373" s="14" t="str">
        <f t="shared" si="778"/>
        <v>Strong Uptrend</v>
      </c>
      <c r="AI373" s="131" t="s">
        <v>746</v>
      </c>
      <c r="AJ373" s="131">
        <v>445674</v>
      </c>
      <c r="AK373" s="131">
        <v>446144</v>
      </c>
      <c r="AL373" s="15">
        <f t="shared" si="737"/>
        <v>46123</v>
      </c>
      <c r="AM373" s="60">
        <f t="shared" ref="AM373:AM436" si="992">VALUE(SUBSTITUTE(SUBSTITUTE(AK373, ".", ""), ",", "."))/10000</f>
        <v>44.614400000000003</v>
      </c>
      <c r="AN373" s="61">
        <f t="shared" ref="AN373:AN436" si="993">AM373-AM372</f>
        <v>0</v>
      </c>
      <c r="AO373" s="62">
        <f>((AM373-MAX(AM$16:AM373))/MAX(AM$16:AM373))</f>
        <v>0</v>
      </c>
      <c r="AP373" s="16">
        <f t="shared" ref="AP373:AP436" si="994">(AM373-AM372)/AM372</f>
        <v>0</v>
      </c>
      <c r="AQ373" s="153"/>
      <c r="AS373" s="16">
        <f t="shared" si="862"/>
        <v>7.4695330532454566E-4</v>
      </c>
      <c r="AT373" s="77">
        <f t="shared" ref="AT373:AV373" si="995">AT372</f>
        <v>1.7023445431093736E-3</v>
      </c>
      <c r="AU373" s="16">
        <f t="shared" si="995"/>
        <v>1.0800207242326054E-3</v>
      </c>
      <c r="AV373" s="16" t="str">
        <f t="shared" si="995"/>
        <v>Low Volatility</v>
      </c>
      <c r="AW373" s="14" t="str">
        <f t="shared" si="922"/>
        <v>Stable</v>
      </c>
    </row>
    <row r="374" spans="1:49" ht="15.75" hidden="1" thickBot="1">
      <c r="A374" s="131" t="s">
        <v>747</v>
      </c>
      <c r="B374" s="131" t="s">
        <v>1077</v>
      </c>
      <c r="C374" s="131" t="s">
        <v>1078</v>
      </c>
      <c r="D374" s="15">
        <v>46124</v>
      </c>
      <c r="E374" s="60">
        <f t="shared" si="876"/>
        <v>6812.73</v>
      </c>
      <c r="F374" s="61">
        <f t="shared" si="877"/>
        <v>0</v>
      </c>
      <c r="G374" s="62">
        <f>((E374-MAX(E$16:E374))/MAX(E$16:E374))</f>
        <v>-9.5933330236940423E-2</v>
      </c>
      <c r="H374" s="16">
        <f t="shared" si="839"/>
        <v>0</v>
      </c>
      <c r="I374" s="153"/>
      <c r="K374" s="16">
        <f t="shared" si="902"/>
        <v>1.6153498507703007E-2</v>
      </c>
      <c r="L374" s="77">
        <f t="shared" ref="L374:N374" si="996">L373</f>
        <v>1.6206124140989805E-2</v>
      </c>
      <c r="M374" s="16">
        <f t="shared" si="996"/>
        <v>7.1602357087460714E-3</v>
      </c>
      <c r="N374" s="16" t="str">
        <f t="shared" si="996"/>
        <v>Low Volatility</v>
      </c>
      <c r="O374" s="14" t="str">
        <f t="shared" si="948"/>
        <v>Strong Uptrend</v>
      </c>
      <c r="S374" s="131" t="s">
        <v>747</v>
      </c>
      <c r="T374" s="131" t="s">
        <v>1433</v>
      </c>
      <c r="U374" s="131" t="s">
        <v>1434</v>
      </c>
      <c r="V374" s="15">
        <f t="shared" si="836"/>
        <v>46124</v>
      </c>
      <c r="W374" s="60">
        <f t="shared" si="952"/>
        <v>108.92</v>
      </c>
      <c r="X374" s="61">
        <f t="shared" si="953"/>
        <v>0</v>
      </c>
      <c r="Y374" s="62">
        <f>((W374-MAX(W$16:W374))/MAX(W$16:W374))</f>
        <v>-0.33009410172827358</v>
      </c>
      <c r="Z374" s="16">
        <f t="shared" si="954"/>
        <v>0</v>
      </c>
      <c r="AA374" s="153"/>
      <c r="AC374" s="16">
        <f t="shared" si="977"/>
        <v>4.0106951871657782E-2</v>
      </c>
      <c r="AD374" s="16">
        <f t="shared" ref="AD374:AE374" si="997">AD368</f>
        <v>2.2136801068672815E-2</v>
      </c>
      <c r="AE374" s="16">
        <f t="shared" si="997"/>
        <v>7.7935305392042723E-3</v>
      </c>
      <c r="AF374" s="16" t="str">
        <f t="shared" ref="AF374" si="998">IF(AE374 &lt; 0.02, "Low Volatility",
 IF(AE374 &gt; 0.1, "High Volatility", "Medium Volatility"))</f>
        <v>Low Volatility</v>
      </c>
      <c r="AG374" s="14" t="str">
        <f t="shared" si="778"/>
        <v>Strong Uptrend</v>
      </c>
      <c r="AI374" s="131" t="s">
        <v>747</v>
      </c>
      <c r="AJ374" s="131">
        <v>445674</v>
      </c>
      <c r="AK374" s="131">
        <v>446144</v>
      </c>
      <c r="AL374" s="15">
        <f t="shared" si="737"/>
        <v>46124</v>
      </c>
      <c r="AM374" s="60">
        <f t="shared" si="992"/>
        <v>44.614400000000003</v>
      </c>
      <c r="AN374" s="61">
        <f t="shared" si="993"/>
        <v>0</v>
      </c>
      <c r="AO374" s="62">
        <f>((AM374-MAX(AM$16:AM374))/MAX(AM$16:AM374))</f>
        <v>0</v>
      </c>
      <c r="AP374" s="16">
        <f t="shared" si="994"/>
        <v>0</v>
      </c>
      <c r="AQ374" s="153"/>
      <c r="AS374" s="16">
        <f t="shared" si="862"/>
        <v>7.4695330532454566E-4</v>
      </c>
      <c r="AT374" s="77">
        <f t="shared" ref="AT374:AV374" si="999">AT373</f>
        <v>1.7023445431093736E-3</v>
      </c>
      <c r="AU374" s="16">
        <f t="shared" si="999"/>
        <v>1.0800207242326054E-3</v>
      </c>
      <c r="AV374" s="16" t="str">
        <f t="shared" si="999"/>
        <v>Low Volatility</v>
      </c>
      <c r="AW374" s="14" t="str">
        <f t="shared" si="922"/>
        <v>Stable</v>
      </c>
    </row>
    <row r="375" spans="1:49" ht="15.75" hidden="1" thickBot="1">
      <c r="A375" s="131" t="s">
        <v>748</v>
      </c>
      <c r="B375" s="131" t="s">
        <v>1079</v>
      </c>
      <c r="C375" s="131" t="s">
        <v>1080</v>
      </c>
      <c r="D375" s="15">
        <v>46125</v>
      </c>
      <c r="E375" s="60">
        <f t="shared" si="876"/>
        <v>6812.74</v>
      </c>
      <c r="F375" s="61">
        <f t="shared" si="877"/>
        <v>1.0000000000218279E-2</v>
      </c>
      <c r="G375" s="62">
        <f>((E375-MAX(E$16:E375))/MAX(E$16:E375))</f>
        <v>-9.5932003211401787E-2</v>
      </c>
      <c r="H375" s="16">
        <f t="shared" si="839"/>
        <v>1.4678403518440155E-6</v>
      </c>
      <c r="I375" s="153">
        <f>AVERAGEIFS(E375:E382, E375:E382, "&gt;=0")</f>
        <v>6926.3575000000001</v>
      </c>
      <c r="K375" s="16">
        <f t="shared" si="902"/>
        <v>2.2685172675715501E-2</v>
      </c>
      <c r="L375" s="77">
        <f t="shared" ref="L375" si="1000">(I375-I368)/I368</f>
        <v>2.1411708798401131E-2</v>
      </c>
      <c r="M375" s="16" cm="1">
        <f t="array" ref="M375">_xlfn.STDEV.S(_xlfn._xlws.FILTER(F375:F381, ISNUMBER(F375:F381))) / I375</f>
        <v>1.0035491412925335E-2</v>
      </c>
      <c r="N375" s="16" t="str" cm="1">
        <f t="array" ref="N375">_xlfn.LET(
  _xlpm.c, M196,
  IFERROR(
    _xlfn.IFS(_xlpm.c&lt;0.02,"Low Volatility",
        _xlpm.c&gt;0.1,"High Volatility",
        TRUE,"Medium Volatility"),
    "Insufficient data"
  )
)</f>
        <v>Low Volatility</v>
      </c>
      <c r="O375" s="14" t="str">
        <f t="shared" si="948"/>
        <v>Strong Uptrend</v>
      </c>
      <c r="S375" s="131" t="s">
        <v>748</v>
      </c>
      <c r="T375" s="131" t="s">
        <v>1435</v>
      </c>
      <c r="U375" s="131" t="s">
        <v>1436</v>
      </c>
      <c r="V375" s="15">
        <f t="shared" si="836"/>
        <v>46125</v>
      </c>
      <c r="W375" s="60">
        <f t="shared" si="952"/>
        <v>108.64</v>
      </c>
      <c r="X375" s="61">
        <f t="shared" si="953"/>
        <v>-0.28000000000000114</v>
      </c>
      <c r="Y375" s="62">
        <f>((W375-MAX(W$16:W375))/MAX(W$16:W375))</f>
        <v>-0.3318162248600775</v>
      </c>
      <c r="Z375" s="16">
        <f t="shared" si="954"/>
        <v>-2.5706940874036092E-3</v>
      </c>
      <c r="AA375" s="153">
        <f t="shared" ref="AA375" si="1001">AVERAGEIFS(W375:W381, W375:W381, "&gt;=0")</f>
        <v>114.15428571428571</v>
      </c>
      <c r="AC375" s="16">
        <f t="shared" si="977"/>
        <v>4.1411042944785349E-2</v>
      </c>
      <c r="AD375" s="66">
        <f t="shared" ref="AD375" si="1002">(AA375-AA368)/AA368</f>
        <v>6.5638919264929513E-2</v>
      </c>
      <c r="AE375" s="16" cm="1">
        <f t="array" ref="AE375">_xlfn.STDEV.S(_xlfn._xlws.FILTER(X375:X381, ISNUMBER(X375:X381))) / AA375</f>
        <v>2.2533816436303519E-2</v>
      </c>
      <c r="AF375" s="16" t="str">
        <f t="shared" ref="AF375:AF380" si="1003">AF374</f>
        <v>Low Volatility</v>
      </c>
      <c r="AG375" s="14" t="str">
        <f t="shared" si="778"/>
        <v>Strong Uptrend</v>
      </c>
      <c r="AI375" s="131" t="s">
        <v>748</v>
      </c>
      <c r="AJ375" s="131">
        <v>446531</v>
      </c>
      <c r="AK375" s="131">
        <v>446864</v>
      </c>
      <c r="AL375" s="15">
        <f t="shared" ref="AL375:AL438" si="1004">D375</f>
        <v>46125</v>
      </c>
      <c r="AM375" s="60">
        <f t="shared" si="992"/>
        <v>44.686399999999999</v>
      </c>
      <c r="AN375" s="61">
        <f t="shared" si="993"/>
        <v>7.1999999999995623E-2</v>
      </c>
      <c r="AO375" s="62">
        <f>((AM375-MAX(AM$16:AM375))/MAX(AM$16:AM375))</f>
        <v>0</v>
      </c>
      <c r="AP375" s="16">
        <f t="shared" si="994"/>
        <v>1.6138287189785274E-3</v>
      </c>
      <c r="AQ375" s="153">
        <f t="shared" ref="AQ375" si="1005">AVERAGEIFS(AM375:AM381, AM375:AM381, "&gt;=0")</f>
        <v>44.783071428571425</v>
      </c>
      <c r="AS375" s="16">
        <f t="shared" si="862"/>
        <v>2.6161212300705467E-3</v>
      </c>
      <c r="AT375" s="77">
        <f t="shared" ref="AT375" si="1006">(AQ375-AQ368)/AQ368</f>
        <v>4.4242130825084E-3</v>
      </c>
      <c r="AU375" s="16" cm="1">
        <f t="array" ref="AU375">_xlfn.STDEV.S(_xlfn._xlws.FILTER(AN375:AN381, ISNUMBER(AN375:AN381))) / AQ375</f>
        <v>8.8132373936427569E-4</v>
      </c>
      <c r="AV375" s="16" t="str">
        <f t="shared" ref="AV375" si="1007">IF(AU375 &lt; 0.02, "Low Volatility",
 IF(AU375 &gt; 0.1, "High Volatility", "Medium Volatility"))</f>
        <v>Low Volatility</v>
      </c>
      <c r="AW375" s="14" t="str">
        <f t="shared" si="922"/>
        <v>Stable</v>
      </c>
    </row>
    <row r="376" spans="1:49" ht="15.75" hidden="1" thickBot="1">
      <c r="A376" s="131" t="s">
        <v>749</v>
      </c>
      <c r="B376" s="131" t="s">
        <v>1081</v>
      </c>
      <c r="C376" s="131" t="s">
        <v>1082</v>
      </c>
      <c r="D376" s="15">
        <v>46126</v>
      </c>
      <c r="E376" s="60">
        <f t="shared" si="876"/>
        <v>6961.33</v>
      </c>
      <c r="F376" s="61">
        <f t="shared" si="877"/>
        <v>148.59000000000015</v>
      </c>
      <c r="G376" s="62">
        <f>((E376-MAX(E$16:E376))/MAX(E$16:E376))</f>
        <v>-7.6213730733247928E-2</v>
      </c>
      <c r="H376" s="16">
        <f t="shared" si="839"/>
        <v>2.1810607773083978E-2</v>
      </c>
      <c r="I376" s="153"/>
      <c r="K376" s="16">
        <f t="shared" si="902"/>
        <v>3.1170658726984594E-2</v>
      </c>
      <c r="L376" s="77">
        <f t="shared" ref="L376:N376" si="1008">L375</f>
        <v>2.1411708798401131E-2</v>
      </c>
      <c r="M376" s="16">
        <f t="shared" si="1008"/>
        <v>1.0035491412925335E-2</v>
      </c>
      <c r="N376" s="16" t="str">
        <f t="shared" si="1008"/>
        <v>Low Volatility</v>
      </c>
      <c r="O376" s="14" t="str">
        <f t="shared" si="948"/>
        <v>Strong Uptrend</v>
      </c>
      <c r="S376" s="131" t="s">
        <v>749</v>
      </c>
      <c r="T376" s="131" t="s">
        <v>1361</v>
      </c>
      <c r="U376" s="131" t="s">
        <v>1437</v>
      </c>
      <c r="V376" s="15">
        <f t="shared" si="836"/>
        <v>46126</v>
      </c>
      <c r="W376" s="60">
        <f t="shared" si="952"/>
        <v>114.43</v>
      </c>
      <c r="X376" s="61">
        <f t="shared" si="953"/>
        <v>5.7900000000000063</v>
      </c>
      <c r="Y376" s="62">
        <f>((W376-MAX(W$16:W376))/MAX(W$16:W376))</f>
        <v>-0.2962051786702749</v>
      </c>
      <c r="Z376" s="16">
        <f t="shared" si="954"/>
        <v>5.3295287187039825E-2</v>
      </c>
      <c r="AA376" s="153"/>
      <c r="AC376" s="16">
        <f t="shared" si="977"/>
        <v>9.2827810142297906E-2</v>
      </c>
      <c r="AD376" s="16">
        <f t="shared" ref="AD376" si="1009">AD375</f>
        <v>6.5638919264929513E-2</v>
      </c>
      <c r="AE376" s="16">
        <f t="shared" ref="AE376:AE380" si="1010">AE375</f>
        <v>2.2533816436303519E-2</v>
      </c>
      <c r="AF376" s="16" t="str">
        <f t="shared" si="1003"/>
        <v>Low Volatility</v>
      </c>
      <c r="AG376" s="14" t="str">
        <f t="shared" si="778"/>
        <v>Strong Uptrend</v>
      </c>
      <c r="AI376" s="131" t="s">
        <v>749</v>
      </c>
      <c r="AJ376" s="131">
        <v>446930</v>
      </c>
      <c r="AK376" s="131">
        <v>447241</v>
      </c>
      <c r="AL376" s="15">
        <f t="shared" si="1004"/>
        <v>46126</v>
      </c>
      <c r="AM376" s="60">
        <f t="shared" si="992"/>
        <v>44.7241</v>
      </c>
      <c r="AN376" s="61">
        <f t="shared" si="993"/>
        <v>3.7700000000000955E-2</v>
      </c>
      <c r="AO376" s="62">
        <f>((AM376-MAX(AM$16:AM376))/MAX(AM$16:AM376))</f>
        <v>0</v>
      </c>
      <c r="AP376" s="16">
        <f t="shared" si="994"/>
        <v>8.4365713058113774E-4</v>
      </c>
      <c r="AQ376" s="153"/>
      <c r="AS376" s="16">
        <f t="shared" si="862"/>
        <v>2.6813438106020326E-3</v>
      </c>
      <c r="AT376" s="77">
        <f t="shared" ref="AT376:AV376" si="1011">AT375</f>
        <v>4.4242130825084E-3</v>
      </c>
      <c r="AU376" s="16">
        <f t="shared" si="1011"/>
        <v>8.8132373936427569E-4</v>
      </c>
      <c r="AV376" s="16" t="str">
        <f t="shared" si="1011"/>
        <v>Low Volatility</v>
      </c>
      <c r="AW376" s="14" t="str">
        <f t="shared" si="922"/>
        <v>Stable</v>
      </c>
    </row>
    <row r="377" spans="1:49" ht="15.75" hidden="1" thickBot="1">
      <c r="A377" s="131" t="s">
        <v>750</v>
      </c>
      <c r="B377" s="131" t="s">
        <v>1083</v>
      </c>
      <c r="C377" s="131" t="s">
        <v>1084</v>
      </c>
      <c r="D377" s="15">
        <v>46127</v>
      </c>
      <c r="E377" s="60">
        <f t="shared" si="876"/>
        <v>6892.49</v>
      </c>
      <c r="F377" s="61">
        <f t="shared" si="877"/>
        <v>-68.840000000000146</v>
      </c>
      <c r="G377" s="62">
        <f>((E377-MAX(E$16:E377))/MAX(E$16:E377))</f>
        <v>-8.5348974541015032E-2</v>
      </c>
      <c r="H377" s="16">
        <f t="shared" si="839"/>
        <v>-9.888914905628687E-3</v>
      </c>
      <c r="I377" s="153"/>
      <c r="K377" s="16">
        <f t="shared" si="902"/>
        <v>2.0317560886067704E-2</v>
      </c>
      <c r="L377" s="77">
        <f t="shared" ref="L377:N377" si="1012">L376</f>
        <v>2.1411708798401131E-2</v>
      </c>
      <c r="M377" s="16">
        <f t="shared" si="1012"/>
        <v>1.0035491412925335E-2</v>
      </c>
      <c r="N377" s="16" t="str">
        <f t="shared" si="1012"/>
        <v>Low Volatility</v>
      </c>
      <c r="O377" s="14" t="str">
        <f t="shared" si="948"/>
        <v>Strong Uptrend</v>
      </c>
      <c r="S377" s="131" t="s">
        <v>750</v>
      </c>
      <c r="T377" s="131" t="s">
        <v>1438</v>
      </c>
      <c r="U377" s="131" t="s">
        <v>1439</v>
      </c>
      <c r="V377" s="15">
        <f t="shared" si="836"/>
        <v>46127</v>
      </c>
      <c r="W377" s="60">
        <f t="shared" si="952"/>
        <v>113.63</v>
      </c>
      <c r="X377" s="61">
        <f t="shared" si="953"/>
        <v>-0.80000000000001137</v>
      </c>
      <c r="Y377" s="62">
        <f>((W377-MAX(W$16:W377))/MAX(W$16:W377))</f>
        <v>-0.30112553047542906</v>
      </c>
      <c r="Z377" s="16">
        <f t="shared" si="954"/>
        <v>-6.991173643275464E-3</v>
      </c>
      <c r="AA377" s="153"/>
      <c r="AC377" s="16">
        <f t="shared" si="977"/>
        <v>7.1172699849170407E-2</v>
      </c>
      <c r="AD377" s="16">
        <f t="shared" ref="AD377" si="1013">AD375</f>
        <v>6.5638919264929513E-2</v>
      </c>
      <c r="AE377" s="16">
        <f t="shared" si="1010"/>
        <v>2.2533816436303519E-2</v>
      </c>
      <c r="AF377" s="16" t="str">
        <f t="shared" si="1003"/>
        <v>Low Volatility</v>
      </c>
      <c r="AG377" s="14" t="str">
        <f t="shared" si="778"/>
        <v>Strong Uptrend</v>
      </c>
      <c r="AI377" s="131" t="s">
        <v>750</v>
      </c>
      <c r="AJ377" s="131">
        <v>447328</v>
      </c>
      <c r="AK377" s="131">
        <v>447450</v>
      </c>
      <c r="AL377" s="15">
        <f t="shared" si="1004"/>
        <v>46127</v>
      </c>
      <c r="AM377" s="60">
        <f t="shared" si="992"/>
        <v>44.744999999999997</v>
      </c>
      <c r="AN377" s="61">
        <f t="shared" si="993"/>
        <v>2.0899999999997476E-2</v>
      </c>
      <c r="AO377" s="62">
        <f>((AM377-MAX(AM$16:AM377))/MAX(AM$16:AM377))</f>
        <v>0</v>
      </c>
      <c r="AP377" s="16">
        <f t="shared" si="994"/>
        <v>4.6730957134961856E-4</v>
      </c>
      <c r="AQ377" s="153"/>
      <c r="AS377" s="16">
        <f t="shared" si="862"/>
        <v>5.148733708031727E-3</v>
      </c>
      <c r="AT377" s="77">
        <f t="shared" ref="AT377:AV377" si="1014">AT376</f>
        <v>4.4242130825084E-3</v>
      </c>
      <c r="AU377" s="16">
        <f t="shared" si="1014"/>
        <v>8.8132373936427569E-4</v>
      </c>
      <c r="AV377" s="16" t="str">
        <f t="shared" si="1014"/>
        <v>Low Volatility</v>
      </c>
      <c r="AW377" s="14" t="str">
        <f t="shared" si="922"/>
        <v>Stable</v>
      </c>
    </row>
    <row r="378" spans="1:49" ht="15.75" hidden="1" thickBot="1">
      <c r="A378" s="131" t="s">
        <v>751</v>
      </c>
      <c r="B378" s="131" t="s">
        <v>1085</v>
      </c>
      <c r="C378" s="131" t="s">
        <v>1086</v>
      </c>
      <c r="D378" s="15">
        <v>46128</v>
      </c>
      <c r="E378" s="60">
        <f t="shared" si="876"/>
        <v>6891.84</v>
      </c>
      <c r="F378" s="61">
        <f t="shared" si="877"/>
        <v>-0.6499999999996362</v>
      </c>
      <c r="G378" s="62">
        <f>((E378-MAX(E$16:E378))/MAX(E$16:E378))</f>
        <v>-8.5435231201024406E-2</v>
      </c>
      <c r="H378" s="16">
        <f t="shared" si="839"/>
        <v>-9.4305541248465534E-5</v>
      </c>
      <c r="I378" s="153"/>
      <c r="K378" s="16">
        <f t="shared" si="902"/>
        <v>8.9655374344859567E-3</v>
      </c>
      <c r="L378" s="77">
        <f t="shared" ref="L378:N378" si="1015">L377</f>
        <v>2.1411708798401131E-2</v>
      </c>
      <c r="M378" s="16">
        <f t="shared" si="1015"/>
        <v>1.0035491412925335E-2</v>
      </c>
      <c r="N378" s="16" t="str">
        <f t="shared" si="1015"/>
        <v>Low Volatility</v>
      </c>
      <c r="O378" s="14" t="str">
        <f t="shared" si="948"/>
        <v>Weak/Unconfirmed</v>
      </c>
      <c r="S378" s="131" t="s">
        <v>751</v>
      </c>
      <c r="T378" s="131" t="s">
        <v>1439</v>
      </c>
      <c r="U378" s="131" t="s">
        <v>1440</v>
      </c>
      <c r="V378" s="15">
        <f t="shared" si="836"/>
        <v>46128</v>
      </c>
      <c r="W378" s="60">
        <f t="shared" si="952"/>
        <v>112.88</v>
      </c>
      <c r="X378" s="61">
        <f t="shared" si="953"/>
        <v>-0.75</v>
      </c>
      <c r="Y378" s="62">
        <f>((W378-MAX(W$16:W378))/MAX(W$16:W378))</f>
        <v>-0.30573836029276097</v>
      </c>
      <c r="Z378" s="16">
        <f t="shared" si="954"/>
        <v>-6.6003696206987598E-3</v>
      </c>
      <c r="AA378" s="153"/>
      <c r="AC378" s="16">
        <f t="shared" si="977"/>
        <v>4.5281970552828975E-2</v>
      </c>
      <c r="AD378" s="16">
        <f t="shared" ref="AD378" si="1016">AD375</f>
        <v>6.5638919264929513E-2</v>
      </c>
      <c r="AE378" s="16">
        <f t="shared" si="1010"/>
        <v>2.2533816436303519E-2</v>
      </c>
      <c r="AF378" s="16" t="str">
        <f t="shared" si="1003"/>
        <v>Low Volatility</v>
      </c>
      <c r="AG378" s="14" t="str">
        <f t="shared" si="778"/>
        <v>Strong Uptrend</v>
      </c>
      <c r="AI378" s="131" t="s">
        <v>751</v>
      </c>
      <c r="AJ378" s="131">
        <v>447450</v>
      </c>
      <c r="AK378" s="131">
        <v>447541</v>
      </c>
      <c r="AL378" s="15">
        <f t="shared" si="1004"/>
        <v>46128</v>
      </c>
      <c r="AM378" s="60">
        <f t="shared" si="992"/>
        <v>44.754100000000001</v>
      </c>
      <c r="AN378" s="61">
        <f t="shared" si="993"/>
        <v>9.1000000000036607E-3</v>
      </c>
      <c r="AO378" s="62">
        <f>((AM378-MAX(AM$16:AM378))/MAX(AM$16:AM378))</f>
        <v>0</v>
      </c>
      <c r="AP378" s="16">
        <f t="shared" si="994"/>
        <v>2.0337467873513603E-4</v>
      </c>
      <c r="AQ378" s="153"/>
      <c r="AS378" s="16">
        <f t="shared" si="862"/>
        <v>4.1891606869595682E-3</v>
      </c>
      <c r="AT378" s="77">
        <f t="shared" ref="AT378:AV378" si="1017">AT377</f>
        <v>4.4242130825084E-3</v>
      </c>
      <c r="AU378" s="16">
        <f t="shared" si="1017"/>
        <v>8.8132373936427569E-4</v>
      </c>
      <c r="AV378" s="16" t="str">
        <f t="shared" si="1017"/>
        <v>Low Volatility</v>
      </c>
      <c r="AW378" s="14" t="str">
        <f t="shared" si="922"/>
        <v>Stable</v>
      </c>
    </row>
    <row r="379" spans="1:49" ht="15.75" hidden="1" thickBot="1">
      <c r="A379" s="131" t="s">
        <v>752</v>
      </c>
      <c r="B379" s="131" t="s">
        <v>1087</v>
      </c>
      <c r="C379" s="131" t="s">
        <v>1088</v>
      </c>
      <c r="D379" s="15">
        <v>46129</v>
      </c>
      <c r="E379" s="60">
        <f t="shared" si="876"/>
        <v>6966.26</v>
      </c>
      <c r="F379" s="61">
        <f t="shared" si="877"/>
        <v>74.420000000000073</v>
      </c>
      <c r="G379" s="62">
        <f>((E379-MAX(E$16:E379))/MAX(E$16:E379))</f>
        <v>-7.5559507142714893E-2</v>
      </c>
      <c r="H379" s="16">
        <f t="shared" si="839"/>
        <v>1.079827738310815E-2</v>
      </c>
      <c r="I379" s="153"/>
      <c r="K379" s="16">
        <f t="shared" si="902"/>
        <v>2.2535752921369358E-2</v>
      </c>
      <c r="L379" s="77">
        <f t="shared" ref="L379:N379" si="1018">L378</f>
        <v>2.1411708798401131E-2</v>
      </c>
      <c r="M379" s="16">
        <f t="shared" si="1018"/>
        <v>1.0035491412925335E-2</v>
      </c>
      <c r="N379" s="16" t="str">
        <f t="shared" si="1018"/>
        <v>Low Volatility</v>
      </c>
      <c r="O379" s="14" t="str">
        <f t="shared" si="948"/>
        <v>Strong Uptrend</v>
      </c>
      <c r="S379" s="131" t="s">
        <v>752</v>
      </c>
      <c r="T379" s="131" t="s">
        <v>1441</v>
      </c>
      <c r="U379" s="131" t="s">
        <v>1351</v>
      </c>
      <c r="V379" s="15">
        <f t="shared" si="836"/>
        <v>46129</v>
      </c>
      <c r="W379" s="60">
        <f t="shared" si="952"/>
        <v>116.5</v>
      </c>
      <c r="X379" s="61">
        <f t="shared" si="953"/>
        <v>3.6200000000000045</v>
      </c>
      <c r="Y379" s="62">
        <f>((W379-MAX(W$16:W379))/MAX(W$16:W379))</f>
        <v>-0.28347376837443877</v>
      </c>
      <c r="Z379" s="16">
        <f t="shared" si="954"/>
        <v>3.2069454287739232E-2</v>
      </c>
      <c r="AA379" s="153"/>
      <c r="AC379" s="16">
        <f t="shared" si="977"/>
        <v>6.9592361366140276E-2</v>
      </c>
      <c r="AD379" s="16">
        <f t="shared" ref="AD379" si="1019">AD375</f>
        <v>6.5638919264929513E-2</v>
      </c>
      <c r="AE379" s="16">
        <f t="shared" si="1010"/>
        <v>2.2533816436303519E-2</v>
      </c>
      <c r="AF379" s="16" t="str">
        <f t="shared" si="1003"/>
        <v>Low Volatility</v>
      </c>
      <c r="AG379" s="14" t="str">
        <f t="shared" si="778"/>
        <v>Strong Uptrend</v>
      </c>
      <c r="AI379" s="131" t="s">
        <v>752</v>
      </c>
      <c r="AJ379" s="131">
        <v>447875</v>
      </c>
      <c r="AK379" s="131">
        <v>448573</v>
      </c>
      <c r="AL379" s="15">
        <f t="shared" si="1004"/>
        <v>46129</v>
      </c>
      <c r="AM379" s="60">
        <f t="shared" si="992"/>
        <v>44.857300000000002</v>
      </c>
      <c r="AN379" s="61">
        <f t="shared" si="993"/>
        <v>0.10320000000000107</v>
      </c>
      <c r="AO379" s="62">
        <f>((AM379-MAX(AM$16:AM379))/MAX(AM$16:AM379))</f>
        <v>0</v>
      </c>
      <c r="AP379" s="16">
        <f t="shared" si="994"/>
        <v>2.3059339814676437E-3</v>
      </c>
      <c r="AQ379" s="153"/>
      <c r="AS379" s="16">
        <f t="shared" si="862"/>
        <v>5.4444304977764747E-3</v>
      </c>
      <c r="AT379" s="77">
        <f t="shared" ref="AT379:AV379" si="1020">AT378</f>
        <v>4.4242130825084E-3</v>
      </c>
      <c r="AU379" s="16">
        <f t="shared" si="1020"/>
        <v>8.8132373936427569E-4</v>
      </c>
      <c r="AV379" s="16" t="str">
        <f t="shared" si="1020"/>
        <v>Low Volatility</v>
      </c>
      <c r="AW379" s="14" t="str">
        <f t="shared" si="922"/>
        <v>Stable</v>
      </c>
    </row>
    <row r="380" spans="1:49" ht="15.75" hidden="1" thickBot="1">
      <c r="A380" s="131" t="s">
        <v>753</v>
      </c>
      <c r="B380" s="131" t="s">
        <v>1087</v>
      </c>
      <c r="C380" s="131" t="s">
        <v>1088</v>
      </c>
      <c r="D380" s="15">
        <v>46130</v>
      </c>
      <c r="E380" s="60">
        <f t="shared" si="876"/>
        <v>6966.26</v>
      </c>
      <c r="F380" s="61">
        <f t="shared" si="877"/>
        <v>0</v>
      </c>
      <c r="G380" s="62">
        <f>((E380-MAX(E$16:E380))/MAX(E$16:E380))</f>
        <v>-7.5559507142714893E-2</v>
      </c>
      <c r="H380" s="16">
        <f t="shared" si="839"/>
        <v>0</v>
      </c>
      <c r="I380" s="153"/>
      <c r="K380" s="16">
        <f t="shared" si="902"/>
        <v>2.2535752921369358E-2</v>
      </c>
      <c r="L380" s="77">
        <f t="shared" ref="L380:N380" si="1021">L379</f>
        <v>2.1411708798401131E-2</v>
      </c>
      <c r="M380" s="16">
        <f t="shared" si="1021"/>
        <v>1.0035491412925335E-2</v>
      </c>
      <c r="N380" s="16" t="str">
        <f t="shared" si="1021"/>
        <v>Low Volatility</v>
      </c>
      <c r="O380" s="14" t="str">
        <f t="shared" si="948"/>
        <v>Strong Uptrend</v>
      </c>
      <c r="S380" s="131" t="s">
        <v>753</v>
      </c>
      <c r="T380" s="131" t="s">
        <v>1441</v>
      </c>
      <c r="U380" s="131" t="s">
        <v>1351</v>
      </c>
      <c r="V380" s="15">
        <f t="shared" si="836"/>
        <v>46130</v>
      </c>
      <c r="W380" s="60">
        <f t="shared" si="952"/>
        <v>116.5</v>
      </c>
      <c r="X380" s="61">
        <f t="shared" si="953"/>
        <v>0</v>
      </c>
      <c r="Y380" s="62">
        <f>((W380-MAX(W$16:W380))/MAX(W$16:W380))</f>
        <v>-0.28347376837443877</v>
      </c>
      <c r="Z380" s="16">
        <f t="shared" si="954"/>
        <v>0</v>
      </c>
      <c r="AA380" s="153"/>
      <c r="AC380" s="16">
        <f t="shared" si="977"/>
        <v>6.9592361366140276E-2</v>
      </c>
      <c r="AD380" s="16">
        <f t="shared" ref="AD380" si="1022">AD375</f>
        <v>6.5638919264929513E-2</v>
      </c>
      <c r="AE380" s="16">
        <f t="shared" si="1010"/>
        <v>2.2533816436303519E-2</v>
      </c>
      <c r="AF380" s="16" t="str">
        <f t="shared" si="1003"/>
        <v>Low Volatility</v>
      </c>
      <c r="AG380" s="14" t="str">
        <f t="shared" si="778"/>
        <v>Strong Uptrend</v>
      </c>
      <c r="AI380" s="131" t="s">
        <v>753</v>
      </c>
      <c r="AJ380" s="131">
        <v>447875</v>
      </c>
      <c r="AK380" s="131">
        <v>448573</v>
      </c>
      <c r="AL380" s="15">
        <f t="shared" si="1004"/>
        <v>46130</v>
      </c>
      <c r="AM380" s="60">
        <f t="shared" si="992"/>
        <v>44.857300000000002</v>
      </c>
      <c r="AN380" s="61">
        <f t="shared" si="993"/>
        <v>0</v>
      </c>
      <c r="AO380" s="62">
        <f>((AM380-MAX(AM$16:AM380))/MAX(AM$16:AM380))</f>
        <v>0</v>
      </c>
      <c r="AP380" s="16">
        <f t="shared" si="994"/>
        <v>0</v>
      </c>
      <c r="AQ380" s="153"/>
      <c r="AS380" s="16">
        <f t="shared" si="862"/>
        <v>5.4444304977764747E-3</v>
      </c>
      <c r="AT380" s="77">
        <f t="shared" ref="AT380:AV380" si="1023">AT379</f>
        <v>4.4242130825084E-3</v>
      </c>
      <c r="AU380" s="16">
        <f t="shared" si="1023"/>
        <v>8.8132373936427569E-4</v>
      </c>
      <c r="AV380" s="16" t="str">
        <f t="shared" si="1023"/>
        <v>Low Volatility</v>
      </c>
      <c r="AW380" s="14" t="str">
        <f t="shared" si="922"/>
        <v>Stable</v>
      </c>
    </row>
    <row r="381" spans="1:49" ht="15.75" hidden="1" thickBot="1">
      <c r="A381" s="131" t="s">
        <v>754</v>
      </c>
      <c r="B381" s="131" t="s">
        <v>1087</v>
      </c>
      <c r="C381" s="131" t="s">
        <v>1088</v>
      </c>
      <c r="D381" s="15">
        <v>46131</v>
      </c>
      <c r="E381" s="60">
        <f t="shared" si="876"/>
        <v>6966.26</v>
      </c>
      <c r="F381" s="61">
        <f t="shared" si="877"/>
        <v>0</v>
      </c>
      <c r="G381" s="62">
        <f>((E381-MAX(E$16:E381))/MAX(E$16:E381))</f>
        <v>-7.5559507142714893E-2</v>
      </c>
      <c r="H381" s="16">
        <f t="shared" si="839"/>
        <v>0</v>
      </c>
      <c r="I381" s="153"/>
      <c r="K381" s="16">
        <f t="shared" si="902"/>
        <v>2.2535752921369358E-2</v>
      </c>
      <c r="L381" s="77">
        <f t="shared" ref="L381:N381" si="1024">L380</f>
        <v>2.1411708798401131E-2</v>
      </c>
      <c r="M381" s="16">
        <f t="shared" si="1024"/>
        <v>1.0035491412925335E-2</v>
      </c>
      <c r="N381" s="16" t="str">
        <f t="shared" si="1024"/>
        <v>Low Volatility</v>
      </c>
      <c r="O381" s="14" t="str">
        <f t="shared" si="948"/>
        <v>Strong Uptrend</v>
      </c>
      <c r="S381" s="131" t="s">
        <v>754</v>
      </c>
      <c r="T381" s="131" t="s">
        <v>1441</v>
      </c>
      <c r="U381" s="131" t="s">
        <v>1351</v>
      </c>
      <c r="V381" s="15">
        <f t="shared" si="836"/>
        <v>46131</v>
      </c>
      <c r="W381" s="60">
        <f t="shared" si="952"/>
        <v>116.5</v>
      </c>
      <c r="X381" s="61">
        <f t="shared" si="953"/>
        <v>0</v>
      </c>
      <c r="Y381" s="62">
        <f>((W381-MAX(W$16:W381))/MAX(W$16:W381))</f>
        <v>-0.28347376837443877</v>
      </c>
      <c r="Z381" s="16">
        <f t="shared" si="954"/>
        <v>0</v>
      </c>
      <c r="AA381" s="153"/>
      <c r="AC381" s="16">
        <f t="shared" si="977"/>
        <v>6.9592361366140276E-2</v>
      </c>
      <c r="AD381" s="16">
        <f t="shared" ref="AD381:AE381" si="1025">AD375</f>
        <v>6.5638919264929513E-2</v>
      </c>
      <c r="AE381" s="16">
        <f t="shared" si="1025"/>
        <v>2.2533816436303519E-2</v>
      </c>
      <c r="AF381" s="16" t="str">
        <f t="shared" ref="AF381:AF382" si="1026">IF(AE381 &lt; 0.02, "Low Volatility",
 IF(AE381 &gt; 0.1, "High Volatility", "Medium Volatility"))</f>
        <v>Medium Volatility</v>
      </c>
      <c r="AG381" s="14" t="str">
        <f t="shared" si="778"/>
        <v>Strong Uptrend</v>
      </c>
      <c r="AI381" s="131" t="s">
        <v>754</v>
      </c>
      <c r="AJ381" s="131">
        <v>447875</v>
      </c>
      <c r="AK381" s="131">
        <v>448573</v>
      </c>
      <c r="AL381" s="15">
        <f t="shared" si="1004"/>
        <v>46131</v>
      </c>
      <c r="AM381" s="60">
        <f t="shared" si="992"/>
        <v>44.857300000000002</v>
      </c>
      <c r="AN381" s="61">
        <f t="shared" si="993"/>
        <v>0</v>
      </c>
      <c r="AO381" s="62">
        <f>((AM381-MAX(AM$16:AM381))/MAX(AM$16:AM381))</f>
        <v>0</v>
      </c>
      <c r="AP381" s="16">
        <f t="shared" si="994"/>
        <v>0</v>
      </c>
      <c r="AQ381" s="153"/>
      <c r="AS381" s="16">
        <f t="shared" si="862"/>
        <v>5.4444304977764747E-3</v>
      </c>
      <c r="AT381" s="77">
        <f t="shared" ref="AT381:AV381" si="1027">AT380</f>
        <v>4.4242130825084E-3</v>
      </c>
      <c r="AU381" s="16">
        <f t="shared" si="1027"/>
        <v>8.8132373936427569E-4</v>
      </c>
      <c r="AV381" s="16" t="str">
        <f t="shared" si="1027"/>
        <v>Low Volatility</v>
      </c>
      <c r="AW381" s="14" t="str">
        <f t="shared" si="922"/>
        <v>Stable</v>
      </c>
    </row>
    <row r="382" spans="1:49" ht="15.75" hidden="1" thickBot="1">
      <c r="A382" s="131" t="s">
        <v>755</v>
      </c>
      <c r="B382" s="131" t="s">
        <v>1089</v>
      </c>
      <c r="C382" s="131" t="s">
        <v>1090</v>
      </c>
      <c r="D382" s="15">
        <v>46132</v>
      </c>
      <c r="E382" s="60">
        <f t="shared" si="876"/>
        <v>6953.68</v>
      </c>
      <c r="F382" s="61">
        <f t="shared" si="877"/>
        <v>-12.579999999999927</v>
      </c>
      <c r="G382" s="62">
        <f>((E382-MAX(E$16:E382))/MAX(E$16:E382))</f>
        <v>-7.7228905270281839E-2</v>
      </c>
      <c r="H382" s="16">
        <f t="shared" si="839"/>
        <v>-1.8058470398750444E-3</v>
      </c>
      <c r="I382" s="153">
        <f>AVERAGEIFS(E382:E389, E382:E389, "&gt;=0")</f>
        <v>6826.8537500000002</v>
      </c>
      <c r="K382" s="16">
        <f t="shared" si="902"/>
        <v>2.0687711552180254E-2</v>
      </c>
      <c r="L382" s="77">
        <f t="shared" ref="L382" si="1028">(I382-I375)/I375</f>
        <v>-1.4365956420817125E-2</v>
      </c>
      <c r="M382" s="16" cm="1">
        <f t="array" ref="M382">_xlfn.STDEV.S(_xlfn._xlws.FILTER(F382:F388, ISNUMBER(F382:F388))) / I382</f>
        <v>9.2804045957929418E-3</v>
      </c>
      <c r="N382" s="16" t="str" cm="1">
        <f t="array" ref="N382">_xlfn.LET(
  _xlpm.c, M203,
  IFERROR(
    _xlfn.IFS(_xlpm.c&lt;0.02,"Low Volatility",
        _xlpm.c&gt;0.1,"High Volatility",
        TRUE,"Medium Volatility"),
    "Insufficient data"
  )
)</f>
        <v>Low Volatility</v>
      </c>
      <c r="O382" s="14" t="str">
        <f t="shared" si="948"/>
        <v>Weak/Unconfirmed</v>
      </c>
      <c r="S382" s="131" t="s">
        <v>755</v>
      </c>
      <c r="T382" s="131" t="s">
        <v>1442</v>
      </c>
      <c r="U382" s="131" t="s">
        <v>1443</v>
      </c>
      <c r="V382" s="15">
        <f t="shared" si="836"/>
        <v>46132</v>
      </c>
      <c r="W382" s="60">
        <f t="shared" si="952"/>
        <v>115.06</v>
      </c>
      <c r="X382" s="61">
        <f t="shared" si="953"/>
        <v>-1.4399999999999977</v>
      </c>
      <c r="Y382" s="62">
        <f>((W382-MAX(W$16:W382))/MAX(W$16:W382))</f>
        <v>-0.2923304016237161</v>
      </c>
      <c r="Z382" s="16">
        <f t="shared" si="954"/>
        <v>-1.2360515021459208E-2</v>
      </c>
      <c r="AA382" s="153">
        <f t="shared" ref="AA382" si="1029">AVERAGEIFS(W382:W388, W382:W388, "&gt;=0")</f>
        <v>110.79142857142857</v>
      </c>
      <c r="AC382" s="16">
        <f t="shared" si="977"/>
        <v>5.9094256259204725E-2</v>
      </c>
      <c r="AD382" s="66">
        <f t="shared" ref="AD382" si="1030">(AA382-AA375)/AA375</f>
        <v>-2.9458877709365727E-2</v>
      </c>
      <c r="AE382" s="16" cm="1">
        <f t="array" ref="AE382">_xlfn.STDEV.S(_xlfn._xlws.FILTER(X382:X388, ISNUMBER(X382:X388))) / AA382</f>
        <v>1.9459345642251408E-2</v>
      </c>
      <c r="AF382" s="16" t="str">
        <f t="shared" si="1026"/>
        <v>Low Volatility</v>
      </c>
      <c r="AG382" s="14" t="str">
        <f t="shared" si="778"/>
        <v>Weak/Unconfirmed</v>
      </c>
      <c r="AI382" s="131" t="s">
        <v>755</v>
      </c>
      <c r="AJ382" s="131">
        <v>448509</v>
      </c>
      <c r="AK382" s="131">
        <v>448643</v>
      </c>
      <c r="AL382" s="15">
        <f t="shared" si="1004"/>
        <v>46132</v>
      </c>
      <c r="AM382" s="60">
        <f t="shared" si="992"/>
        <v>44.8643</v>
      </c>
      <c r="AN382" s="61">
        <f t="shared" si="993"/>
        <v>6.9999999999978968E-3</v>
      </c>
      <c r="AO382" s="62">
        <f>((AM382-MAX(AM$16:AM382))/MAX(AM$16:AM382))</f>
        <v>0</v>
      </c>
      <c r="AP382" s="16">
        <f t="shared" si="994"/>
        <v>1.5605040874055944E-4</v>
      </c>
      <c r="AQ382" s="153">
        <f t="shared" ref="AQ382" si="1031">AVERAGEIFS(AM382:AM388, AM382:AM388, "&gt;=0")</f>
        <v>44.945385714285706</v>
      </c>
      <c r="AS382" s="16">
        <f t="shared" si="862"/>
        <v>3.9810770167209948E-3</v>
      </c>
      <c r="AT382" s="77">
        <f t="shared" ref="AT382" si="1032">(AQ382-AQ375)/AQ375</f>
        <v>3.6244563076288931E-3</v>
      </c>
      <c r="AU382" s="16" cm="1">
        <f t="array" ref="AU382">_xlfn.STDEV.S(_xlfn._xlws.FILTER(AN382:AN388, ISNUMBER(AN382:AN388))) / AQ382</f>
        <v>6.9275220316718483E-4</v>
      </c>
      <c r="AV382" s="16" t="str">
        <f t="shared" ref="AV382" si="1033">IF(AU382 &lt; 0.02, "Low Volatility",
 IF(AU382 &gt; 0.1, "High Volatility", "Medium Volatility"))</f>
        <v>Low Volatility</v>
      </c>
      <c r="AW382" s="14" t="str">
        <f t="shared" si="922"/>
        <v>Stable</v>
      </c>
    </row>
    <row r="383" spans="1:49" ht="15.75" hidden="1" thickBot="1">
      <c r="A383" s="131" t="s">
        <v>756</v>
      </c>
      <c r="B383" s="131" t="s">
        <v>1091</v>
      </c>
      <c r="C383" s="131" t="s">
        <v>1092</v>
      </c>
      <c r="D383" s="15">
        <v>46133</v>
      </c>
      <c r="E383" s="60">
        <f t="shared" si="876"/>
        <v>6810.98</v>
      </c>
      <c r="F383" s="61">
        <f t="shared" si="877"/>
        <v>-142.70000000000073</v>
      </c>
      <c r="G383" s="62">
        <f>((E383-MAX(E$16:E383))/MAX(E$16:E383))</f>
        <v>-9.6165559706196557E-2</v>
      </c>
      <c r="H383" s="16">
        <f t="shared" si="839"/>
        <v>-2.0521508036032823E-2</v>
      </c>
      <c r="I383" s="153"/>
      <c r="K383" s="16">
        <f t="shared" si="902"/>
        <v>-2.1597884312336918E-2</v>
      </c>
      <c r="L383" s="77">
        <f t="shared" ref="L383:N383" si="1034">L382</f>
        <v>-1.4365956420817125E-2</v>
      </c>
      <c r="M383" s="16">
        <f t="shared" si="1034"/>
        <v>9.2804045957929418E-3</v>
      </c>
      <c r="N383" s="16" t="str">
        <f t="shared" si="1034"/>
        <v>Low Volatility</v>
      </c>
      <c r="O383" s="14" t="str">
        <f t="shared" si="948"/>
        <v>Strong Downtrend</v>
      </c>
      <c r="S383" s="131" t="s">
        <v>756</v>
      </c>
      <c r="T383" s="131" t="s">
        <v>1443</v>
      </c>
      <c r="U383" s="131" t="s">
        <v>1444</v>
      </c>
      <c r="V383" s="15">
        <f t="shared" si="836"/>
        <v>46133</v>
      </c>
      <c r="W383" s="60">
        <f t="shared" si="952"/>
        <v>110.65</v>
      </c>
      <c r="X383" s="61">
        <f t="shared" si="953"/>
        <v>-4.4099999999999966</v>
      </c>
      <c r="Y383" s="62">
        <f>((W383-MAX(W$16:W383))/MAX(W$16:W383))</f>
        <v>-0.31945384094962787</v>
      </c>
      <c r="Z383" s="16">
        <f t="shared" si="954"/>
        <v>-3.8327828958804072E-2</v>
      </c>
      <c r="AA383" s="153"/>
      <c r="AC383" s="16">
        <f t="shared" si="977"/>
        <v>-3.3033295464476108E-2</v>
      </c>
      <c r="AD383" s="16">
        <f t="shared" ref="AD383:AF387" si="1035">AD382</f>
        <v>-2.9458877709365727E-2</v>
      </c>
      <c r="AE383" s="16">
        <f t="shared" si="1035"/>
        <v>1.9459345642251408E-2</v>
      </c>
      <c r="AF383" s="16" t="str">
        <f t="shared" si="1035"/>
        <v>Low Volatility</v>
      </c>
      <c r="AG383" s="14" t="str">
        <f t="shared" si="778"/>
        <v>Strong Downtrend</v>
      </c>
      <c r="AI383" s="131" t="s">
        <v>756</v>
      </c>
      <c r="AJ383" s="131">
        <v>448659</v>
      </c>
      <c r="AK383" s="131">
        <v>448790</v>
      </c>
      <c r="AL383" s="15">
        <f t="shared" si="1004"/>
        <v>46133</v>
      </c>
      <c r="AM383" s="60">
        <f t="shared" si="992"/>
        <v>44.878999999999998</v>
      </c>
      <c r="AN383" s="61">
        <f t="shared" si="993"/>
        <v>1.4699999999997715E-2</v>
      </c>
      <c r="AO383" s="62">
        <f>((AM383-MAX(AM$16:AM383))/MAX(AM$16:AM383))</f>
        <v>0</v>
      </c>
      <c r="AP383" s="16">
        <f t="shared" si="994"/>
        <v>3.2765472770103878E-4</v>
      </c>
      <c r="AQ383" s="153"/>
      <c r="AS383" s="16">
        <f t="shared" si="862"/>
        <v>3.4634570622996954E-3</v>
      </c>
      <c r="AT383" s="77">
        <f t="shared" ref="AT383:AV383" si="1036">AT382</f>
        <v>3.6244563076288931E-3</v>
      </c>
      <c r="AU383" s="16">
        <f t="shared" si="1036"/>
        <v>6.9275220316718483E-4</v>
      </c>
      <c r="AV383" s="16" t="str">
        <f t="shared" si="1036"/>
        <v>Low Volatility</v>
      </c>
      <c r="AW383" s="14" t="str">
        <f t="shared" si="922"/>
        <v>Stable</v>
      </c>
    </row>
    <row r="384" spans="1:49" ht="15.75" hidden="1" thickBot="1">
      <c r="A384" s="131" t="s">
        <v>757</v>
      </c>
      <c r="B384" s="131" t="s">
        <v>1093</v>
      </c>
      <c r="C384" s="131" t="s">
        <v>1094</v>
      </c>
      <c r="D384" s="15">
        <v>46134</v>
      </c>
      <c r="E384" s="60">
        <f t="shared" si="876"/>
        <v>6845.46</v>
      </c>
      <c r="F384" s="61">
        <f t="shared" si="877"/>
        <v>34.480000000000473</v>
      </c>
      <c r="G384" s="62">
        <f>((E384-MAX(E$16:E384))/MAX(E$16:E384))</f>
        <v>-9.158997564908132E-2</v>
      </c>
      <c r="H384" s="16">
        <f t="shared" si="839"/>
        <v>5.0624139257493747E-3</v>
      </c>
      <c r="I384" s="153"/>
      <c r="K384" s="16">
        <f t="shared" si="902"/>
        <v>-6.8233686229504497E-3</v>
      </c>
      <c r="L384" s="77">
        <f t="shared" ref="L384:N384" si="1037">L383</f>
        <v>-1.4365956420817125E-2</v>
      </c>
      <c r="M384" s="16">
        <f t="shared" si="1037"/>
        <v>9.2804045957929418E-3</v>
      </c>
      <c r="N384" s="16" t="str">
        <f t="shared" si="1037"/>
        <v>Low Volatility</v>
      </c>
      <c r="O384" s="14" t="str">
        <f t="shared" si="948"/>
        <v>Weak/Unconfirmed</v>
      </c>
      <c r="S384" s="131" t="s">
        <v>757</v>
      </c>
      <c r="T384" s="131" t="s">
        <v>1445</v>
      </c>
      <c r="U384" s="131" t="s">
        <v>1446</v>
      </c>
      <c r="V384" s="15">
        <f t="shared" si="836"/>
        <v>46134</v>
      </c>
      <c r="W384" s="60">
        <f t="shared" si="952"/>
        <v>112.24</v>
      </c>
      <c r="X384" s="61">
        <f t="shared" si="953"/>
        <v>1.5899999999999892</v>
      </c>
      <c r="Y384" s="62">
        <f>((W384-MAX(W$16:W384))/MAX(W$16:W384))</f>
        <v>-0.30967464173688425</v>
      </c>
      <c r="Z384" s="16">
        <f t="shared" si="954"/>
        <v>1.4369633981021139E-2</v>
      </c>
      <c r="AA384" s="153"/>
      <c r="AC384" s="16">
        <f t="shared" si="977"/>
        <v>-1.2232685030361706E-2</v>
      </c>
      <c r="AD384" s="16">
        <f t="shared" ref="AD384" si="1038">AD382</f>
        <v>-2.9458877709365727E-2</v>
      </c>
      <c r="AE384" s="16">
        <f t="shared" si="1035"/>
        <v>1.9459345642251408E-2</v>
      </c>
      <c r="AF384" s="16" t="str">
        <f t="shared" si="1035"/>
        <v>Low Volatility</v>
      </c>
      <c r="AG384" s="14" t="str">
        <f t="shared" ref="AG384:AG447" si="1039">IF(AND(AC384 &gt; 0.01, AD384 &gt; 0.01), "Strong Uptrend",
 IF(AND(AC384 &lt; -0.01, AD384 &lt; -0.01), "Strong Downtrend",
 IF(ABS(AD384) &lt; 0.005, "Stable", "Weak/Unconfirmed")))</f>
        <v>Strong Downtrend</v>
      </c>
      <c r="AI384" s="131" t="s">
        <v>757</v>
      </c>
      <c r="AJ384" s="131">
        <v>448852</v>
      </c>
      <c r="AK384" s="131">
        <v>449199</v>
      </c>
      <c r="AL384" s="15">
        <f t="shared" si="1004"/>
        <v>46134</v>
      </c>
      <c r="AM384" s="60">
        <f t="shared" si="992"/>
        <v>44.919899999999998</v>
      </c>
      <c r="AN384" s="61">
        <f t="shared" si="993"/>
        <v>4.0900000000000603E-2</v>
      </c>
      <c r="AO384" s="62">
        <f>((AM384-MAX(AM$16:AM384))/MAX(AM$16:AM384))</f>
        <v>0</v>
      </c>
      <c r="AP384" s="16">
        <f t="shared" si="994"/>
        <v>9.1133937921969302E-4</v>
      </c>
      <c r="AQ384" s="153"/>
      <c r="AS384" s="16">
        <f t="shared" si="862"/>
        <v>3.9088166275561727E-3</v>
      </c>
      <c r="AT384" s="77">
        <f t="shared" ref="AT384:AV384" si="1040">AT383</f>
        <v>3.6244563076288931E-3</v>
      </c>
      <c r="AU384" s="16">
        <f t="shared" si="1040"/>
        <v>6.9275220316718483E-4</v>
      </c>
      <c r="AV384" s="16" t="str">
        <f t="shared" si="1040"/>
        <v>Low Volatility</v>
      </c>
      <c r="AW384" s="14" t="str">
        <f t="shared" si="922"/>
        <v>Stable</v>
      </c>
    </row>
    <row r="385" spans="1:49" ht="15.75" hidden="1" thickBot="1">
      <c r="A385" s="131" t="s">
        <v>758</v>
      </c>
      <c r="B385" s="131" t="s">
        <v>1095</v>
      </c>
      <c r="C385" s="131" t="s">
        <v>1096</v>
      </c>
      <c r="D385" s="15">
        <v>46135</v>
      </c>
      <c r="E385" s="60">
        <f t="shared" si="876"/>
        <v>6779.37</v>
      </c>
      <c r="F385" s="61">
        <f t="shared" si="877"/>
        <v>-66.090000000000146</v>
      </c>
      <c r="G385" s="62">
        <f>((E385-MAX(E$16:E385))/MAX(E$16:E385))</f>
        <v>-0.10036028743373163</v>
      </c>
      <c r="H385" s="16">
        <f t="shared" si="839"/>
        <v>-9.6545739804191604E-3</v>
      </c>
      <c r="I385" s="153"/>
      <c r="K385" s="16">
        <f t="shared" si="902"/>
        <v>-1.6319299345312753E-2</v>
      </c>
      <c r="L385" s="77">
        <f t="shared" ref="L385:N385" si="1041">L384</f>
        <v>-1.4365956420817125E-2</v>
      </c>
      <c r="M385" s="16">
        <f t="shared" si="1041"/>
        <v>9.2804045957929418E-3</v>
      </c>
      <c r="N385" s="16" t="str">
        <f t="shared" si="1041"/>
        <v>Low Volatility</v>
      </c>
      <c r="O385" s="14" t="str">
        <f t="shared" si="948"/>
        <v>Strong Downtrend</v>
      </c>
      <c r="S385" s="131" t="s">
        <v>758</v>
      </c>
      <c r="T385" s="131" t="s">
        <v>1447</v>
      </c>
      <c r="U385" s="131" t="s">
        <v>1448</v>
      </c>
      <c r="V385" s="15">
        <f t="shared" si="836"/>
        <v>46135</v>
      </c>
      <c r="W385" s="60">
        <f t="shared" si="952"/>
        <v>109</v>
      </c>
      <c r="X385" s="61">
        <f t="shared" si="953"/>
        <v>-3.2399999999999949</v>
      </c>
      <c r="Y385" s="62">
        <f>((W385-MAX(W$16:W385))/MAX(W$16:W385))</f>
        <v>-0.3296020665477582</v>
      </c>
      <c r="Z385" s="16">
        <f t="shared" si="954"/>
        <v>-2.8866714183891615E-2</v>
      </c>
      <c r="AA385" s="153"/>
      <c r="AC385" s="16">
        <f t="shared" si="977"/>
        <v>-3.4372785258681746E-2</v>
      </c>
      <c r="AD385" s="16">
        <f t="shared" ref="AD385" si="1042">AD382</f>
        <v>-2.9458877709365727E-2</v>
      </c>
      <c r="AE385" s="16">
        <f t="shared" si="1035"/>
        <v>1.9459345642251408E-2</v>
      </c>
      <c r="AF385" s="16" t="str">
        <f t="shared" si="1035"/>
        <v>Low Volatility</v>
      </c>
      <c r="AG385" s="14" t="str">
        <f t="shared" si="1039"/>
        <v>Strong Downtrend</v>
      </c>
      <c r="AI385" s="131" t="s">
        <v>758</v>
      </c>
      <c r="AJ385" s="131">
        <v>449265</v>
      </c>
      <c r="AK385" s="131">
        <v>449251</v>
      </c>
      <c r="AL385" s="15">
        <f t="shared" si="1004"/>
        <v>46135</v>
      </c>
      <c r="AM385" s="60">
        <f t="shared" si="992"/>
        <v>44.9251</v>
      </c>
      <c r="AN385" s="61">
        <f t="shared" si="993"/>
        <v>5.2000000000020918E-3</v>
      </c>
      <c r="AO385" s="62">
        <f>((AM385-MAX(AM$16:AM385))/MAX(AM$16:AM385))</f>
        <v>0</v>
      </c>
      <c r="AP385" s="16">
        <f t="shared" si="994"/>
        <v>1.1576161122358001E-4</v>
      </c>
      <c r="AQ385" s="153"/>
      <c r="AS385" s="16">
        <f t="shared" si="862"/>
        <v>3.82087898092017E-3</v>
      </c>
      <c r="AT385" s="77">
        <f t="shared" ref="AT385:AV385" si="1043">AT384</f>
        <v>3.6244563076288931E-3</v>
      </c>
      <c r="AU385" s="16">
        <f t="shared" si="1043"/>
        <v>6.9275220316718483E-4</v>
      </c>
      <c r="AV385" s="16" t="str">
        <f t="shared" si="1043"/>
        <v>Low Volatility</v>
      </c>
      <c r="AW385" s="14" t="str">
        <f t="shared" si="922"/>
        <v>Stable</v>
      </c>
    </row>
    <row r="386" spans="1:49" ht="15.75" hidden="1" thickBot="1">
      <c r="A386" s="131" t="s">
        <v>759</v>
      </c>
      <c r="B386" s="131" t="s">
        <v>1097</v>
      </c>
      <c r="C386" s="131" t="s">
        <v>1098</v>
      </c>
      <c r="D386" s="15">
        <v>46136</v>
      </c>
      <c r="E386" s="60">
        <f t="shared" si="876"/>
        <v>6815.04</v>
      </c>
      <c r="F386" s="61">
        <f t="shared" si="877"/>
        <v>35.670000000000073</v>
      </c>
      <c r="G386" s="62">
        <f>((E386-MAX(E$16:E386))/MAX(E$16:E386))</f>
        <v>-9.5626787337522265E-2</v>
      </c>
      <c r="H386" s="16">
        <f t="shared" si="839"/>
        <v>5.2615508520703356E-3</v>
      </c>
      <c r="I386" s="153"/>
      <c r="K386" s="16">
        <f t="shared" si="902"/>
        <v>-2.1707487231312102E-2</v>
      </c>
      <c r="L386" s="77">
        <f t="shared" ref="L386:N386" si="1044">L385</f>
        <v>-1.4365956420817125E-2</v>
      </c>
      <c r="M386" s="16">
        <f t="shared" si="1044"/>
        <v>9.2804045957929418E-3</v>
      </c>
      <c r="N386" s="16" t="str">
        <f t="shared" si="1044"/>
        <v>Low Volatility</v>
      </c>
      <c r="O386" s="14" t="str">
        <f t="shared" si="948"/>
        <v>Strong Downtrend</v>
      </c>
      <c r="S386" s="131" t="s">
        <v>759</v>
      </c>
      <c r="T386" s="131" t="s">
        <v>1449</v>
      </c>
      <c r="U386" s="131" t="s">
        <v>1450</v>
      </c>
      <c r="V386" s="15">
        <f t="shared" si="836"/>
        <v>46136</v>
      </c>
      <c r="W386" s="60">
        <f t="shared" si="952"/>
        <v>109.53</v>
      </c>
      <c r="X386" s="61">
        <f t="shared" si="953"/>
        <v>0.53000000000000114</v>
      </c>
      <c r="Y386" s="62">
        <f>((W386-MAX(W$16:W386))/MAX(W$16:W386))</f>
        <v>-0.3263423334768436</v>
      </c>
      <c r="Z386" s="16">
        <f t="shared" si="954"/>
        <v>4.8623853211009283E-3</v>
      </c>
      <c r="AA386" s="153"/>
      <c r="AC386" s="16">
        <f t="shared" si="977"/>
        <v>-5.9828326180257498E-2</v>
      </c>
      <c r="AD386" s="16">
        <f t="shared" ref="AD386" si="1045">AD382</f>
        <v>-2.9458877709365727E-2</v>
      </c>
      <c r="AE386" s="16">
        <f t="shared" si="1035"/>
        <v>1.9459345642251408E-2</v>
      </c>
      <c r="AF386" s="16" t="str">
        <f t="shared" si="1035"/>
        <v>Low Volatility</v>
      </c>
      <c r="AG386" s="14" t="str">
        <f t="shared" si="1039"/>
        <v>Strong Downtrend</v>
      </c>
      <c r="AI386" s="131" t="s">
        <v>759</v>
      </c>
      <c r="AJ386" s="131">
        <v>449475</v>
      </c>
      <c r="AK386" s="131">
        <v>450098</v>
      </c>
      <c r="AL386" s="15">
        <f t="shared" si="1004"/>
        <v>46136</v>
      </c>
      <c r="AM386" s="60">
        <f t="shared" si="992"/>
        <v>45.009799999999998</v>
      </c>
      <c r="AN386" s="61">
        <f t="shared" si="993"/>
        <v>8.4699999999997999E-2</v>
      </c>
      <c r="AO386" s="62">
        <f>((AM386-MAX(AM$16:AM386))/MAX(AM$16:AM386))</f>
        <v>0</v>
      </c>
      <c r="AP386" s="16">
        <f t="shared" si="994"/>
        <v>1.8853602996987875E-3</v>
      </c>
      <c r="AQ386" s="153"/>
      <c r="AS386" s="16">
        <f t="shared" si="862"/>
        <v>3.3996696189916979E-3</v>
      </c>
      <c r="AT386" s="77">
        <f t="shared" ref="AT386:AV386" si="1046">AT385</f>
        <v>3.6244563076288931E-3</v>
      </c>
      <c r="AU386" s="16">
        <f t="shared" si="1046"/>
        <v>6.9275220316718483E-4</v>
      </c>
      <c r="AV386" s="16" t="str">
        <f t="shared" si="1046"/>
        <v>Low Volatility</v>
      </c>
      <c r="AW386" s="14" t="str">
        <f t="shared" si="922"/>
        <v>Stable</v>
      </c>
    </row>
    <row r="387" spans="1:49" ht="15.75" hidden="1" thickBot="1">
      <c r="A387" s="131" t="s">
        <v>760</v>
      </c>
      <c r="B387" s="131" t="s">
        <v>1097</v>
      </c>
      <c r="C387" s="131" t="s">
        <v>1098</v>
      </c>
      <c r="D387" s="15">
        <v>46137</v>
      </c>
      <c r="E387" s="60">
        <f t="shared" si="876"/>
        <v>6815.04</v>
      </c>
      <c r="F387" s="61">
        <f t="shared" si="877"/>
        <v>0</v>
      </c>
      <c r="G387" s="62">
        <f>((E387-MAX(E$16:E387))/MAX(E$16:E387))</f>
        <v>-9.5626787337522265E-2</v>
      </c>
      <c r="H387" s="16">
        <f t="shared" si="839"/>
        <v>0</v>
      </c>
      <c r="I387" s="153"/>
      <c r="K387" s="16">
        <f t="shared" si="902"/>
        <v>-2.1707487231312102E-2</v>
      </c>
      <c r="L387" s="77">
        <f t="shared" ref="L387:N387" si="1047">L386</f>
        <v>-1.4365956420817125E-2</v>
      </c>
      <c r="M387" s="16">
        <f t="shared" si="1047"/>
        <v>9.2804045957929418E-3</v>
      </c>
      <c r="N387" s="16" t="str">
        <f t="shared" si="1047"/>
        <v>Low Volatility</v>
      </c>
      <c r="O387" s="14" t="str">
        <f t="shared" si="948"/>
        <v>Strong Downtrend</v>
      </c>
      <c r="S387" s="131" t="s">
        <v>760</v>
      </c>
      <c r="T387" s="131" t="s">
        <v>1449</v>
      </c>
      <c r="U387" s="131" t="s">
        <v>1450</v>
      </c>
      <c r="V387" s="15">
        <f t="shared" si="836"/>
        <v>46137</v>
      </c>
      <c r="W387" s="60">
        <f t="shared" si="952"/>
        <v>109.53</v>
      </c>
      <c r="X387" s="61">
        <f t="shared" si="953"/>
        <v>0</v>
      </c>
      <c r="Y387" s="62">
        <f>((W387-MAX(W$16:W387))/MAX(W$16:W387))</f>
        <v>-0.3263423334768436</v>
      </c>
      <c r="Z387" s="16">
        <f t="shared" si="954"/>
        <v>0</v>
      </c>
      <c r="AA387" s="153"/>
      <c r="AC387" s="16">
        <f t="shared" si="977"/>
        <v>-5.9828326180257498E-2</v>
      </c>
      <c r="AD387" s="16">
        <f t="shared" ref="AD387" si="1048">AD382</f>
        <v>-2.9458877709365727E-2</v>
      </c>
      <c r="AE387" s="16">
        <f t="shared" si="1035"/>
        <v>1.9459345642251408E-2</v>
      </c>
      <c r="AF387" s="16" t="str">
        <f t="shared" si="1035"/>
        <v>Low Volatility</v>
      </c>
      <c r="AG387" s="14" t="str">
        <f t="shared" si="1039"/>
        <v>Strong Downtrend</v>
      </c>
      <c r="AI387" s="131" t="s">
        <v>760</v>
      </c>
      <c r="AJ387" s="131">
        <v>449475</v>
      </c>
      <c r="AK387" s="131">
        <v>450098</v>
      </c>
      <c r="AL387" s="15">
        <f t="shared" si="1004"/>
        <v>46137</v>
      </c>
      <c r="AM387" s="60">
        <f t="shared" si="992"/>
        <v>45.009799999999998</v>
      </c>
      <c r="AN387" s="61">
        <f t="shared" si="993"/>
        <v>0</v>
      </c>
      <c r="AO387" s="62">
        <f>((AM387-MAX(AM$16:AM387))/MAX(AM$16:AM387))</f>
        <v>0</v>
      </c>
      <c r="AP387" s="16">
        <f t="shared" si="994"/>
        <v>0</v>
      </c>
      <c r="AQ387" s="153"/>
      <c r="AS387" s="16">
        <f t="shared" si="862"/>
        <v>3.3996696189916979E-3</v>
      </c>
      <c r="AT387" s="77">
        <f t="shared" ref="AT387:AV387" si="1049">AT386</f>
        <v>3.6244563076288931E-3</v>
      </c>
      <c r="AU387" s="16">
        <f t="shared" si="1049"/>
        <v>6.9275220316718483E-4</v>
      </c>
      <c r="AV387" s="16" t="str">
        <f t="shared" si="1049"/>
        <v>Low Volatility</v>
      </c>
      <c r="AW387" s="14" t="str">
        <f t="shared" si="922"/>
        <v>Stable</v>
      </c>
    </row>
    <row r="388" spans="1:49" ht="15.75" hidden="1" thickBot="1">
      <c r="A388" s="131" t="s">
        <v>761</v>
      </c>
      <c r="B388" s="131" t="s">
        <v>1097</v>
      </c>
      <c r="C388" s="131" t="s">
        <v>1098</v>
      </c>
      <c r="D388" s="15">
        <v>46138</v>
      </c>
      <c r="E388" s="60">
        <f t="shared" si="876"/>
        <v>6815.04</v>
      </c>
      <c r="F388" s="61">
        <f t="shared" si="877"/>
        <v>0</v>
      </c>
      <c r="G388" s="62">
        <f>((E388-MAX(E$16:E388))/MAX(E$16:E388))</f>
        <v>-9.5626787337522265E-2</v>
      </c>
      <c r="H388" s="16">
        <f t="shared" si="839"/>
        <v>0</v>
      </c>
      <c r="I388" s="153"/>
      <c r="K388" s="16">
        <f t="shared" si="902"/>
        <v>-2.1707487231312102E-2</v>
      </c>
      <c r="L388" s="77">
        <f t="shared" ref="L388:N388" si="1050">L387</f>
        <v>-1.4365956420817125E-2</v>
      </c>
      <c r="M388" s="16">
        <f t="shared" si="1050"/>
        <v>9.2804045957929418E-3</v>
      </c>
      <c r="N388" s="16" t="str">
        <f t="shared" si="1050"/>
        <v>Low Volatility</v>
      </c>
      <c r="O388" s="14" t="str">
        <f t="shared" si="948"/>
        <v>Strong Downtrend</v>
      </c>
      <c r="S388" s="131" t="s">
        <v>761</v>
      </c>
      <c r="T388" s="131" t="s">
        <v>1449</v>
      </c>
      <c r="U388" s="131" t="s">
        <v>1450</v>
      </c>
      <c r="V388" s="15">
        <f t="shared" si="836"/>
        <v>46138</v>
      </c>
      <c r="W388" s="60">
        <f t="shared" si="952"/>
        <v>109.53</v>
      </c>
      <c r="X388" s="61">
        <f t="shared" si="953"/>
        <v>0</v>
      </c>
      <c r="Y388" s="62">
        <f>((W388-MAX(W$16:W388))/MAX(W$16:W388))</f>
        <v>-0.3263423334768436</v>
      </c>
      <c r="Z388" s="16">
        <f t="shared" si="954"/>
        <v>0</v>
      </c>
      <c r="AA388" s="153"/>
      <c r="AC388" s="16">
        <f t="shared" si="977"/>
        <v>-5.9828326180257498E-2</v>
      </c>
      <c r="AD388" s="16">
        <f t="shared" ref="AD388:AE388" si="1051">AD382</f>
        <v>-2.9458877709365727E-2</v>
      </c>
      <c r="AE388" s="16">
        <f t="shared" si="1051"/>
        <v>1.9459345642251408E-2</v>
      </c>
      <c r="AF388" s="16" t="str">
        <f t="shared" ref="AF388" si="1052">IF(AE388 &lt; 0.02, "Low Volatility",
 IF(AE388 &gt; 0.1, "High Volatility", "Medium Volatility"))</f>
        <v>Low Volatility</v>
      </c>
      <c r="AG388" s="14" t="str">
        <f t="shared" si="1039"/>
        <v>Strong Downtrend</v>
      </c>
      <c r="AI388" s="131" t="s">
        <v>761</v>
      </c>
      <c r="AJ388" s="131">
        <v>449475</v>
      </c>
      <c r="AK388" s="131">
        <v>450098</v>
      </c>
      <c r="AL388" s="15">
        <f t="shared" si="1004"/>
        <v>46138</v>
      </c>
      <c r="AM388" s="60">
        <f t="shared" si="992"/>
        <v>45.009799999999998</v>
      </c>
      <c r="AN388" s="61">
        <f t="shared" si="993"/>
        <v>0</v>
      </c>
      <c r="AO388" s="62">
        <f>((AM388-MAX(AM$16:AM388))/MAX(AM$16:AM388))</f>
        <v>0</v>
      </c>
      <c r="AP388" s="16">
        <f t="shared" si="994"/>
        <v>0</v>
      </c>
      <c r="AQ388" s="153"/>
      <c r="AS388" s="16">
        <f t="shared" si="862"/>
        <v>3.3996696189916979E-3</v>
      </c>
      <c r="AT388" s="77">
        <f t="shared" ref="AT388:AV388" si="1053">AT387</f>
        <v>3.6244563076288931E-3</v>
      </c>
      <c r="AU388" s="16">
        <f t="shared" si="1053"/>
        <v>6.9275220316718483E-4</v>
      </c>
      <c r="AV388" s="16" t="str">
        <f t="shared" si="1053"/>
        <v>Low Volatility</v>
      </c>
      <c r="AW388" s="14" t="str">
        <f t="shared" si="922"/>
        <v>Stable</v>
      </c>
    </row>
    <row r="389" spans="1:49" ht="15.75" hidden="1" thickBot="1">
      <c r="A389" s="131" t="s">
        <v>762</v>
      </c>
      <c r="B389" s="131" t="s">
        <v>1099</v>
      </c>
      <c r="C389" s="131" t="s">
        <v>1100</v>
      </c>
      <c r="D389" s="15">
        <v>46139</v>
      </c>
      <c r="E389" s="60">
        <f t="shared" si="876"/>
        <v>6780.22</v>
      </c>
      <c r="F389" s="61">
        <f t="shared" si="877"/>
        <v>-34.819999999999709</v>
      </c>
      <c r="G389" s="62">
        <f>((E389-MAX(E$16:E389))/MAX(E$16:E389))</f>
        <v>-0.10024749026295003</v>
      </c>
      <c r="H389" s="16">
        <f t="shared" si="839"/>
        <v>-5.1092876931022723E-3</v>
      </c>
      <c r="I389" s="153">
        <f>AVERAGEIFS(E389:E396, E389:E396, "&gt;=0")</f>
        <v>6678.0812500000002</v>
      </c>
      <c r="K389" s="16">
        <f t="shared" si="902"/>
        <v>-2.4945065059076638E-2</v>
      </c>
      <c r="L389" s="77">
        <f t="shared" ref="L389" si="1054">(I389-I382)/I382</f>
        <v>-2.1792249467772768E-2</v>
      </c>
      <c r="M389" s="16" cm="1">
        <f t="array" ref="M389">_xlfn.STDEV.S(_xlfn._xlws.FILTER(F389:F395, ISNUMBER(F389:F395))) / I389</f>
        <v>1.1367849769794032E-2</v>
      </c>
      <c r="N389" s="16" t="str" cm="1">
        <f t="array" ref="N389">_xlfn.LET(
  _xlpm.c, M210,
  IFERROR(
    _xlfn.IFS(_xlpm.c&lt;0.02,"Low Volatility",
        _xlpm.c&gt;0.1,"High Volatility",
        TRUE,"Medium Volatility"),
    "Insufficient data"
  )
)</f>
        <v>Low Volatility</v>
      </c>
      <c r="O389" s="14" t="str">
        <f t="shared" si="948"/>
        <v>Strong Downtrend</v>
      </c>
      <c r="S389" s="131" t="s">
        <v>762</v>
      </c>
      <c r="T389" s="131" t="s">
        <v>1451</v>
      </c>
      <c r="U389" s="131" t="s">
        <v>1452</v>
      </c>
      <c r="V389" s="15">
        <f t="shared" si="836"/>
        <v>46139</v>
      </c>
      <c r="W389" s="60">
        <f t="shared" si="952"/>
        <v>109.34</v>
      </c>
      <c r="X389" s="61">
        <f t="shared" si="953"/>
        <v>-0.18999999999999773</v>
      </c>
      <c r="Y389" s="62">
        <f>((W389-MAX(W$16:W389))/MAX(W$16:W389))</f>
        <v>-0.32751091703056767</v>
      </c>
      <c r="Z389" s="16">
        <f t="shared" si="954"/>
        <v>-1.7346845613073836E-3</v>
      </c>
      <c r="AA389" s="153">
        <f t="shared" ref="AA389" si="1055">AVERAGEIFS(W389:W395, W389:W395, "&gt;=0")</f>
        <v>107.78428571428572</v>
      </c>
      <c r="AC389" s="16">
        <f t="shared" si="977"/>
        <v>-4.9713193116634788E-2</v>
      </c>
      <c r="AD389" s="66">
        <f t="shared" ref="AD389" si="1056">(AA389-AA382)/AA382</f>
        <v>-2.7142378213889637E-2</v>
      </c>
      <c r="AE389" s="16" cm="1">
        <f t="array" ref="AE389">_xlfn.STDEV.S(_xlfn._xlws.FILTER(X389:X395, ISNUMBER(X389:X395))) / AA389</f>
        <v>2.298455461375452E-2</v>
      </c>
      <c r="AF389" s="16" t="str">
        <f t="shared" ref="AF389:AF394" si="1057">AF388</f>
        <v>Low Volatility</v>
      </c>
      <c r="AG389" s="14" t="str">
        <f t="shared" si="1039"/>
        <v>Strong Downtrend</v>
      </c>
      <c r="AI389" s="131" t="s">
        <v>762</v>
      </c>
      <c r="AJ389" s="131">
        <v>450165</v>
      </c>
      <c r="AK389" s="131">
        <v>450347</v>
      </c>
      <c r="AL389" s="15">
        <f t="shared" si="1004"/>
        <v>46139</v>
      </c>
      <c r="AM389" s="60">
        <f t="shared" si="992"/>
        <v>45.034700000000001</v>
      </c>
      <c r="AN389" s="61">
        <f t="shared" si="993"/>
        <v>2.4900000000002365E-2</v>
      </c>
      <c r="AO389" s="62">
        <f>((AM389-MAX(AM$16:AM389))/MAX(AM$16:AM389))</f>
        <v>0</v>
      </c>
      <c r="AP389" s="16">
        <f t="shared" si="994"/>
        <v>5.5321285586699704E-4</v>
      </c>
      <c r="AQ389" s="153">
        <f t="shared" ref="AQ389" si="1058">AVERAGEIFS(AM389:AM395, AM389:AM395, "&gt;=0")</f>
        <v>45.133928571428562</v>
      </c>
      <c r="AS389" s="16">
        <f t="shared" si="862"/>
        <v>3.7981201088616288E-3</v>
      </c>
      <c r="AT389" s="77">
        <f t="shared" ref="AT389" si="1059">(AQ389-AQ382)/AQ382</f>
        <v>4.1949324529420746E-3</v>
      </c>
      <c r="AU389" s="16" cm="1">
        <f t="array" ref="AU389">_xlfn.STDEV.S(_xlfn._xlws.FILTER(AN389:AN395, ISNUMBER(AN389:AN395))) / AQ389</f>
        <v>6.9591148265308732E-4</v>
      </c>
      <c r="AV389" s="16" t="str">
        <f t="shared" ref="AV389" si="1060">IF(AU389 &lt; 0.02, "Low Volatility",
 IF(AU389 &gt; 0.1, "High Volatility", "Medium Volatility"))</f>
        <v>Low Volatility</v>
      </c>
      <c r="AW389" s="14" t="str">
        <f t="shared" si="922"/>
        <v>Stable</v>
      </c>
    </row>
    <row r="390" spans="1:49" ht="15.75" hidden="1" thickBot="1">
      <c r="A390" s="131" t="s">
        <v>763</v>
      </c>
      <c r="B390" s="131" t="s">
        <v>1100</v>
      </c>
      <c r="C390" s="131" t="s">
        <v>1101</v>
      </c>
      <c r="D390" s="15">
        <v>46140</v>
      </c>
      <c r="E390" s="60">
        <f t="shared" si="876"/>
        <v>6656.37</v>
      </c>
      <c r="F390" s="61">
        <f t="shared" si="877"/>
        <v>-123.85000000000036</v>
      </c>
      <c r="G390" s="62">
        <f>((E390-MAX(E$16:E390))/MAX(E$16:E390))</f>
        <v>-0.11668270155859146</v>
      </c>
      <c r="H390" s="16">
        <f t="shared" si="839"/>
        <v>-1.8266368937881125E-2</v>
      </c>
      <c r="I390" s="153"/>
      <c r="K390" s="16">
        <f t="shared" si="902"/>
        <v>-2.2700110703599143E-2</v>
      </c>
      <c r="L390" s="77">
        <f t="shared" ref="L390:N390" si="1061">L389</f>
        <v>-2.1792249467772768E-2</v>
      </c>
      <c r="M390" s="16">
        <f t="shared" si="1061"/>
        <v>1.1367849769794032E-2</v>
      </c>
      <c r="N390" s="16" t="str">
        <f t="shared" si="1061"/>
        <v>Low Volatility</v>
      </c>
      <c r="O390" s="14" t="str">
        <f t="shared" si="948"/>
        <v>Strong Downtrend</v>
      </c>
      <c r="S390" s="131" t="s">
        <v>763</v>
      </c>
      <c r="T390" s="131" t="s">
        <v>1453</v>
      </c>
      <c r="U390" s="131" t="s">
        <v>1454</v>
      </c>
      <c r="V390" s="15">
        <f t="shared" si="836"/>
        <v>46140</v>
      </c>
      <c r="W390" s="60">
        <f t="shared" si="952"/>
        <v>105.9</v>
      </c>
      <c r="X390" s="61">
        <f t="shared" si="953"/>
        <v>-3.4399999999999977</v>
      </c>
      <c r="Y390" s="62">
        <f>((W390-MAX(W$16:W390))/MAX(W$16:W390))</f>
        <v>-0.34866842979273016</v>
      </c>
      <c r="Z390" s="16">
        <f t="shared" si="954"/>
        <v>-3.1461496250228621E-2</v>
      </c>
      <c r="AA390" s="153"/>
      <c r="AC390" s="16">
        <f t="shared" si="977"/>
        <v>-4.2928151830094893E-2</v>
      </c>
      <c r="AD390" s="16">
        <f t="shared" ref="AD390" si="1062">AD389</f>
        <v>-2.7142378213889637E-2</v>
      </c>
      <c r="AE390" s="16">
        <f t="shared" ref="AE390:AE394" si="1063">AE389</f>
        <v>2.298455461375452E-2</v>
      </c>
      <c r="AF390" s="16" t="str">
        <f t="shared" si="1057"/>
        <v>Low Volatility</v>
      </c>
      <c r="AG390" s="14" t="str">
        <f t="shared" si="1039"/>
        <v>Strong Downtrend</v>
      </c>
      <c r="AI390" s="131" t="s">
        <v>763</v>
      </c>
      <c r="AJ390" s="131">
        <v>441508</v>
      </c>
      <c r="AK390" s="131">
        <v>450490</v>
      </c>
      <c r="AL390" s="15">
        <f t="shared" si="1004"/>
        <v>46140</v>
      </c>
      <c r="AM390" s="60">
        <f t="shared" si="992"/>
        <v>45.048999999999999</v>
      </c>
      <c r="AN390" s="61">
        <f t="shared" si="993"/>
        <v>1.4299999999998647E-2</v>
      </c>
      <c r="AO390" s="62">
        <f>((AM390-MAX(AM$16:AM390))/MAX(AM$16:AM390))</f>
        <v>0</v>
      </c>
      <c r="AP390" s="16">
        <f t="shared" si="994"/>
        <v>3.1753292461143622E-4</v>
      </c>
      <c r="AQ390" s="153"/>
      <c r="AS390" s="16">
        <f t="shared" si="862"/>
        <v>3.7879631899106867E-3</v>
      </c>
      <c r="AT390" s="77">
        <f t="shared" ref="AT390:AV390" si="1064">AT389</f>
        <v>4.1949324529420746E-3</v>
      </c>
      <c r="AU390" s="16">
        <f t="shared" si="1064"/>
        <v>6.9591148265308732E-4</v>
      </c>
      <c r="AV390" s="16" t="str">
        <f t="shared" si="1064"/>
        <v>Low Volatility</v>
      </c>
      <c r="AW390" s="14" t="str">
        <f t="shared" si="922"/>
        <v>Stable</v>
      </c>
    </row>
    <row r="391" spans="1:49" ht="15.75" hidden="1" thickBot="1">
      <c r="A391" s="131" t="s">
        <v>764</v>
      </c>
      <c r="B391" s="131" t="s">
        <v>1102</v>
      </c>
      <c r="C391" s="131" t="s">
        <v>1103</v>
      </c>
      <c r="D391" s="15">
        <v>46141</v>
      </c>
      <c r="E391" s="60">
        <f t="shared" si="876"/>
        <v>6591.35</v>
      </c>
      <c r="F391" s="61">
        <f t="shared" si="877"/>
        <v>-65.019999999999527</v>
      </c>
      <c r="G391" s="62">
        <f>((E391-MAX(E$16:E391))/MAX(E$16:E391))</f>
        <v>-0.12531102161061081</v>
      </c>
      <c r="H391" s="16">
        <f t="shared" si="839"/>
        <v>-9.7680868100780954E-3</v>
      </c>
      <c r="I391" s="153"/>
      <c r="K391" s="16">
        <f t="shared" si="902"/>
        <v>-3.712095315727499E-2</v>
      </c>
      <c r="L391" s="77">
        <f t="shared" ref="L391:N391" si="1065">L390</f>
        <v>-2.1792249467772768E-2</v>
      </c>
      <c r="M391" s="16">
        <f t="shared" si="1065"/>
        <v>1.1367849769794032E-2</v>
      </c>
      <c r="N391" s="16" t="str">
        <f t="shared" si="1065"/>
        <v>Low Volatility</v>
      </c>
      <c r="O391" s="14" t="str">
        <f t="shared" si="948"/>
        <v>Strong Downtrend</v>
      </c>
      <c r="S391" s="131" t="s">
        <v>764</v>
      </c>
      <c r="T391" s="131" t="s">
        <v>1455</v>
      </c>
      <c r="U391" s="131" t="s">
        <v>1456</v>
      </c>
      <c r="V391" s="15">
        <f t="shared" si="836"/>
        <v>46141</v>
      </c>
      <c r="W391" s="60">
        <f t="shared" si="952"/>
        <v>103.49</v>
      </c>
      <c r="X391" s="61">
        <f t="shared" si="953"/>
        <v>-2.4100000000000108</v>
      </c>
      <c r="Y391" s="62">
        <f>((W391-MAX(W$16:W391))/MAX(W$16:W391))</f>
        <v>-0.36349098960575688</v>
      </c>
      <c r="Z391" s="16">
        <f t="shared" si="954"/>
        <v>-2.2757318224740423E-2</v>
      </c>
      <c r="AA391" s="153"/>
      <c r="AC391" s="16">
        <f t="shared" si="977"/>
        <v>-7.7957947255880261E-2</v>
      </c>
      <c r="AD391" s="16">
        <f t="shared" ref="AD391" si="1066">AD389</f>
        <v>-2.7142378213889637E-2</v>
      </c>
      <c r="AE391" s="16">
        <f t="shared" si="1063"/>
        <v>2.298455461375452E-2</v>
      </c>
      <c r="AF391" s="16" t="str">
        <f t="shared" si="1057"/>
        <v>Low Volatility</v>
      </c>
      <c r="AG391" s="14" t="str">
        <f t="shared" si="1039"/>
        <v>Strong Downtrend</v>
      </c>
      <c r="AI391" s="131" t="s">
        <v>764</v>
      </c>
      <c r="AJ391" s="131">
        <v>450497</v>
      </c>
      <c r="AK391" s="131">
        <v>451137</v>
      </c>
      <c r="AL391" s="15">
        <f t="shared" si="1004"/>
        <v>46141</v>
      </c>
      <c r="AM391" s="60">
        <f t="shared" si="992"/>
        <v>45.113700000000001</v>
      </c>
      <c r="AN391" s="61">
        <f t="shared" si="993"/>
        <v>6.4700000000001978E-2</v>
      </c>
      <c r="AO391" s="62">
        <f>((AM391-MAX(AM$16:AM391))/MAX(AM$16:AM391))</f>
        <v>0</v>
      </c>
      <c r="AP391" s="16">
        <f t="shared" si="994"/>
        <v>1.4362139004195872E-3</v>
      </c>
      <c r="AQ391" s="153"/>
      <c r="AS391" s="16">
        <f t="shared" si="862"/>
        <v>4.3143462029079111E-3</v>
      </c>
      <c r="AT391" s="77">
        <f t="shared" ref="AT391:AV391" si="1067">AT390</f>
        <v>4.1949324529420746E-3</v>
      </c>
      <c r="AU391" s="16">
        <f t="shared" si="1067"/>
        <v>6.9591148265308732E-4</v>
      </c>
      <c r="AV391" s="16" t="str">
        <f t="shared" si="1067"/>
        <v>Low Volatility</v>
      </c>
      <c r="AW391" s="14" t="str">
        <f t="shared" si="922"/>
        <v>Stable</v>
      </c>
    </row>
    <row r="392" spans="1:49" ht="15.75" hidden="1" thickBot="1">
      <c r="A392" s="131" t="s">
        <v>765</v>
      </c>
      <c r="B392" s="131" t="s">
        <v>1104</v>
      </c>
      <c r="C392" s="131" t="s">
        <v>1105</v>
      </c>
      <c r="D392" s="15">
        <v>46142</v>
      </c>
      <c r="E392" s="60">
        <f t="shared" si="876"/>
        <v>6715.58</v>
      </c>
      <c r="F392" s="61">
        <f t="shared" si="877"/>
        <v>124.22999999999956</v>
      </c>
      <c r="G392" s="62">
        <f>((E392-MAX(E$16:E392))/MAX(E$16:E392))</f>
        <v>-0.10882538334450244</v>
      </c>
      <c r="H392" s="16">
        <f t="shared" si="839"/>
        <v>1.8847428827174943E-2</v>
      </c>
      <c r="I392" s="153"/>
      <c r="K392" s="16">
        <f t="shared" si="902"/>
        <v>-9.4094288997355162E-3</v>
      </c>
      <c r="L392" s="77">
        <f t="shared" ref="L392:N392" si="1068">L391</f>
        <v>-2.1792249467772768E-2</v>
      </c>
      <c r="M392" s="16">
        <f t="shared" si="1068"/>
        <v>1.1367849769794032E-2</v>
      </c>
      <c r="N392" s="16" t="str">
        <f t="shared" si="1068"/>
        <v>Low Volatility</v>
      </c>
      <c r="O392" s="14" t="str">
        <f t="shared" si="948"/>
        <v>Weak/Unconfirmed</v>
      </c>
      <c r="S392" s="131" t="s">
        <v>765</v>
      </c>
      <c r="T392" s="131" t="s">
        <v>1457</v>
      </c>
      <c r="U392" s="131" t="s">
        <v>1458</v>
      </c>
      <c r="V392" s="15">
        <f t="shared" si="836"/>
        <v>46142</v>
      </c>
      <c r="W392" s="60">
        <f t="shared" si="952"/>
        <v>107.2</v>
      </c>
      <c r="X392" s="61">
        <f t="shared" si="953"/>
        <v>3.710000000000008</v>
      </c>
      <c r="Y392" s="62">
        <f>((W392-MAX(W$16:W392))/MAX(W$16:W392))</f>
        <v>-0.34067285810935483</v>
      </c>
      <c r="Z392" s="16">
        <f t="shared" si="954"/>
        <v>3.5848874287370838E-2</v>
      </c>
      <c r="AA392" s="153"/>
      <c r="AC392" s="16">
        <f t="shared" si="977"/>
        <v>-1.6513761467889881E-2</v>
      </c>
      <c r="AD392" s="16">
        <f t="shared" ref="AD392" si="1069">AD389</f>
        <v>-2.7142378213889637E-2</v>
      </c>
      <c r="AE392" s="16">
        <f t="shared" si="1063"/>
        <v>2.298455461375452E-2</v>
      </c>
      <c r="AF392" s="16" t="str">
        <f t="shared" si="1057"/>
        <v>Low Volatility</v>
      </c>
      <c r="AG392" s="14" t="str">
        <f t="shared" si="1039"/>
        <v>Strong Downtrend</v>
      </c>
      <c r="AI392" s="131" t="s">
        <v>765</v>
      </c>
      <c r="AJ392" s="131">
        <v>451168</v>
      </c>
      <c r="AK392" s="131">
        <v>451863</v>
      </c>
      <c r="AL392" s="15">
        <f t="shared" si="1004"/>
        <v>46142</v>
      </c>
      <c r="AM392" s="60">
        <f t="shared" si="992"/>
        <v>45.186300000000003</v>
      </c>
      <c r="AN392" s="61">
        <f t="shared" si="993"/>
        <v>7.260000000000133E-2</v>
      </c>
      <c r="AO392" s="62">
        <f>((AM392-MAX(AM$16:AM392))/MAX(AM$16:AM392))</f>
        <v>0</v>
      </c>
      <c r="AP392" s="16">
        <f t="shared" si="994"/>
        <v>1.6092672514114632E-3</v>
      </c>
      <c r="AQ392" s="153"/>
      <c r="AS392" s="16">
        <f t="shared" si="862"/>
        <v>5.8141217270524124E-3</v>
      </c>
      <c r="AT392" s="77">
        <f t="shared" ref="AT392:AV392" si="1070">AT391</f>
        <v>4.1949324529420746E-3</v>
      </c>
      <c r="AU392" s="16">
        <f t="shared" si="1070"/>
        <v>6.9591148265308732E-4</v>
      </c>
      <c r="AV392" s="16" t="str">
        <f t="shared" si="1070"/>
        <v>Low Volatility</v>
      </c>
      <c r="AW392" s="14" t="str">
        <f t="shared" si="922"/>
        <v>Stable</v>
      </c>
    </row>
    <row r="393" spans="1:49" ht="15.75" hidden="1" thickBot="1">
      <c r="A393" s="131" t="s">
        <v>766</v>
      </c>
      <c r="B393" s="131" t="s">
        <v>1106</v>
      </c>
      <c r="C393" s="131" t="s">
        <v>1107</v>
      </c>
      <c r="D393" s="15">
        <v>46143</v>
      </c>
      <c r="E393" s="60">
        <f t="shared" si="876"/>
        <v>6703.28</v>
      </c>
      <c r="F393" s="61">
        <f t="shared" si="877"/>
        <v>-12.300000000000182</v>
      </c>
      <c r="G393" s="62">
        <f>((E393-MAX(E$16:E393))/MAX(E$16:E393))</f>
        <v>-0.11045762475698843</v>
      </c>
      <c r="H393" s="16">
        <f t="shared" si="839"/>
        <v>-1.8315618308471021E-3</v>
      </c>
      <c r="I393" s="153"/>
      <c r="K393" s="16">
        <f t="shared" si="902"/>
        <v>-1.6399023336620213E-2</v>
      </c>
      <c r="L393" s="77">
        <f t="shared" ref="L393:N393" si="1071">L392</f>
        <v>-2.1792249467772768E-2</v>
      </c>
      <c r="M393" s="16">
        <f t="shared" si="1071"/>
        <v>1.1367849769794032E-2</v>
      </c>
      <c r="N393" s="16" t="str">
        <f t="shared" si="1071"/>
        <v>Low Volatility</v>
      </c>
      <c r="O393" s="14" t="str">
        <f t="shared" si="948"/>
        <v>Strong Downtrend</v>
      </c>
      <c r="S393" s="131" t="s">
        <v>766</v>
      </c>
      <c r="T393" s="131" t="s">
        <v>1458</v>
      </c>
      <c r="U393" s="131" t="s">
        <v>1459</v>
      </c>
      <c r="V393" s="15">
        <f t="shared" si="836"/>
        <v>46143</v>
      </c>
      <c r="W393" s="60">
        <f t="shared" si="952"/>
        <v>109.52</v>
      </c>
      <c r="X393" s="61">
        <f t="shared" si="953"/>
        <v>2.3199999999999932</v>
      </c>
      <c r="Y393" s="62">
        <f>((W393-MAX(W$16:W393))/MAX(W$16:W393))</f>
        <v>-0.32640383787440808</v>
      </c>
      <c r="Z393" s="16">
        <f t="shared" si="954"/>
        <v>2.1641791044776055E-2</v>
      </c>
      <c r="AA393" s="153"/>
      <c r="AC393" s="16">
        <f t="shared" si="977"/>
        <v>-9.1299187437278515E-5</v>
      </c>
      <c r="AD393" s="16">
        <f t="shared" ref="AD393" si="1072">AD389</f>
        <v>-2.7142378213889637E-2</v>
      </c>
      <c r="AE393" s="16">
        <f t="shared" si="1063"/>
        <v>2.298455461375452E-2</v>
      </c>
      <c r="AF393" s="16" t="str">
        <f t="shared" si="1057"/>
        <v>Low Volatility</v>
      </c>
      <c r="AG393" s="14" t="str">
        <f t="shared" si="1039"/>
        <v>Weak/Unconfirmed</v>
      </c>
      <c r="AI393" s="131" t="s">
        <v>766</v>
      </c>
      <c r="AJ393" s="131">
        <v>451853</v>
      </c>
      <c r="AK393" s="131">
        <v>451846</v>
      </c>
      <c r="AL393" s="15">
        <f t="shared" si="1004"/>
        <v>46143</v>
      </c>
      <c r="AM393" s="60">
        <f t="shared" si="992"/>
        <v>45.184600000000003</v>
      </c>
      <c r="AN393" s="61">
        <f t="shared" si="993"/>
        <v>-1.6999999999995907E-3</v>
      </c>
      <c r="AO393" s="62">
        <f>((AM393-MAX(AM$16:AM393))/MAX(AM$16:AM393))</f>
        <v>-3.7622022604187348E-5</v>
      </c>
      <c r="AP393" s="16">
        <f t="shared" si="994"/>
        <v>-3.7622022604187348E-5</v>
      </c>
      <c r="AQ393" s="153"/>
      <c r="AS393" s="16">
        <f t="shared" si="862"/>
        <v>3.8835986829535954E-3</v>
      </c>
      <c r="AT393" s="77">
        <f t="shared" ref="AT393:AV393" si="1073">AT392</f>
        <v>4.1949324529420746E-3</v>
      </c>
      <c r="AU393" s="16">
        <f t="shared" si="1073"/>
        <v>6.9591148265308732E-4</v>
      </c>
      <c r="AV393" s="16" t="str">
        <f t="shared" si="1073"/>
        <v>Low Volatility</v>
      </c>
      <c r="AW393" s="14" t="str">
        <f t="shared" si="922"/>
        <v>Stable</v>
      </c>
    </row>
    <row r="394" spans="1:49" ht="15.75" hidden="1" thickBot="1">
      <c r="A394" s="131" t="s">
        <v>767</v>
      </c>
      <c r="B394" s="131" t="s">
        <v>1106</v>
      </c>
      <c r="C394" s="131" t="s">
        <v>1107</v>
      </c>
      <c r="D394" s="15">
        <v>46144</v>
      </c>
      <c r="E394" s="60">
        <f t="shared" si="876"/>
        <v>6703.28</v>
      </c>
      <c r="F394" s="61">
        <f t="shared" si="877"/>
        <v>0</v>
      </c>
      <c r="G394" s="62">
        <f>((E394-MAX(E$16:E394))/MAX(E$16:E394))</f>
        <v>-0.11045762475698843</v>
      </c>
      <c r="H394" s="16">
        <f t="shared" si="839"/>
        <v>0</v>
      </c>
      <c r="I394" s="153"/>
      <c r="K394" s="16">
        <f t="shared" si="902"/>
        <v>-1.6399023336620213E-2</v>
      </c>
      <c r="L394" s="77">
        <f t="shared" ref="L394:N394" si="1074">L393</f>
        <v>-2.1792249467772768E-2</v>
      </c>
      <c r="M394" s="16">
        <f t="shared" si="1074"/>
        <v>1.1367849769794032E-2</v>
      </c>
      <c r="N394" s="16" t="str">
        <f t="shared" si="1074"/>
        <v>Low Volatility</v>
      </c>
      <c r="O394" s="14" t="str">
        <f t="shared" si="948"/>
        <v>Strong Downtrend</v>
      </c>
      <c r="S394" s="131" t="s">
        <v>767</v>
      </c>
      <c r="T394" s="131" t="s">
        <v>1458</v>
      </c>
      <c r="U394" s="131" t="s">
        <v>1459</v>
      </c>
      <c r="V394" s="15">
        <f t="shared" si="836"/>
        <v>46144</v>
      </c>
      <c r="W394" s="60">
        <f t="shared" si="952"/>
        <v>109.52</v>
      </c>
      <c r="X394" s="61">
        <f t="shared" si="953"/>
        <v>0</v>
      </c>
      <c r="Y394" s="62">
        <f>((W394-MAX(W$16:W394))/MAX(W$16:W394))</f>
        <v>-0.32640383787440808</v>
      </c>
      <c r="Z394" s="16">
        <f t="shared" si="954"/>
        <v>0</v>
      </c>
      <c r="AA394" s="153"/>
      <c r="AC394" s="16">
        <f t="shared" si="977"/>
        <v>-9.1299187437278515E-5</v>
      </c>
      <c r="AD394" s="16">
        <f t="shared" ref="AD394" si="1075">AD389</f>
        <v>-2.7142378213889637E-2</v>
      </c>
      <c r="AE394" s="16">
        <f t="shared" si="1063"/>
        <v>2.298455461375452E-2</v>
      </c>
      <c r="AF394" s="16" t="str">
        <f t="shared" si="1057"/>
        <v>Low Volatility</v>
      </c>
      <c r="AG394" s="14" t="str">
        <f t="shared" si="1039"/>
        <v>Weak/Unconfirmed</v>
      </c>
      <c r="AI394" s="131" t="s">
        <v>767</v>
      </c>
      <c r="AJ394" s="131">
        <v>451853</v>
      </c>
      <c r="AK394" s="131">
        <v>451846</v>
      </c>
      <c r="AL394" s="15">
        <f t="shared" si="1004"/>
        <v>46144</v>
      </c>
      <c r="AM394" s="60">
        <f t="shared" si="992"/>
        <v>45.184600000000003</v>
      </c>
      <c r="AN394" s="61">
        <f t="shared" si="993"/>
        <v>0</v>
      </c>
      <c r="AO394" s="62">
        <f>((AM394-MAX(AM$16:AM394))/MAX(AM$16:AM394))</f>
        <v>-3.7622022604187348E-5</v>
      </c>
      <c r="AP394" s="16">
        <f t="shared" si="994"/>
        <v>0</v>
      </c>
      <c r="AQ394" s="153"/>
      <c r="AS394" s="16">
        <f t="shared" si="862"/>
        <v>3.8835986829535954E-3</v>
      </c>
      <c r="AT394" s="77">
        <f t="shared" ref="AT394:AV394" si="1076">AT393</f>
        <v>4.1949324529420746E-3</v>
      </c>
      <c r="AU394" s="16">
        <f t="shared" si="1076"/>
        <v>6.9591148265308732E-4</v>
      </c>
      <c r="AV394" s="16" t="str">
        <f t="shared" si="1076"/>
        <v>Low Volatility</v>
      </c>
      <c r="AW394" s="14" t="str">
        <f t="shared" si="922"/>
        <v>Stable</v>
      </c>
    </row>
    <row r="395" spans="1:49" ht="15.75" hidden="1" thickBot="1">
      <c r="A395" s="131" t="s">
        <v>768</v>
      </c>
      <c r="B395" s="131" t="s">
        <v>1106</v>
      </c>
      <c r="C395" s="131" t="s">
        <v>1107</v>
      </c>
      <c r="D395" s="15">
        <v>46145</v>
      </c>
      <c r="E395" s="60">
        <f t="shared" si="876"/>
        <v>6703.28</v>
      </c>
      <c r="F395" s="61">
        <f t="shared" si="877"/>
        <v>0</v>
      </c>
      <c r="G395" s="62">
        <f>((E395-MAX(E$16:E395))/MAX(E$16:E395))</f>
        <v>-0.11045762475698843</v>
      </c>
      <c r="H395" s="16">
        <f t="shared" si="839"/>
        <v>0</v>
      </c>
      <c r="I395" s="153"/>
      <c r="K395" s="16">
        <f t="shared" si="902"/>
        <v>-1.6399023336620213E-2</v>
      </c>
      <c r="L395" s="77">
        <f t="shared" ref="L395:N395" si="1077">L394</f>
        <v>-2.1792249467772768E-2</v>
      </c>
      <c r="M395" s="16">
        <f t="shared" si="1077"/>
        <v>1.1367849769794032E-2</v>
      </c>
      <c r="N395" s="16" t="str">
        <f t="shared" si="1077"/>
        <v>Low Volatility</v>
      </c>
      <c r="O395" s="14" t="str">
        <f t="shared" si="948"/>
        <v>Strong Downtrend</v>
      </c>
      <c r="S395" s="131" t="s">
        <v>768</v>
      </c>
      <c r="T395" s="131" t="s">
        <v>1458</v>
      </c>
      <c r="U395" s="131" t="s">
        <v>1459</v>
      </c>
      <c r="V395" s="15">
        <f t="shared" si="836"/>
        <v>46145</v>
      </c>
      <c r="W395" s="60">
        <f t="shared" si="952"/>
        <v>109.52</v>
      </c>
      <c r="X395" s="61">
        <f t="shared" si="953"/>
        <v>0</v>
      </c>
      <c r="Y395" s="62">
        <f>((W395-MAX(W$16:W395))/MAX(W$16:W395))</f>
        <v>-0.32640383787440808</v>
      </c>
      <c r="Z395" s="16">
        <f t="shared" si="954"/>
        <v>0</v>
      </c>
      <c r="AA395" s="153"/>
      <c r="AC395" s="16">
        <f t="shared" si="977"/>
        <v>-9.1299187437278515E-5</v>
      </c>
      <c r="AD395" s="16">
        <f t="shared" ref="AD395:AE395" si="1078">AD389</f>
        <v>-2.7142378213889637E-2</v>
      </c>
      <c r="AE395" s="16">
        <f t="shared" si="1078"/>
        <v>2.298455461375452E-2</v>
      </c>
      <c r="AF395" s="16" t="str">
        <f t="shared" ref="AF395:AF396" si="1079">IF(AE395 &lt; 0.02, "Low Volatility",
 IF(AE395 &gt; 0.1, "High Volatility", "Medium Volatility"))</f>
        <v>Medium Volatility</v>
      </c>
      <c r="AG395" s="14" t="str">
        <f t="shared" si="1039"/>
        <v>Weak/Unconfirmed</v>
      </c>
      <c r="AI395" s="131" t="s">
        <v>768</v>
      </c>
      <c r="AJ395" s="131">
        <v>451853</v>
      </c>
      <c r="AK395" s="131">
        <v>451846</v>
      </c>
      <c r="AL395" s="15">
        <f t="shared" si="1004"/>
        <v>46145</v>
      </c>
      <c r="AM395" s="60">
        <f t="shared" si="992"/>
        <v>45.184600000000003</v>
      </c>
      <c r="AN395" s="61">
        <f t="shared" si="993"/>
        <v>0</v>
      </c>
      <c r="AO395" s="62">
        <f>((AM395-MAX(AM$16:AM395))/MAX(AM$16:AM395))</f>
        <v>-3.7622022604187348E-5</v>
      </c>
      <c r="AP395" s="16">
        <f t="shared" si="994"/>
        <v>0</v>
      </c>
      <c r="AQ395" s="153"/>
      <c r="AS395" s="16">
        <f t="shared" si="862"/>
        <v>3.8835986829535954E-3</v>
      </c>
      <c r="AT395" s="77">
        <f t="shared" ref="AT395:AV395" si="1080">AT394</f>
        <v>4.1949324529420746E-3</v>
      </c>
      <c r="AU395" s="16">
        <f t="shared" si="1080"/>
        <v>6.9591148265308732E-4</v>
      </c>
      <c r="AV395" s="16" t="str">
        <f t="shared" si="1080"/>
        <v>Low Volatility</v>
      </c>
      <c r="AW395" s="14" t="str">
        <f t="shared" si="922"/>
        <v>Stable</v>
      </c>
    </row>
    <row r="396" spans="1:49" ht="15.75" hidden="1" thickBot="1">
      <c r="A396" s="131" t="s">
        <v>769</v>
      </c>
      <c r="B396" s="131" t="s">
        <v>1108</v>
      </c>
      <c r="C396" s="131" t="s">
        <v>1109</v>
      </c>
      <c r="D396" s="15">
        <v>46146</v>
      </c>
      <c r="E396" s="60">
        <f t="shared" si="876"/>
        <v>6571.29</v>
      </c>
      <c r="F396" s="61">
        <f t="shared" si="877"/>
        <v>-131.98999999999978</v>
      </c>
      <c r="G396" s="62">
        <f>((E396-MAX(E$16:E396))/MAX(E$16:E396))</f>
        <v>-0.12797303484105549</v>
      </c>
      <c r="H396" s="16">
        <f t="shared" si="839"/>
        <v>-1.9690360539914756E-2</v>
      </c>
      <c r="I396" s="153">
        <f>AVERAGEIFS(E396:E403, E396:E403, "&gt;=0")</f>
        <v>6795.5825000000013</v>
      </c>
      <c r="K396" s="16">
        <f t="shared" si="902"/>
        <v>-3.0814634333399253E-2</v>
      </c>
      <c r="L396" s="77">
        <f t="shared" ref="L396" si="1081">(I396-I389)/I389</f>
        <v>1.7595061455713969E-2</v>
      </c>
      <c r="M396" s="16" cm="1">
        <f t="array" ref="M396">_xlfn.STDEV.S(_xlfn._xlws.FILTER(F396:F402, ISNUMBER(F396:F402))) / I396</f>
        <v>1.443906319615931E-2</v>
      </c>
      <c r="N396" s="16" t="str" cm="1">
        <f t="array" ref="N396">_xlfn.LET(
  _xlpm.c, M217,
  IFERROR(
    _xlfn.IFS(_xlpm.c&lt;0.02,"Low Volatility",
        _xlpm.c&gt;0.1,"High Volatility",
        TRUE,"Medium Volatility"),
    "Insufficient data"
  )
)</f>
        <v>Low Volatility</v>
      </c>
      <c r="O396" s="14" t="str">
        <f t="shared" si="948"/>
        <v>Weak/Unconfirmed</v>
      </c>
      <c r="S396" s="131" t="s">
        <v>769</v>
      </c>
      <c r="T396" s="131" t="s">
        <v>1460</v>
      </c>
      <c r="U396" s="131" t="s">
        <v>1461</v>
      </c>
      <c r="V396" s="15">
        <f t="shared" si="836"/>
        <v>46146</v>
      </c>
      <c r="W396" s="60">
        <f t="shared" si="952"/>
        <v>105.71</v>
      </c>
      <c r="X396" s="61">
        <f t="shared" si="953"/>
        <v>-3.8100000000000023</v>
      </c>
      <c r="Y396" s="62">
        <f>((W396-MAX(W$16:W396))/MAX(W$16:W396))</f>
        <v>-0.34983701334645434</v>
      </c>
      <c r="Z396" s="16">
        <f t="shared" si="954"/>
        <v>-3.4788166544923324E-2</v>
      </c>
      <c r="AA396" s="153">
        <f t="shared" ref="AA396" si="1082">AVERAGEIFS(W396:W402, W396:W402, "&gt;=0")</f>
        <v>112.81857142857142</v>
      </c>
      <c r="AC396" s="16">
        <f t="shared" si="977"/>
        <v>-3.3199195171026243E-2</v>
      </c>
      <c r="AD396" s="66">
        <f t="shared" ref="AD396" si="1083">(AA396-AA389)/AA389</f>
        <v>4.6707047144428568E-2</v>
      </c>
      <c r="AE396" s="16" cm="1">
        <f t="array" ref="AE396">_xlfn.STDEV.S(_xlfn._xlws.FILTER(X396:X402, ISNUMBER(X396:X402))) / AA396</f>
        <v>2.845560239412959E-2</v>
      </c>
      <c r="AF396" s="16" t="str">
        <f t="shared" si="1079"/>
        <v>Medium Volatility</v>
      </c>
      <c r="AG396" s="14" t="str">
        <f t="shared" si="1039"/>
        <v>Weak/Unconfirmed</v>
      </c>
      <c r="AI396" s="131" t="s">
        <v>769</v>
      </c>
      <c r="AJ396" s="131">
        <v>451777</v>
      </c>
      <c r="AK396" s="131">
        <v>451901</v>
      </c>
      <c r="AL396" s="15">
        <f t="shared" si="1004"/>
        <v>46146</v>
      </c>
      <c r="AM396" s="60">
        <f t="shared" si="992"/>
        <v>45.190100000000001</v>
      </c>
      <c r="AN396" s="61">
        <f t="shared" si="993"/>
        <v>5.49999999999784E-3</v>
      </c>
      <c r="AO396" s="62">
        <f>((AM396-MAX(AM$16:AM396))/MAX(AM$16:AM396))</f>
        <v>0</v>
      </c>
      <c r="AP396" s="16">
        <f t="shared" si="994"/>
        <v>1.2172288788653301E-4</v>
      </c>
      <c r="AQ396" s="153">
        <f t="shared" ref="AQ396" si="1084">AVERAGEIFS(AM396:AM402, AM396:AM402, "&gt;=0")</f>
        <v>45.274857142857151</v>
      </c>
      <c r="AS396" s="16">
        <f t="shared" si="862"/>
        <v>3.4506724814420925E-3</v>
      </c>
      <c r="AT396" s="77">
        <f t="shared" ref="AT396" si="1085">(AQ396-AQ389)/AQ389</f>
        <v>3.1224530168154161E-3</v>
      </c>
      <c r="AU396" s="16" cm="1">
        <f t="array" ref="AU396">_xlfn.STDEV.S(_xlfn._xlws.FILTER(AN396:AN402, ISNUMBER(AN396:AN402))) / AQ396</f>
        <v>8.8068802802489308E-4</v>
      </c>
      <c r="AV396" s="16" t="str">
        <f t="shared" ref="AV396" si="1086">IF(AU396 &lt; 0.02, "Low Volatility",
 IF(AU396 &gt; 0.1, "High Volatility", "Medium Volatility"))</f>
        <v>Low Volatility</v>
      </c>
      <c r="AW396" s="14" t="str">
        <f t="shared" si="922"/>
        <v>Stable</v>
      </c>
    </row>
    <row r="397" spans="1:49" ht="15.75" hidden="1" thickBot="1">
      <c r="A397" s="131" t="s">
        <v>770</v>
      </c>
      <c r="B397" s="131" t="s">
        <v>1110</v>
      </c>
      <c r="C397" s="131" t="s">
        <v>1111</v>
      </c>
      <c r="D397" s="15">
        <v>46147</v>
      </c>
      <c r="E397" s="60">
        <f t="shared" si="876"/>
        <v>6624.31</v>
      </c>
      <c r="F397" s="61">
        <f t="shared" si="877"/>
        <v>53.020000000000437</v>
      </c>
      <c r="G397" s="62">
        <f>((E397-MAX(E$16:E397))/MAX(E$16:E397))</f>
        <v>-0.12093714543536381</v>
      </c>
      <c r="H397" s="16">
        <f t="shared" si="839"/>
        <v>8.0684310082191537E-3</v>
      </c>
      <c r="I397" s="153"/>
      <c r="K397" s="16">
        <f t="shared" si="902"/>
        <v>-4.8164389900200097E-3</v>
      </c>
      <c r="L397" s="77">
        <f t="shared" ref="L397:N397" si="1087">L396</f>
        <v>1.7595061455713969E-2</v>
      </c>
      <c r="M397" s="16">
        <f t="shared" si="1087"/>
        <v>1.443906319615931E-2</v>
      </c>
      <c r="N397" s="16" t="str">
        <f t="shared" si="1087"/>
        <v>Low Volatility</v>
      </c>
      <c r="O397" s="14" t="str">
        <f t="shared" si="948"/>
        <v>Weak/Unconfirmed</v>
      </c>
      <c r="S397" s="131" t="s">
        <v>770</v>
      </c>
      <c r="T397" s="131" t="s">
        <v>1462</v>
      </c>
      <c r="U397" s="131" t="s">
        <v>1454</v>
      </c>
      <c r="V397" s="15">
        <f t="shared" si="836"/>
        <v>46147</v>
      </c>
      <c r="W397" s="60">
        <f t="shared" si="952"/>
        <v>105.9</v>
      </c>
      <c r="X397" s="61">
        <f t="shared" si="953"/>
        <v>0.19000000000001194</v>
      </c>
      <c r="Y397" s="62">
        <f>((W397-MAX(W$16:W397))/MAX(W$16:W397))</f>
        <v>-0.34866842979273016</v>
      </c>
      <c r="Z397" s="16">
        <f t="shared" si="954"/>
        <v>1.7973701636553963E-3</v>
      </c>
      <c r="AA397" s="153"/>
      <c r="AC397" s="16">
        <f t="shared" si="977"/>
        <v>0</v>
      </c>
      <c r="AD397" s="16">
        <f t="shared" ref="AD397:AF397" si="1088">AD396</f>
        <v>4.6707047144428568E-2</v>
      </c>
      <c r="AE397" s="16">
        <f t="shared" si="1088"/>
        <v>2.845560239412959E-2</v>
      </c>
      <c r="AF397" s="16" t="str">
        <f t="shared" si="1088"/>
        <v>Medium Volatility</v>
      </c>
      <c r="AG397" s="14" t="str">
        <f t="shared" si="1039"/>
        <v>Weak/Unconfirmed</v>
      </c>
      <c r="AI397" s="131" t="s">
        <v>770</v>
      </c>
      <c r="AJ397" s="131">
        <v>451779</v>
      </c>
      <c r="AK397" s="131">
        <v>452168</v>
      </c>
      <c r="AL397" s="15">
        <f t="shared" si="1004"/>
        <v>46147</v>
      </c>
      <c r="AM397" s="60">
        <f t="shared" si="992"/>
        <v>45.216799999999999</v>
      </c>
      <c r="AN397" s="61">
        <f t="shared" si="993"/>
        <v>2.669999999999817E-2</v>
      </c>
      <c r="AO397" s="62">
        <f>((AM397-MAX(AM$16:AM397))/MAX(AM$16:AM397))</f>
        <v>0</v>
      </c>
      <c r="AP397" s="16">
        <f t="shared" si="994"/>
        <v>5.9083737367251164E-4</v>
      </c>
      <c r="AQ397" s="153"/>
      <c r="AS397" s="16">
        <f t="shared" si="862"/>
        <v>3.7248329596661352E-3</v>
      </c>
      <c r="AT397" s="77">
        <f t="shared" ref="AT397:AV397" si="1089">AT396</f>
        <v>3.1224530168154161E-3</v>
      </c>
      <c r="AU397" s="16">
        <f t="shared" si="1089"/>
        <v>8.8068802802489308E-4</v>
      </c>
      <c r="AV397" s="16" t="str">
        <f t="shared" si="1089"/>
        <v>Low Volatility</v>
      </c>
      <c r="AW397" s="14" t="str">
        <f t="shared" si="922"/>
        <v>Stable</v>
      </c>
    </row>
    <row r="398" spans="1:49" ht="15.75" hidden="1" thickBot="1">
      <c r="A398" s="131" t="s">
        <v>771</v>
      </c>
      <c r="B398" s="131" t="s">
        <v>1112</v>
      </c>
      <c r="C398" s="131" t="s">
        <v>1113</v>
      </c>
      <c r="D398" s="15">
        <v>46148</v>
      </c>
      <c r="E398" s="60">
        <f t="shared" si="876"/>
        <v>6819.81</v>
      </c>
      <c r="F398" s="61">
        <f t="shared" si="877"/>
        <v>195.5</v>
      </c>
      <c r="G398" s="62">
        <f>((E398-MAX(E$16:E398))/MAX(E$16:E398))</f>
        <v>-9.4993796155606922E-2</v>
      </c>
      <c r="H398" s="16">
        <f t="shared" si="839"/>
        <v>2.9512507717784946E-2</v>
      </c>
      <c r="I398" s="153"/>
      <c r="K398" s="16">
        <f t="shared" si="902"/>
        <v>3.4660577878583301E-2</v>
      </c>
      <c r="L398" s="77">
        <f t="shared" ref="L398:N398" si="1090">L397</f>
        <v>1.7595061455713969E-2</v>
      </c>
      <c r="M398" s="16">
        <f t="shared" si="1090"/>
        <v>1.443906319615931E-2</v>
      </c>
      <c r="N398" s="16" t="str">
        <f t="shared" si="1090"/>
        <v>Low Volatility</v>
      </c>
      <c r="O398" s="14" t="str">
        <f t="shared" si="948"/>
        <v>Strong Uptrend</v>
      </c>
      <c r="S398" s="131" t="s">
        <v>771</v>
      </c>
      <c r="T398" s="131" t="s">
        <v>1463</v>
      </c>
      <c r="U398" s="131" t="s">
        <v>1319</v>
      </c>
      <c r="V398" s="15">
        <f t="shared" si="836"/>
        <v>46148</v>
      </c>
      <c r="W398" s="60">
        <f t="shared" si="952"/>
        <v>112.51</v>
      </c>
      <c r="X398" s="61">
        <f t="shared" si="953"/>
        <v>6.6099999999999994</v>
      </c>
      <c r="Y398" s="62">
        <f>((W398-MAX(W$16:W398))/MAX(W$16:W398))</f>
        <v>-0.30801402300264469</v>
      </c>
      <c r="Z398" s="16">
        <f t="shared" si="954"/>
        <v>6.2417374881964111E-2</v>
      </c>
      <c r="AA398" s="153"/>
      <c r="AC398" s="16">
        <f t="shared" si="977"/>
        <v>8.7158179534254615E-2</v>
      </c>
      <c r="AD398" s="16">
        <f t="shared" ref="AD398" si="1091">AD396</f>
        <v>4.6707047144428568E-2</v>
      </c>
      <c r="AE398" s="16">
        <f t="shared" ref="AE398:AF398" si="1092">AE397</f>
        <v>2.845560239412959E-2</v>
      </c>
      <c r="AF398" s="16" t="str">
        <f t="shared" si="1092"/>
        <v>Medium Volatility</v>
      </c>
      <c r="AG398" s="14" t="str">
        <f t="shared" si="1039"/>
        <v>Strong Uptrend</v>
      </c>
      <c r="AI398" s="131" t="s">
        <v>771</v>
      </c>
      <c r="AJ398" s="131">
        <v>452208</v>
      </c>
      <c r="AK398" s="131">
        <v>452134</v>
      </c>
      <c r="AL398" s="15">
        <f t="shared" si="1004"/>
        <v>46148</v>
      </c>
      <c r="AM398" s="60">
        <f t="shared" si="992"/>
        <v>45.2134</v>
      </c>
      <c r="AN398" s="61">
        <f t="shared" si="993"/>
        <v>-3.3999999999991815E-3</v>
      </c>
      <c r="AO398" s="62">
        <f>((AM398-MAX(AM$16:AM398))/MAX(AM$16:AM398))</f>
        <v>-7.519329098917176E-5</v>
      </c>
      <c r="AP398" s="16">
        <f t="shared" si="994"/>
        <v>-7.519329098917176E-5</v>
      </c>
      <c r="AQ398" s="153"/>
      <c r="AS398" s="16">
        <f t="shared" si="862"/>
        <v>2.2099716937426673E-3</v>
      </c>
      <c r="AT398" s="77">
        <f t="shared" ref="AT398:AV398" si="1093">AT397</f>
        <v>3.1224530168154161E-3</v>
      </c>
      <c r="AU398" s="16">
        <f t="shared" si="1093"/>
        <v>8.8068802802489308E-4</v>
      </c>
      <c r="AV398" s="16" t="str">
        <f t="shared" si="1093"/>
        <v>Low Volatility</v>
      </c>
      <c r="AW398" s="14" t="str">
        <f t="shared" si="922"/>
        <v>Stable</v>
      </c>
    </row>
    <row r="399" spans="1:49" ht="15.75" hidden="1" thickBot="1">
      <c r="A399" s="131" t="s">
        <v>772</v>
      </c>
      <c r="B399" s="131" t="s">
        <v>1114</v>
      </c>
      <c r="C399" s="131" t="s">
        <v>1115</v>
      </c>
      <c r="D399" s="15">
        <v>46149</v>
      </c>
      <c r="E399" s="60">
        <f t="shared" si="876"/>
        <v>6816.09</v>
      </c>
      <c r="F399" s="61">
        <f t="shared" si="877"/>
        <v>-3.7200000000002547</v>
      </c>
      <c r="G399" s="62">
        <f>((E399-MAX(E$16:E399))/MAX(E$16:E399))</f>
        <v>-9.5487449655968559E-2</v>
      </c>
      <c r="H399" s="16">
        <f t="shared" si="839"/>
        <v>-5.4546974182568934E-4</v>
      </c>
      <c r="I399" s="153"/>
      <c r="K399" s="16">
        <f t="shared" si="902"/>
        <v>1.4966689399873164E-2</v>
      </c>
      <c r="L399" s="77">
        <f t="shared" ref="L399:N399" si="1094">L398</f>
        <v>1.7595061455713969E-2</v>
      </c>
      <c r="M399" s="16">
        <f t="shared" si="1094"/>
        <v>1.443906319615931E-2</v>
      </c>
      <c r="N399" s="16" t="str">
        <f t="shared" si="1094"/>
        <v>Low Volatility</v>
      </c>
      <c r="O399" s="14" t="str">
        <f t="shared" si="948"/>
        <v>Strong Uptrend</v>
      </c>
      <c r="S399" s="131" t="s">
        <v>772</v>
      </c>
      <c r="T399" s="131" t="s">
        <v>1464</v>
      </c>
      <c r="U399" s="131" t="s">
        <v>1465</v>
      </c>
      <c r="V399" s="15">
        <f t="shared" si="836"/>
        <v>46149</v>
      </c>
      <c r="W399" s="60">
        <f t="shared" si="952"/>
        <v>114.1</v>
      </c>
      <c r="X399" s="61">
        <f t="shared" si="953"/>
        <v>1.5899999999999892</v>
      </c>
      <c r="Y399" s="62">
        <f>((W399-MAX(W$16:W399))/MAX(W$16:W399))</f>
        <v>-0.29823482378990102</v>
      </c>
      <c r="Z399" s="16">
        <f t="shared" si="954"/>
        <v>1.4132077148697797E-2</v>
      </c>
      <c r="AA399" s="153"/>
      <c r="AC399" s="16">
        <f t="shared" si="977"/>
        <v>6.4365671641790967E-2</v>
      </c>
      <c r="AD399" s="16">
        <f t="shared" ref="AD399" si="1095">AD396</f>
        <v>4.6707047144428568E-2</v>
      </c>
      <c r="AE399" s="16">
        <f t="shared" ref="AE399:AF399" si="1096">AE398</f>
        <v>2.845560239412959E-2</v>
      </c>
      <c r="AF399" s="16" t="str">
        <f t="shared" si="1096"/>
        <v>Medium Volatility</v>
      </c>
      <c r="AG399" s="14" t="str">
        <f t="shared" si="1039"/>
        <v>Strong Uptrend</v>
      </c>
      <c r="AI399" s="131" t="s">
        <v>772</v>
      </c>
      <c r="AJ399" s="131">
        <v>452129</v>
      </c>
      <c r="AK399" s="131">
        <v>452441</v>
      </c>
      <c r="AL399" s="15">
        <f t="shared" si="1004"/>
        <v>46149</v>
      </c>
      <c r="AM399" s="60">
        <f t="shared" si="992"/>
        <v>45.244100000000003</v>
      </c>
      <c r="AN399" s="61">
        <f t="shared" si="993"/>
        <v>3.0700000000003058E-2</v>
      </c>
      <c r="AO399" s="62">
        <f>((AM399-MAX(AM$16:AM399))/MAX(AM$16:AM399))</f>
        <v>0</v>
      </c>
      <c r="AP399" s="16">
        <f t="shared" si="994"/>
        <v>6.7900224269802883E-4</v>
      </c>
      <c r="AQ399" s="153"/>
      <c r="AS399" s="16">
        <f t="shared" si="862"/>
        <v>1.2791487685426843E-3</v>
      </c>
      <c r="AT399" s="77">
        <f t="shared" ref="AT399:AV399" si="1097">AT398</f>
        <v>3.1224530168154161E-3</v>
      </c>
      <c r="AU399" s="16">
        <f t="shared" si="1097"/>
        <v>8.8068802802489308E-4</v>
      </c>
      <c r="AV399" s="16" t="str">
        <f t="shared" si="1097"/>
        <v>Low Volatility</v>
      </c>
      <c r="AW399" s="14" t="str">
        <f t="shared" si="922"/>
        <v>Stable</v>
      </c>
    </row>
    <row r="400" spans="1:49" ht="15.75" hidden="1" thickBot="1">
      <c r="A400" s="131" t="s">
        <v>773</v>
      </c>
      <c r="B400" s="131" t="s">
        <v>1116</v>
      </c>
      <c r="C400" s="131" t="s">
        <v>1117</v>
      </c>
      <c r="D400" s="15">
        <v>46150</v>
      </c>
      <c r="E400" s="60">
        <f t="shared" si="876"/>
        <v>6875.62</v>
      </c>
      <c r="F400" s="61">
        <f t="shared" si="877"/>
        <v>59.529999999999745</v>
      </c>
      <c r="G400" s="62">
        <f>((E400-MAX(E$16:E400))/MAX(E$16:E400))</f>
        <v>-8.7587666624644164E-2</v>
      </c>
      <c r="H400" s="16">
        <f t="shared" si="839"/>
        <v>8.7337461799946517E-3</v>
      </c>
      <c r="I400" s="153"/>
      <c r="K400" s="16">
        <f t="shared" si="902"/>
        <v>2.5709801768686397E-2</v>
      </c>
      <c r="L400" s="77">
        <f t="shared" ref="L400:N400" si="1098">L399</f>
        <v>1.7595061455713969E-2</v>
      </c>
      <c r="M400" s="16">
        <f t="shared" si="1098"/>
        <v>1.443906319615931E-2</v>
      </c>
      <c r="N400" s="16" t="str">
        <f t="shared" si="1098"/>
        <v>Low Volatility</v>
      </c>
      <c r="O400" s="14" t="str">
        <f t="shared" si="948"/>
        <v>Strong Uptrend</v>
      </c>
      <c r="S400" s="131" t="s">
        <v>773</v>
      </c>
      <c r="T400" s="131" t="s">
        <v>1465</v>
      </c>
      <c r="U400" s="131" t="s">
        <v>1466</v>
      </c>
      <c r="V400" s="15">
        <f t="shared" ref="V400:V454" si="1099">D400</f>
        <v>46150</v>
      </c>
      <c r="W400" s="60">
        <f t="shared" si="952"/>
        <v>117.17</v>
      </c>
      <c r="X400" s="61">
        <f t="shared" si="953"/>
        <v>3.0700000000000074</v>
      </c>
      <c r="Y400" s="62">
        <f>((W400-MAX(W$16:W400))/MAX(W$16:W400))</f>
        <v>-0.27935297373762225</v>
      </c>
      <c r="Z400" s="16">
        <f t="shared" si="954"/>
        <v>2.6906222611744149E-2</v>
      </c>
      <c r="AA400" s="153"/>
      <c r="AC400" s="16">
        <f t="shared" si="977"/>
        <v>6.9850255661066521E-2</v>
      </c>
      <c r="AD400" s="16">
        <f t="shared" ref="AD400" si="1100">AD396</f>
        <v>4.6707047144428568E-2</v>
      </c>
      <c r="AE400" s="16">
        <f t="shared" ref="AE400:AF400" si="1101">AE399</f>
        <v>2.845560239412959E-2</v>
      </c>
      <c r="AF400" s="16" t="str">
        <f t="shared" si="1101"/>
        <v>Medium Volatility</v>
      </c>
      <c r="AG400" s="14" t="str">
        <f t="shared" si="1039"/>
        <v>Strong Uptrend</v>
      </c>
      <c r="AI400" s="131" t="s">
        <v>773</v>
      </c>
      <c r="AJ400" s="131">
        <v>452517</v>
      </c>
      <c r="AK400" s="131">
        <v>453532</v>
      </c>
      <c r="AL400" s="15">
        <f t="shared" si="1004"/>
        <v>46150</v>
      </c>
      <c r="AM400" s="60">
        <f t="shared" si="992"/>
        <v>45.353200000000001</v>
      </c>
      <c r="AN400" s="61">
        <f t="shared" si="993"/>
        <v>0.10909999999999798</v>
      </c>
      <c r="AO400" s="62">
        <f>((AM400-MAX(AM$16:AM400))/MAX(AM$16:AM400))</f>
        <v>0</v>
      </c>
      <c r="AP400" s="16">
        <f t="shared" si="994"/>
        <v>2.4113641336660024E-3</v>
      </c>
      <c r="AQ400" s="153"/>
      <c r="AS400" s="16">
        <f t="shared" si="862"/>
        <v>3.7313597995776845E-3</v>
      </c>
      <c r="AT400" s="77">
        <f t="shared" ref="AT400:AV400" si="1102">AT399</f>
        <v>3.1224530168154161E-3</v>
      </c>
      <c r="AU400" s="16">
        <f t="shared" si="1102"/>
        <v>8.8068802802489308E-4</v>
      </c>
      <c r="AV400" s="16" t="str">
        <f t="shared" si="1102"/>
        <v>Low Volatility</v>
      </c>
      <c r="AW400" s="14" t="str">
        <f t="shared" si="922"/>
        <v>Stable</v>
      </c>
    </row>
    <row r="401" spans="1:49" ht="15.75" hidden="1" thickBot="1">
      <c r="A401" s="131" t="s">
        <v>774</v>
      </c>
      <c r="B401" s="131" t="s">
        <v>1116</v>
      </c>
      <c r="C401" s="131" t="s">
        <v>1117</v>
      </c>
      <c r="D401" s="15">
        <v>46151</v>
      </c>
      <c r="E401" s="60">
        <f t="shared" si="876"/>
        <v>6875.62</v>
      </c>
      <c r="F401" s="61">
        <f t="shared" si="877"/>
        <v>0</v>
      </c>
      <c r="G401" s="62">
        <f>((E401-MAX(E$16:E401))/MAX(E$16:E401))</f>
        <v>-8.7587666624644164E-2</v>
      </c>
      <c r="H401" s="16">
        <f t="shared" ref="H401:H464" si="1103">F401/E400</f>
        <v>0</v>
      </c>
      <c r="I401" s="153"/>
      <c r="K401" s="16">
        <f t="shared" si="902"/>
        <v>2.5709801768686397E-2</v>
      </c>
      <c r="L401" s="77">
        <f t="shared" ref="L401:N401" si="1104">L400</f>
        <v>1.7595061455713969E-2</v>
      </c>
      <c r="M401" s="16">
        <f t="shared" si="1104"/>
        <v>1.443906319615931E-2</v>
      </c>
      <c r="N401" s="16" t="str">
        <f t="shared" si="1104"/>
        <v>Low Volatility</v>
      </c>
      <c r="O401" s="14" t="str">
        <f t="shared" si="948"/>
        <v>Strong Uptrend</v>
      </c>
      <c r="S401" s="131" t="s">
        <v>774</v>
      </c>
      <c r="T401" s="131" t="s">
        <v>1465</v>
      </c>
      <c r="U401" s="131" t="s">
        <v>1466</v>
      </c>
      <c r="V401" s="15">
        <f t="shared" si="1099"/>
        <v>46151</v>
      </c>
      <c r="W401" s="60">
        <f t="shared" si="952"/>
        <v>117.17</v>
      </c>
      <c r="X401" s="61">
        <f t="shared" si="953"/>
        <v>0</v>
      </c>
      <c r="Y401" s="62">
        <f>((W401-MAX(W$16:W401))/MAX(W$16:W401))</f>
        <v>-0.27935297373762225</v>
      </c>
      <c r="Z401" s="16">
        <f t="shared" si="954"/>
        <v>0</v>
      </c>
      <c r="AA401" s="153"/>
      <c r="AC401" s="16">
        <f t="shared" si="977"/>
        <v>6.9850255661066521E-2</v>
      </c>
      <c r="AD401" s="16">
        <f t="shared" ref="AD401" si="1105">AD396</f>
        <v>4.6707047144428568E-2</v>
      </c>
      <c r="AE401" s="16">
        <f t="shared" ref="AE401:AF401" si="1106">AE400</f>
        <v>2.845560239412959E-2</v>
      </c>
      <c r="AF401" s="16" t="str">
        <f t="shared" si="1106"/>
        <v>Medium Volatility</v>
      </c>
      <c r="AG401" s="14" t="str">
        <f t="shared" si="1039"/>
        <v>Strong Uptrend</v>
      </c>
      <c r="AI401" s="131" t="s">
        <v>774</v>
      </c>
      <c r="AJ401" s="131">
        <v>452517</v>
      </c>
      <c r="AK401" s="131">
        <v>453532</v>
      </c>
      <c r="AL401" s="15">
        <f t="shared" si="1004"/>
        <v>46151</v>
      </c>
      <c r="AM401" s="60">
        <f t="shared" si="992"/>
        <v>45.353200000000001</v>
      </c>
      <c r="AN401" s="61">
        <f t="shared" si="993"/>
        <v>0</v>
      </c>
      <c r="AO401" s="62">
        <f>((AM401-MAX(AM$16:AM401))/MAX(AM$16:AM401))</f>
        <v>0</v>
      </c>
      <c r="AP401" s="16">
        <f t="shared" si="994"/>
        <v>0</v>
      </c>
      <c r="AQ401" s="153"/>
      <c r="AS401" s="16">
        <f t="shared" si="862"/>
        <v>3.7313597995776845E-3</v>
      </c>
      <c r="AT401" s="77">
        <f t="shared" ref="AT401:AV401" si="1107">AT400</f>
        <v>3.1224530168154161E-3</v>
      </c>
      <c r="AU401" s="16">
        <f t="shared" si="1107"/>
        <v>8.8068802802489308E-4</v>
      </c>
      <c r="AV401" s="16" t="str">
        <f t="shared" si="1107"/>
        <v>Low Volatility</v>
      </c>
      <c r="AW401" s="14" t="str">
        <f t="shared" si="922"/>
        <v>Stable</v>
      </c>
    </row>
    <row r="402" spans="1:49" ht="15.75" hidden="1" thickBot="1">
      <c r="A402" s="131" t="s">
        <v>775</v>
      </c>
      <c r="B402" s="131" t="s">
        <v>1116</v>
      </c>
      <c r="C402" s="131" t="s">
        <v>1117</v>
      </c>
      <c r="D402" s="15">
        <v>46152</v>
      </c>
      <c r="E402" s="60">
        <f t="shared" si="876"/>
        <v>6875.62</v>
      </c>
      <c r="F402" s="61">
        <f t="shared" si="877"/>
        <v>0</v>
      </c>
      <c r="G402" s="62">
        <f>((E402-MAX(E$16:E402))/MAX(E$16:E402))</f>
        <v>-8.7587666624644164E-2</v>
      </c>
      <c r="H402" s="16">
        <f t="shared" si="1103"/>
        <v>0</v>
      </c>
      <c r="I402" s="153"/>
      <c r="K402" s="16">
        <f t="shared" si="902"/>
        <v>2.5709801768686397E-2</v>
      </c>
      <c r="L402" s="77">
        <f t="shared" ref="L402:N402" si="1108">L401</f>
        <v>1.7595061455713969E-2</v>
      </c>
      <c r="M402" s="16">
        <f t="shared" si="1108"/>
        <v>1.443906319615931E-2</v>
      </c>
      <c r="N402" s="16" t="str">
        <f t="shared" si="1108"/>
        <v>Low Volatility</v>
      </c>
      <c r="O402" s="14" t="str">
        <f t="shared" si="948"/>
        <v>Strong Uptrend</v>
      </c>
      <c r="S402" s="131" t="s">
        <v>775</v>
      </c>
      <c r="T402" s="131" t="s">
        <v>1465</v>
      </c>
      <c r="U402" s="131" t="s">
        <v>1466</v>
      </c>
      <c r="V402" s="15">
        <f t="shared" si="1099"/>
        <v>46152</v>
      </c>
      <c r="W402" s="60">
        <f t="shared" si="952"/>
        <v>117.17</v>
      </c>
      <c r="X402" s="61">
        <f t="shared" si="953"/>
        <v>0</v>
      </c>
      <c r="Y402" s="62">
        <f>((W402-MAX(W$16:W402))/MAX(W$16:W402))</f>
        <v>-0.27935297373762225</v>
      </c>
      <c r="Z402" s="16">
        <f t="shared" si="954"/>
        <v>0</v>
      </c>
      <c r="AA402" s="153"/>
      <c r="AC402" s="16">
        <f t="shared" si="977"/>
        <v>6.9850255661066521E-2</v>
      </c>
      <c r="AD402" s="16">
        <f t="shared" ref="AD402:AE402" si="1109">AD396</f>
        <v>4.6707047144428568E-2</v>
      </c>
      <c r="AE402" s="16">
        <f t="shared" si="1109"/>
        <v>2.845560239412959E-2</v>
      </c>
      <c r="AF402" s="16" t="str">
        <f t="shared" ref="AF402" si="1110">IF(AE402 &lt; 0.02, "Low Volatility",
 IF(AE402 &gt; 0.1, "High Volatility", "Medium Volatility"))</f>
        <v>Medium Volatility</v>
      </c>
      <c r="AG402" s="14" t="str">
        <f t="shared" si="1039"/>
        <v>Strong Uptrend</v>
      </c>
      <c r="AI402" s="131" t="s">
        <v>775</v>
      </c>
      <c r="AJ402" s="131">
        <v>452517</v>
      </c>
      <c r="AK402" s="131">
        <v>453532</v>
      </c>
      <c r="AL402" s="15">
        <f t="shared" si="1004"/>
        <v>46152</v>
      </c>
      <c r="AM402" s="60">
        <f t="shared" si="992"/>
        <v>45.353200000000001</v>
      </c>
      <c r="AN402" s="61">
        <f t="shared" si="993"/>
        <v>0</v>
      </c>
      <c r="AO402" s="62">
        <f>((AM402-MAX(AM$16:AM402))/MAX(AM$16:AM402))</f>
        <v>0</v>
      </c>
      <c r="AP402" s="16">
        <f t="shared" si="994"/>
        <v>0</v>
      </c>
      <c r="AQ402" s="153"/>
      <c r="AS402" s="16">
        <f t="shared" si="862"/>
        <v>3.7313597995776845E-3</v>
      </c>
      <c r="AT402" s="77">
        <f t="shared" ref="AT402:AV402" si="1111">AT401</f>
        <v>3.1224530168154161E-3</v>
      </c>
      <c r="AU402" s="16">
        <f t="shared" si="1111"/>
        <v>8.8068802802489308E-4</v>
      </c>
      <c r="AV402" s="16" t="str">
        <f t="shared" si="1111"/>
        <v>Low Volatility</v>
      </c>
      <c r="AW402" s="14" t="str">
        <f t="shared" si="922"/>
        <v>Stable</v>
      </c>
    </row>
    <row r="403" spans="1:49" ht="15.75" hidden="1" thickBot="1">
      <c r="A403" s="131" t="s">
        <v>776</v>
      </c>
      <c r="B403" s="131" t="s">
        <v>1118</v>
      </c>
      <c r="C403" s="131" t="s">
        <v>1119</v>
      </c>
      <c r="D403" s="15">
        <v>46153</v>
      </c>
      <c r="E403" s="60">
        <f t="shared" si="876"/>
        <v>6906.3</v>
      </c>
      <c r="F403" s="61">
        <f t="shared" si="877"/>
        <v>30.680000000000291</v>
      </c>
      <c r="G403" s="62">
        <f>((E403-MAX(E$16:E403))/MAX(E$16:E403))</f>
        <v>-8.3516352272199404E-2</v>
      </c>
      <c r="H403" s="16">
        <f t="shared" si="1103"/>
        <v>4.4621430503722272E-3</v>
      </c>
      <c r="I403" s="153">
        <f>AVERAGEIFS(E403:E410, E403:E410, "&gt;=0")</f>
        <v>6756.9025000000001</v>
      </c>
      <c r="K403" s="16">
        <f t="shared" si="902"/>
        <v>5.0980857639824177E-2</v>
      </c>
      <c r="L403" s="77">
        <f t="shared" ref="L403" si="1112">(I403-I396)/I396</f>
        <v>-5.6919329579180585E-3</v>
      </c>
      <c r="M403" s="16" cm="1">
        <f t="array" ref="M403">_xlfn.STDEV.S(_xlfn._xlws.FILTER(F403:F409, ISNUMBER(F403:F409))) / I403</f>
        <v>8.5822736038932961E-3</v>
      </c>
      <c r="N403" s="16" t="str" cm="1">
        <f t="array" ref="N403">_xlfn.LET(
  _xlpm.c, M224,
  IFERROR(
    _xlfn.IFS(_xlpm.c&lt;0.02,"Low Volatility",
        _xlpm.c&gt;0.1,"High Volatility",
        TRUE,"Medium Volatility"),
    "Insufficient data"
  )
)</f>
        <v>Low Volatility</v>
      </c>
      <c r="O403" s="14" t="str">
        <f t="shared" si="948"/>
        <v>Weak/Unconfirmed</v>
      </c>
      <c r="S403" s="131" t="s">
        <v>776</v>
      </c>
      <c r="T403" s="131" t="s">
        <v>1467</v>
      </c>
      <c r="U403" s="131" t="s">
        <v>1468</v>
      </c>
      <c r="V403" s="15">
        <f t="shared" si="1099"/>
        <v>46153</v>
      </c>
      <c r="W403" s="60">
        <f t="shared" si="952"/>
        <v>125.61</v>
      </c>
      <c r="X403" s="61">
        <f t="shared" si="953"/>
        <v>8.4399999999999977</v>
      </c>
      <c r="Y403" s="62">
        <f>((W403-MAX(W$16:W403))/MAX(W$16:W403))</f>
        <v>-0.22744326219324684</v>
      </c>
      <c r="Z403" s="16">
        <f t="shared" si="954"/>
        <v>7.203209012545872E-2</v>
      </c>
      <c r="AA403" s="153">
        <f t="shared" ref="AA403" si="1113">AVERAGEIFS(W403:W409, W403:W409, "&gt;=0")</f>
        <v>119.33714285714288</v>
      </c>
      <c r="AC403" s="16">
        <f t="shared" si="977"/>
        <v>0.18825087503547447</v>
      </c>
      <c r="AD403" s="66">
        <f t="shared" ref="AD403" si="1114">(AA403-AA396)/AA396</f>
        <v>5.7779241006420221E-2</v>
      </c>
      <c r="AE403" s="16" cm="1">
        <f t="array" ref="AE403">_xlfn.STDEV.S(_xlfn._xlws.FILTER(X403:X409, ISNUMBER(X403:X409))) / AA403</f>
        <v>5.0692431528396656E-2</v>
      </c>
      <c r="AF403" s="16" t="str">
        <f t="shared" ref="AF403:AF408" si="1115">AF402</f>
        <v>Medium Volatility</v>
      </c>
      <c r="AG403" s="14" t="str">
        <f t="shared" si="1039"/>
        <v>Strong Uptrend</v>
      </c>
      <c r="AI403" s="131" t="s">
        <v>776</v>
      </c>
      <c r="AJ403" s="131">
        <v>453305</v>
      </c>
      <c r="AK403" s="131">
        <v>453541</v>
      </c>
      <c r="AL403" s="15">
        <f t="shared" si="1004"/>
        <v>46153</v>
      </c>
      <c r="AM403" s="60">
        <f t="shared" si="992"/>
        <v>45.354100000000003</v>
      </c>
      <c r="AN403" s="61">
        <f t="shared" si="993"/>
        <v>9.0000000000145519E-4</v>
      </c>
      <c r="AO403" s="62">
        <f>((AM403-MAX(AM$16:AM403))/MAX(AM$16:AM403))</f>
        <v>0</v>
      </c>
      <c r="AP403" s="16">
        <f t="shared" si="994"/>
        <v>1.9844244728077737E-5</v>
      </c>
      <c r="AQ403" s="153">
        <f t="shared" ref="AQ403" si="1116">AVERAGEIFS(AM403:AM409, AM403:AM409, "&gt;=0")</f>
        <v>45.448900000000002</v>
      </c>
      <c r="AS403" s="16">
        <f t="shared" si="862"/>
        <v>3.6291134562658964E-3</v>
      </c>
      <c r="AT403" s="77">
        <f t="shared" ref="AT403" si="1117">(AQ403-AQ396)/AQ396</f>
        <v>3.8441392889145549E-3</v>
      </c>
      <c r="AU403" s="16" cm="1">
        <f t="array" ref="AU403">_xlfn.STDEV.S(_xlfn._xlws.FILTER(AN403:AN409, ISNUMBER(AN403:AN409))) / AQ403</f>
        <v>6.8456135624472305E-4</v>
      </c>
      <c r="AV403" s="16" t="str">
        <f t="shared" ref="AV403" si="1118">IF(AU403 &lt; 0.02, "Low Volatility",
 IF(AU403 &gt; 0.1, "High Volatility", "Medium Volatility"))</f>
        <v>Low Volatility</v>
      </c>
      <c r="AW403" s="14" t="str">
        <f t="shared" si="922"/>
        <v>Stable</v>
      </c>
    </row>
    <row r="404" spans="1:49" ht="15.75" hidden="1" thickBot="1">
      <c r="A404" s="131" t="s">
        <v>777</v>
      </c>
      <c r="B404" s="131" t="s">
        <v>1120</v>
      </c>
      <c r="C404" s="131" t="s">
        <v>1121</v>
      </c>
      <c r="D404" s="15">
        <v>46154</v>
      </c>
      <c r="E404" s="60">
        <f t="shared" si="876"/>
        <v>6880.92</v>
      </c>
      <c r="F404" s="61">
        <f t="shared" si="877"/>
        <v>-25.380000000000109</v>
      </c>
      <c r="G404" s="62">
        <f>((E404-MAX(E$16:E404))/MAX(E$16:E404))</f>
        <v>-8.6884343089182692E-2</v>
      </c>
      <c r="H404" s="16">
        <f t="shared" si="1103"/>
        <v>-3.6749055210460171E-3</v>
      </c>
      <c r="I404" s="153"/>
      <c r="K404" s="16">
        <f t="shared" si="902"/>
        <v>3.8737619465272558E-2</v>
      </c>
      <c r="L404" s="77">
        <f t="shared" ref="L404:N404" si="1119">L403</f>
        <v>-5.6919329579180585E-3</v>
      </c>
      <c r="M404" s="16">
        <f t="shared" si="1119"/>
        <v>8.5822736038932961E-3</v>
      </c>
      <c r="N404" s="16" t="str">
        <f t="shared" si="1119"/>
        <v>Low Volatility</v>
      </c>
      <c r="O404" s="14" t="str">
        <f t="shared" si="948"/>
        <v>Weak/Unconfirmed</v>
      </c>
      <c r="S404" s="131" t="s">
        <v>777</v>
      </c>
      <c r="T404" s="131" t="s">
        <v>1468</v>
      </c>
      <c r="U404" s="131" t="s">
        <v>1469</v>
      </c>
      <c r="V404" s="15">
        <f t="shared" si="1099"/>
        <v>46154</v>
      </c>
      <c r="W404" s="60">
        <f t="shared" si="952"/>
        <v>126.37</v>
      </c>
      <c r="X404" s="61">
        <f t="shared" si="953"/>
        <v>0.76000000000000512</v>
      </c>
      <c r="Y404" s="62">
        <f>((W404-MAX(W$16:W404))/MAX(W$16:W404))</f>
        <v>-0.22276892797835043</v>
      </c>
      <c r="Z404" s="16">
        <f t="shared" si="954"/>
        <v>6.0504736884006462E-3</v>
      </c>
      <c r="AA404" s="153"/>
      <c r="AC404" s="16">
        <f t="shared" si="977"/>
        <v>0.19329556185080263</v>
      </c>
      <c r="AD404" s="16">
        <f t="shared" ref="AD404" si="1120">AD403</f>
        <v>5.7779241006420221E-2</v>
      </c>
      <c r="AE404" s="16">
        <f t="shared" ref="AE404:AE408" si="1121">AE403</f>
        <v>5.0692431528396656E-2</v>
      </c>
      <c r="AF404" s="16" t="str">
        <f t="shared" si="1115"/>
        <v>Medium Volatility</v>
      </c>
      <c r="AG404" s="14" t="str">
        <f t="shared" si="1039"/>
        <v>Strong Uptrend</v>
      </c>
      <c r="AI404" s="131" t="s">
        <v>777</v>
      </c>
      <c r="AJ404" s="131">
        <v>453572</v>
      </c>
      <c r="AK404" s="131">
        <v>453820</v>
      </c>
      <c r="AL404" s="15">
        <f t="shared" si="1004"/>
        <v>46154</v>
      </c>
      <c r="AM404" s="60">
        <f t="shared" si="992"/>
        <v>45.381999999999998</v>
      </c>
      <c r="AN404" s="61">
        <f t="shared" si="993"/>
        <v>2.7899999999995373E-2</v>
      </c>
      <c r="AO404" s="62">
        <f>((AM404-MAX(AM$16:AM404))/MAX(AM$16:AM404))</f>
        <v>0</v>
      </c>
      <c r="AP404" s="16">
        <f t="shared" si="994"/>
        <v>6.1515937919604555E-4</v>
      </c>
      <c r="AQ404" s="153"/>
      <c r="AS404" s="16">
        <f t="shared" si="862"/>
        <v>3.6535093151217842E-3</v>
      </c>
      <c r="AT404" s="77">
        <f t="shared" ref="AT404:AV404" si="1122">AT403</f>
        <v>3.8441392889145549E-3</v>
      </c>
      <c r="AU404" s="16">
        <f t="shared" si="1122"/>
        <v>6.8456135624472305E-4</v>
      </c>
      <c r="AV404" s="16" t="str">
        <f t="shared" si="1122"/>
        <v>Low Volatility</v>
      </c>
      <c r="AW404" s="14" t="str">
        <f t="shared" si="922"/>
        <v>Stable</v>
      </c>
    </row>
    <row r="405" spans="1:49" ht="15.75" hidden="1" thickBot="1">
      <c r="A405" s="131" t="s">
        <v>778</v>
      </c>
      <c r="B405" s="131" t="s">
        <v>1122</v>
      </c>
      <c r="C405" s="131" t="s">
        <v>1123</v>
      </c>
      <c r="D405" s="15">
        <v>46155</v>
      </c>
      <c r="E405" s="60">
        <f t="shared" si="876"/>
        <v>6847.66</v>
      </c>
      <c r="F405" s="61">
        <f t="shared" si="877"/>
        <v>-33.260000000000218</v>
      </c>
      <c r="G405" s="62">
        <f>((E405-MAX(E$16:E405))/MAX(E$16:E405))</f>
        <v>-9.1298030030587909E-2</v>
      </c>
      <c r="H405" s="16">
        <f t="shared" si="1103"/>
        <v>-4.833655964609415E-3</v>
      </c>
      <c r="I405" s="153"/>
      <c r="K405" s="16">
        <f t="shared" si="902"/>
        <v>4.0836914811408897E-3</v>
      </c>
      <c r="L405" s="77">
        <f t="shared" ref="L405:N405" si="1123">L404</f>
        <v>-5.6919329579180585E-3</v>
      </c>
      <c r="M405" s="16">
        <f t="shared" si="1123"/>
        <v>8.5822736038932961E-3</v>
      </c>
      <c r="N405" s="16" t="str">
        <f t="shared" si="1123"/>
        <v>Low Volatility</v>
      </c>
      <c r="O405" s="14" t="str">
        <f t="shared" si="948"/>
        <v>Weak/Unconfirmed</v>
      </c>
      <c r="S405" s="131" t="s">
        <v>778</v>
      </c>
      <c r="T405" s="131" t="s">
        <v>1469</v>
      </c>
      <c r="U405" s="131" t="s">
        <v>1470</v>
      </c>
      <c r="V405" s="15">
        <f t="shared" si="1099"/>
        <v>46155</v>
      </c>
      <c r="W405" s="60">
        <f t="shared" si="952"/>
        <v>127.85</v>
      </c>
      <c r="X405" s="61">
        <f t="shared" si="953"/>
        <v>1.4799999999999898</v>
      </c>
      <c r="Y405" s="62">
        <f>((W405-MAX(W$16:W405))/MAX(W$16:W405))</f>
        <v>-0.21366627713881547</v>
      </c>
      <c r="Z405" s="16">
        <f t="shared" si="954"/>
        <v>1.1711640420985912E-2</v>
      </c>
      <c r="AA405" s="153"/>
      <c r="AC405" s="16">
        <f t="shared" si="977"/>
        <v>0.13634343613900976</v>
      </c>
      <c r="AD405" s="16">
        <f t="shared" ref="AD405" si="1124">AD403</f>
        <v>5.7779241006420221E-2</v>
      </c>
      <c r="AE405" s="16">
        <f t="shared" si="1121"/>
        <v>5.0692431528396656E-2</v>
      </c>
      <c r="AF405" s="16" t="str">
        <f t="shared" si="1115"/>
        <v>Medium Volatility</v>
      </c>
      <c r="AG405" s="14" t="str">
        <f t="shared" si="1039"/>
        <v>Strong Uptrend</v>
      </c>
      <c r="AI405" s="131" t="s">
        <v>778</v>
      </c>
      <c r="AJ405" s="131">
        <v>453846</v>
      </c>
      <c r="AK405" s="131">
        <v>454209</v>
      </c>
      <c r="AL405" s="15">
        <f t="shared" si="1004"/>
        <v>46155</v>
      </c>
      <c r="AM405" s="60">
        <f t="shared" si="992"/>
        <v>45.420900000000003</v>
      </c>
      <c r="AN405" s="61">
        <f t="shared" si="993"/>
        <v>3.8900000000005264E-2</v>
      </c>
      <c r="AO405" s="62">
        <f>((AM405-MAX(AM$16:AM405))/MAX(AM$16:AM405))</f>
        <v>0</v>
      </c>
      <c r="AP405" s="16">
        <f t="shared" si="994"/>
        <v>8.5716804019226266E-4</v>
      </c>
      <c r="AQ405" s="153"/>
      <c r="AS405" s="16">
        <f t="shared" si="862"/>
        <v>4.589347405857625E-3</v>
      </c>
      <c r="AT405" s="77">
        <f t="shared" ref="AT405:AV405" si="1125">AT404</f>
        <v>3.8441392889145549E-3</v>
      </c>
      <c r="AU405" s="16">
        <f t="shared" si="1125"/>
        <v>6.8456135624472305E-4</v>
      </c>
      <c r="AV405" s="16" t="str">
        <f t="shared" si="1125"/>
        <v>Low Volatility</v>
      </c>
      <c r="AW405" s="14" t="str">
        <f t="shared" si="922"/>
        <v>Stable</v>
      </c>
    </row>
    <row r="406" spans="1:49" ht="15.75" hidden="1" thickBot="1">
      <c r="A406" s="131" t="s">
        <v>779</v>
      </c>
      <c r="B406" s="131" t="s">
        <v>1124</v>
      </c>
      <c r="C406" s="131" t="s">
        <v>1125</v>
      </c>
      <c r="D406" s="15">
        <v>46156</v>
      </c>
      <c r="E406" s="60">
        <f t="shared" si="876"/>
        <v>6793.88</v>
      </c>
      <c r="F406" s="61">
        <f t="shared" si="877"/>
        <v>-53.779999999999745</v>
      </c>
      <c r="G406" s="62">
        <f>((E406-MAX(E$16:E406))/MAX(E$16:E406))</f>
        <v>-9.8434773377213583E-2</v>
      </c>
      <c r="H406" s="16">
        <f t="shared" si="1103"/>
        <v>-7.8537777868643802E-3</v>
      </c>
      <c r="I406" s="153"/>
      <c r="K406" s="16">
        <f t="shared" si="902"/>
        <v>-3.2584663641471922E-3</v>
      </c>
      <c r="L406" s="77">
        <f t="shared" ref="L406:N406" si="1126">L405</f>
        <v>-5.6919329579180585E-3</v>
      </c>
      <c r="M406" s="16">
        <f t="shared" si="1126"/>
        <v>8.5822736038932961E-3</v>
      </c>
      <c r="N406" s="16" t="str">
        <f t="shared" si="1126"/>
        <v>Low Volatility</v>
      </c>
      <c r="O406" s="14" t="str">
        <f t="shared" si="948"/>
        <v>Weak/Unconfirmed</v>
      </c>
      <c r="S406" s="131" t="s">
        <v>779</v>
      </c>
      <c r="T406" s="131" t="s">
        <v>1471</v>
      </c>
      <c r="U406" s="131" t="s">
        <v>1472</v>
      </c>
      <c r="V406" s="15">
        <f t="shared" si="1099"/>
        <v>46156</v>
      </c>
      <c r="W406" s="60">
        <f t="shared" si="952"/>
        <v>121.96</v>
      </c>
      <c r="X406" s="61">
        <f t="shared" si="953"/>
        <v>-5.8900000000000006</v>
      </c>
      <c r="Y406" s="62">
        <f>((W406-MAX(W$16:W406))/MAX(W$16:W406))</f>
        <v>-0.24989236730426231</v>
      </c>
      <c r="Z406" s="16">
        <f t="shared" si="954"/>
        <v>-4.6069612827532268E-2</v>
      </c>
      <c r="AA406" s="153"/>
      <c r="AC406" s="16">
        <f t="shared" si="977"/>
        <v>6.8886941279579311E-2</v>
      </c>
      <c r="AD406" s="16">
        <f t="shared" ref="AD406" si="1127">AD403</f>
        <v>5.7779241006420221E-2</v>
      </c>
      <c r="AE406" s="16">
        <f t="shared" si="1121"/>
        <v>5.0692431528396656E-2</v>
      </c>
      <c r="AF406" s="16" t="str">
        <f t="shared" si="1115"/>
        <v>Medium Volatility</v>
      </c>
      <c r="AG406" s="14" t="str">
        <f t="shared" si="1039"/>
        <v>Strong Uptrend</v>
      </c>
      <c r="AI406" s="131" t="s">
        <v>779</v>
      </c>
      <c r="AJ406" s="131">
        <v>454192</v>
      </c>
      <c r="AK406" s="131">
        <v>454325</v>
      </c>
      <c r="AL406" s="15">
        <f t="shared" si="1004"/>
        <v>46156</v>
      </c>
      <c r="AM406" s="60">
        <f t="shared" si="992"/>
        <v>45.432499999999997</v>
      </c>
      <c r="AN406" s="61">
        <f t="shared" si="993"/>
        <v>1.1599999999994282E-2</v>
      </c>
      <c r="AO406" s="62">
        <f>((AM406-MAX(AM$16:AM406))/MAX(AM$16:AM406))</f>
        <v>0</v>
      </c>
      <c r="AP406" s="16">
        <f t="shared" si="994"/>
        <v>2.553890389665172E-4</v>
      </c>
      <c r="AQ406" s="153"/>
      <c r="AS406" s="16">
        <f t="shared" ref="AS406:AS469" si="1128">(AM406-AM399)/AM399</f>
        <v>4.1640788522701155E-3</v>
      </c>
      <c r="AT406" s="77">
        <f t="shared" ref="AT406:AV406" si="1129">AT405</f>
        <v>3.8441392889145549E-3</v>
      </c>
      <c r="AU406" s="16">
        <f t="shared" si="1129"/>
        <v>6.8456135624472305E-4</v>
      </c>
      <c r="AV406" s="16" t="str">
        <f t="shared" si="1129"/>
        <v>Low Volatility</v>
      </c>
      <c r="AW406" s="14" t="str">
        <f t="shared" si="922"/>
        <v>Stable</v>
      </c>
    </row>
    <row r="407" spans="1:49" ht="15.75" hidden="1" thickBot="1">
      <c r="A407" s="131" t="s">
        <v>780</v>
      </c>
      <c r="B407" s="131" t="s">
        <v>1126</v>
      </c>
      <c r="C407" s="131" t="s">
        <v>1127</v>
      </c>
      <c r="D407" s="15">
        <v>46157</v>
      </c>
      <c r="E407" s="60">
        <f t="shared" si="876"/>
        <v>6644.89</v>
      </c>
      <c r="F407" s="61">
        <f t="shared" si="877"/>
        <v>-148.98999999999978</v>
      </c>
      <c r="G407" s="62">
        <f>((E407-MAX(E$16:E407))/MAX(E$16:E407))</f>
        <v>-0.11820612687691166</v>
      </c>
      <c r="H407" s="16">
        <f t="shared" si="1103"/>
        <v>-2.1930031145678135E-2</v>
      </c>
      <c r="I407" s="153"/>
      <c r="K407" s="16">
        <f t="shared" si="902"/>
        <v>-3.3557700978238993E-2</v>
      </c>
      <c r="L407" s="77">
        <f t="shared" ref="L407:N407" si="1130">L406</f>
        <v>-5.6919329579180585E-3</v>
      </c>
      <c r="M407" s="16">
        <f t="shared" si="1130"/>
        <v>8.5822736038932961E-3</v>
      </c>
      <c r="N407" s="16" t="str">
        <f t="shared" si="1130"/>
        <v>Low Volatility</v>
      </c>
      <c r="O407" s="14" t="str">
        <f t="shared" si="948"/>
        <v>Weak/Unconfirmed</v>
      </c>
      <c r="S407" s="131" t="s">
        <v>780</v>
      </c>
      <c r="T407" s="131" t="s">
        <v>1473</v>
      </c>
      <c r="U407" s="131" t="s">
        <v>1474</v>
      </c>
      <c r="V407" s="15">
        <f t="shared" si="1099"/>
        <v>46157</v>
      </c>
      <c r="W407" s="60">
        <f t="shared" si="952"/>
        <v>111.19</v>
      </c>
      <c r="X407" s="61">
        <f t="shared" si="953"/>
        <v>-10.769999999999996</v>
      </c>
      <c r="Y407" s="62">
        <f>((W407-MAX(W$16:W407))/MAX(W$16:W407))</f>
        <v>-0.31613260348114891</v>
      </c>
      <c r="Z407" s="16">
        <f t="shared" si="954"/>
        <v>-8.8307641849786789E-2</v>
      </c>
      <c r="AA407" s="153"/>
      <c r="AC407" s="16">
        <f t="shared" si="977"/>
        <v>-5.1036954851924589E-2</v>
      </c>
      <c r="AD407" s="16">
        <f t="shared" ref="AD407" si="1131">AD403</f>
        <v>5.7779241006420221E-2</v>
      </c>
      <c r="AE407" s="16">
        <f t="shared" si="1121"/>
        <v>5.0692431528396656E-2</v>
      </c>
      <c r="AF407" s="16" t="str">
        <f t="shared" si="1115"/>
        <v>Medium Volatility</v>
      </c>
      <c r="AG407" s="14" t="str">
        <f t="shared" si="1039"/>
        <v>Weak/Unconfirmed</v>
      </c>
      <c r="AI407" s="131" t="s">
        <v>780</v>
      </c>
      <c r="AJ407" s="131">
        <v>454346</v>
      </c>
      <c r="AK407" s="131">
        <v>455176</v>
      </c>
      <c r="AL407" s="15">
        <f t="shared" si="1004"/>
        <v>46157</v>
      </c>
      <c r="AM407" s="60">
        <f t="shared" si="992"/>
        <v>45.517600000000002</v>
      </c>
      <c r="AN407" s="61">
        <f t="shared" si="993"/>
        <v>8.5100000000004172E-2</v>
      </c>
      <c r="AO407" s="62">
        <f>((AM407-MAX(AM$16:AM407))/MAX(AM$16:AM407))</f>
        <v>0</v>
      </c>
      <c r="AP407" s="16">
        <f t="shared" si="994"/>
        <v>1.8731084576020288E-3</v>
      </c>
      <c r="AQ407" s="153"/>
      <c r="AS407" s="16">
        <f t="shared" si="1128"/>
        <v>3.6248820369896842E-3</v>
      </c>
      <c r="AT407" s="77">
        <f t="shared" ref="AT407:AV407" si="1132">AT406</f>
        <v>3.8441392889145549E-3</v>
      </c>
      <c r="AU407" s="16">
        <f t="shared" si="1132"/>
        <v>6.8456135624472305E-4</v>
      </c>
      <c r="AV407" s="16" t="str">
        <f t="shared" si="1132"/>
        <v>Low Volatility</v>
      </c>
      <c r="AW407" s="14" t="str">
        <f t="shared" si="922"/>
        <v>Stable</v>
      </c>
    </row>
    <row r="408" spans="1:49" ht="15.75" hidden="1" thickBot="1">
      <c r="A408" s="131" t="s">
        <v>781</v>
      </c>
      <c r="B408" s="131" t="s">
        <v>1126</v>
      </c>
      <c r="C408" s="131" t="s">
        <v>1127</v>
      </c>
      <c r="D408" s="15">
        <v>46158</v>
      </c>
      <c r="E408" s="60">
        <f t="shared" si="876"/>
        <v>6644.89</v>
      </c>
      <c r="F408" s="61">
        <f t="shared" si="877"/>
        <v>0</v>
      </c>
      <c r="G408" s="62">
        <f>((E408-MAX(E$16:E408))/MAX(E$16:E408))</f>
        <v>-0.11820612687691166</v>
      </c>
      <c r="H408" s="16">
        <f t="shared" si="1103"/>
        <v>0</v>
      </c>
      <c r="I408" s="153"/>
      <c r="K408" s="16">
        <f t="shared" si="902"/>
        <v>-3.3557700978238993E-2</v>
      </c>
      <c r="L408" s="77">
        <f t="shared" ref="L408:N408" si="1133">L407</f>
        <v>-5.6919329579180585E-3</v>
      </c>
      <c r="M408" s="16">
        <f t="shared" si="1133"/>
        <v>8.5822736038932961E-3</v>
      </c>
      <c r="N408" s="16" t="str">
        <f t="shared" si="1133"/>
        <v>Low Volatility</v>
      </c>
      <c r="O408" s="14" t="str">
        <f t="shared" si="948"/>
        <v>Weak/Unconfirmed</v>
      </c>
      <c r="S408" s="131" t="s">
        <v>781</v>
      </c>
      <c r="T408" s="131" t="s">
        <v>1473</v>
      </c>
      <c r="U408" s="131" t="s">
        <v>1474</v>
      </c>
      <c r="V408" s="15">
        <f t="shared" si="1099"/>
        <v>46158</v>
      </c>
      <c r="W408" s="60">
        <f t="shared" si="952"/>
        <v>111.19</v>
      </c>
      <c r="X408" s="61">
        <f t="shared" si="953"/>
        <v>0</v>
      </c>
      <c r="Y408" s="62">
        <f>((W408-MAX(W$16:W408))/MAX(W$16:W408))</f>
        <v>-0.31613260348114891</v>
      </c>
      <c r="Z408" s="16">
        <f t="shared" si="954"/>
        <v>0</v>
      </c>
      <c r="AA408" s="153"/>
      <c r="AC408" s="16">
        <f t="shared" si="977"/>
        <v>-5.1036954851924589E-2</v>
      </c>
      <c r="AD408" s="16">
        <f t="shared" ref="AD408" si="1134">AD403</f>
        <v>5.7779241006420221E-2</v>
      </c>
      <c r="AE408" s="16">
        <f t="shared" si="1121"/>
        <v>5.0692431528396656E-2</v>
      </c>
      <c r="AF408" s="16" t="str">
        <f t="shared" si="1115"/>
        <v>Medium Volatility</v>
      </c>
      <c r="AG408" s="14" t="str">
        <f t="shared" si="1039"/>
        <v>Weak/Unconfirmed</v>
      </c>
      <c r="AI408" s="131" t="s">
        <v>781</v>
      </c>
      <c r="AJ408" s="131">
        <v>454346</v>
      </c>
      <c r="AK408" s="131">
        <v>455176</v>
      </c>
      <c r="AL408" s="15">
        <f t="shared" si="1004"/>
        <v>46158</v>
      </c>
      <c r="AM408" s="60">
        <f t="shared" si="992"/>
        <v>45.517600000000002</v>
      </c>
      <c r="AN408" s="61">
        <f t="shared" si="993"/>
        <v>0</v>
      </c>
      <c r="AO408" s="62">
        <f>((AM408-MAX(AM$16:AM408))/MAX(AM$16:AM408))</f>
        <v>0</v>
      </c>
      <c r="AP408" s="16">
        <f t="shared" si="994"/>
        <v>0</v>
      </c>
      <c r="AQ408" s="153"/>
      <c r="AS408" s="16">
        <f t="shared" si="1128"/>
        <v>3.6248820369896842E-3</v>
      </c>
      <c r="AT408" s="77">
        <f t="shared" ref="AT408:AV408" si="1135">AT407</f>
        <v>3.8441392889145549E-3</v>
      </c>
      <c r="AU408" s="16">
        <f t="shared" si="1135"/>
        <v>6.8456135624472305E-4</v>
      </c>
      <c r="AV408" s="16" t="str">
        <f t="shared" si="1135"/>
        <v>Low Volatility</v>
      </c>
      <c r="AW408" s="14" t="str">
        <f t="shared" si="922"/>
        <v>Stable</v>
      </c>
    </row>
    <row r="409" spans="1:49" ht="15.75" hidden="1" thickBot="1">
      <c r="A409" s="131" t="s">
        <v>782</v>
      </c>
      <c r="B409" s="131" t="s">
        <v>1126</v>
      </c>
      <c r="C409" s="131" t="s">
        <v>1127</v>
      </c>
      <c r="D409" s="15">
        <v>46159</v>
      </c>
      <c r="E409" s="60">
        <f t="shared" si="876"/>
        <v>6644.89</v>
      </c>
      <c r="F409" s="61">
        <f t="shared" si="877"/>
        <v>0</v>
      </c>
      <c r="G409" s="62">
        <f>((E409-MAX(E$16:E409))/MAX(E$16:E409))</f>
        <v>-0.11820612687691166</v>
      </c>
      <c r="H409" s="16">
        <f t="shared" si="1103"/>
        <v>0</v>
      </c>
      <c r="I409" s="153"/>
      <c r="K409" s="16">
        <f t="shared" si="902"/>
        <v>-3.3557700978238993E-2</v>
      </c>
      <c r="L409" s="77">
        <f t="shared" ref="L409:N409" si="1136">L408</f>
        <v>-5.6919329579180585E-3</v>
      </c>
      <c r="M409" s="16">
        <f t="shared" si="1136"/>
        <v>8.5822736038932961E-3</v>
      </c>
      <c r="N409" s="16" t="str">
        <f t="shared" si="1136"/>
        <v>Low Volatility</v>
      </c>
      <c r="O409" s="14" t="str">
        <f t="shared" si="948"/>
        <v>Weak/Unconfirmed</v>
      </c>
      <c r="S409" s="131" t="s">
        <v>782</v>
      </c>
      <c r="T409" s="131" t="s">
        <v>1473</v>
      </c>
      <c r="U409" s="131" t="s">
        <v>1474</v>
      </c>
      <c r="V409" s="15">
        <f t="shared" si="1099"/>
        <v>46159</v>
      </c>
      <c r="W409" s="60">
        <f t="shared" si="952"/>
        <v>111.19</v>
      </c>
      <c r="X409" s="61">
        <f t="shared" si="953"/>
        <v>0</v>
      </c>
      <c r="Y409" s="62">
        <f>((W409-MAX(W$16:W409))/MAX(W$16:W409))</f>
        <v>-0.31613260348114891</v>
      </c>
      <c r="Z409" s="16">
        <f t="shared" si="954"/>
        <v>0</v>
      </c>
      <c r="AA409" s="153"/>
      <c r="AC409" s="16">
        <f t="shared" si="977"/>
        <v>-5.1036954851924589E-2</v>
      </c>
      <c r="AD409" s="16">
        <f t="shared" ref="AD409:AE409" si="1137">AD403</f>
        <v>5.7779241006420221E-2</v>
      </c>
      <c r="AE409" s="16">
        <f t="shared" si="1137"/>
        <v>5.0692431528396656E-2</v>
      </c>
      <c r="AF409" s="16" t="str">
        <f t="shared" ref="AF409:AF410" si="1138">IF(AE409 &lt; 0.02, "Low Volatility",
 IF(AE409 &gt; 0.1, "High Volatility", "Medium Volatility"))</f>
        <v>Medium Volatility</v>
      </c>
      <c r="AG409" s="14" t="str">
        <f t="shared" si="1039"/>
        <v>Weak/Unconfirmed</v>
      </c>
      <c r="AI409" s="131" t="s">
        <v>782</v>
      </c>
      <c r="AJ409" s="131">
        <v>454346</v>
      </c>
      <c r="AK409" s="131">
        <v>455176</v>
      </c>
      <c r="AL409" s="15">
        <f t="shared" si="1004"/>
        <v>46159</v>
      </c>
      <c r="AM409" s="60">
        <f t="shared" si="992"/>
        <v>45.517600000000002</v>
      </c>
      <c r="AN409" s="61">
        <f t="shared" si="993"/>
        <v>0</v>
      </c>
      <c r="AO409" s="62">
        <f>((AM409-MAX(AM$16:AM409))/MAX(AM$16:AM409))</f>
        <v>0</v>
      </c>
      <c r="AP409" s="16">
        <f t="shared" si="994"/>
        <v>0</v>
      </c>
      <c r="AQ409" s="153"/>
      <c r="AS409" s="16">
        <f t="shared" si="1128"/>
        <v>3.6248820369896842E-3</v>
      </c>
      <c r="AT409" s="77">
        <f t="shared" ref="AT409:AV409" si="1139">AT408</f>
        <v>3.8441392889145549E-3</v>
      </c>
      <c r="AU409" s="16">
        <f t="shared" si="1139"/>
        <v>6.8456135624472305E-4</v>
      </c>
      <c r="AV409" s="16" t="str">
        <f t="shared" si="1139"/>
        <v>Low Volatility</v>
      </c>
      <c r="AW409" s="14" t="str">
        <f t="shared" si="922"/>
        <v>Stable</v>
      </c>
    </row>
    <row r="410" spans="1:49" ht="15.75" hidden="1" thickBot="1">
      <c r="A410" s="131" t="s">
        <v>783</v>
      </c>
      <c r="B410" s="131" t="s">
        <v>1128</v>
      </c>
      <c r="C410" s="131" t="s">
        <v>1129</v>
      </c>
      <c r="D410" s="15">
        <v>46160</v>
      </c>
      <c r="E410" s="60">
        <f t="shared" ref="E410:E473" si="1140">VALUE(SUBSTITUTE(SUBSTITUTE(C410, ".", ""), ",", "."))</f>
        <v>6691.79</v>
      </c>
      <c r="F410" s="61">
        <f t="shared" ref="F410:F473" si="1141">E410-E409</f>
        <v>46.899999999999636</v>
      </c>
      <c r="G410" s="62">
        <f>((E410-MAX(E$16:E410))/MAX(E$16:E410))</f>
        <v>-0.11198237710084727</v>
      </c>
      <c r="H410" s="16">
        <f t="shared" si="1103"/>
        <v>7.0580551371052999E-3</v>
      </c>
      <c r="I410" s="153">
        <f>AVERAGEIFS(E410:E417, E410:E417, "&gt;=0")</f>
        <v>6648.7612499999996</v>
      </c>
      <c r="K410" s="16">
        <f t="shared" si="902"/>
        <v>-3.1060046624096869E-2</v>
      </c>
      <c r="L410" s="77">
        <f t="shared" ref="L410" si="1142">(I410-I403)/I403</f>
        <v>-1.6004559781645597E-2</v>
      </c>
      <c r="M410" s="16" cm="1">
        <f t="array" ref="M410">_xlfn.STDEV.S(_xlfn._xlws.FILTER(F410:F416, ISNUMBER(F410:F416))) / I410</f>
        <v>9.9971769560312524E-3</v>
      </c>
      <c r="N410" s="16" t="str" cm="1">
        <f t="array" ref="N410">_xlfn.LET(
  _xlpm.c, M231,
  IFERROR(
    _xlfn.IFS(_xlpm.c&lt;0.02,"Low Volatility",
        _xlpm.c&gt;0.1,"High Volatility",
        TRUE,"Medium Volatility"),
    "Insufficient data"
  )
)</f>
        <v>Low Volatility</v>
      </c>
      <c r="O410" s="14" t="str">
        <f t="shared" si="948"/>
        <v>Strong Downtrend</v>
      </c>
      <c r="S410" s="131" t="s">
        <v>783</v>
      </c>
      <c r="T410" s="131" t="s">
        <v>1475</v>
      </c>
      <c r="U410" s="131" t="s">
        <v>1476</v>
      </c>
      <c r="V410" s="15">
        <f t="shared" si="1099"/>
        <v>46160</v>
      </c>
      <c r="W410" s="60">
        <f t="shared" si="952"/>
        <v>113.87</v>
      </c>
      <c r="X410" s="61">
        <f t="shared" si="953"/>
        <v>2.6800000000000068</v>
      </c>
      <c r="Y410" s="62">
        <f>((W410-MAX(W$16:W410))/MAX(W$16:W410))</f>
        <v>-0.29964942493388275</v>
      </c>
      <c r="Z410" s="16">
        <f t="shared" si="954"/>
        <v>2.4102886950265374E-2</v>
      </c>
      <c r="AA410" s="153">
        <f t="shared" ref="AA410" si="1143">AVERAGEIFS(W410:W416, W410:W416, "&gt;=0")</f>
        <v>111.25285714285714</v>
      </c>
      <c r="AC410" s="16">
        <f t="shared" si="977"/>
        <v>-9.3463896186609302E-2</v>
      </c>
      <c r="AD410" s="66">
        <f t="shared" ref="AD410" si="1144">(AA410-AA403)/AA403</f>
        <v>-6.7743248419843152E-2</v>
      </c>
      <c r="AE410" s="16" cm="1">
        <f t="array" ref="AE410">_xlfn.STDEV.S(_xlfn._xlws.FILTER(X410:X416, ISNUMBER(X410:X416))) / AA410</f>
        <v>2.720782272716386E-2</v>
      </c>
      <c r="AF410" s="16" t="str">
        <f t="shared" si="1138"/>
        <v>Medium Volatility</v>
      </c>
      <c r="AG410" s="14" t="str">
        <f t="shared" si="1039"/>
        <v>Strong Downtrend</v>
      </c>
      <c r="AI410" s="131" t="s">
        <v>783</v>
      </c>
      <c r="AJ410" s="131">
        <v>455244</v>
      </c>
      <c r="AK410" s="131">
        <v>455780</v>
      </c>
      <c r="AL410" s="15">
        <f t="shared" si="1004"/>
        <v>46160</v>
      </c>
      <c r="AM410" s="60">
        <f t="shared" si="992"/>
        <v>45.578000000000003</v>
      </c>
      <c r="AN410" s="61">
        <f t="shared" si="993"/>
        <v>6.0400000000001342E-2</v>
      </c>
      <c r="AO410" s="62">
        <f>((AM410-MAX(AM$16:AM410))/MAX(AM$16:AM410))</f>
        <v>0</v>
      </c>
      <c r="AP410" s="16">
        <f t="shared" si="994"/>
        <v>1.3269592421393337E-3</v>
      </c>
      <c r="AQ410" s="153">
        <f t="shared" ref="AQ410" si="1145">AVERAGEIFS(AM410:AM416, AM410:AM416, "&gt;=0")</f>
        <v>45.649514285714289</v>
      </c>
      <c r="AS410" s="16">
        <f t="shared" si="1128"/>
        <v>4.9367091398572656E-3</v>
      </c>
      <c r="AT410" s="77">
        <f t="shared" ref="AT410" si="1146">(AQ410-AQ403)/AQ403</f>
        <v>4.4140625122783524E-3</v>
      </c>
      <c r="AU410" s="16" cm="1">
        <f t="array" ref="AU410">_xlfn.STDEV.S(_xlfn._xlws.FILTER(AN410:AN416, ISNUMBER(AN410:AN416))) / AQ410</f>
        <v>1.2049527158955119E-3</v>
      </c>
      <c r="AV410" s="16" t="str">
        <f t="shared" ref="AV410" si="1147">IF(AU410 &lt; 0.02, "Low Volatility",
 IF(AU410 &gt; 0.1, "High Volatility", "Medium Volatility"))</f>
        <v>Low Volatility</v>
      </c>
      <c r="AW410" s="14" t="str">
        <f t="shared" si="922"/>
        <v>Stable</v>
      </c>
    </row>
    <row r="411" spans="1:49" ht="15.75" hidden="1" thickBot="1">
      <c r="A411" s="131" t="s">
        <v>784</v>
      </c>
      <c r="B411" s="131" t="s">
        <v>1130</v>
      </c>
      <c r="C411" s="131" t="s">
        <v>1131</v>
      </c>
      <c r="D411" s="15">
        <v>46161</v>
      </c>
      <c r="E411" s="60">
        <f t="shared" si="1140"/>
        <v>6568.74</v>
      </c>
      <c r="F411" s="61">
        <f t="shared" si="1141"/>
        <v>-123.05000000000018</v>
      </c>
      <c r="G411" s="62">
        <f>((E411-MAX(E$16:E411))/MAX(E$16:E411))</f>
        <v>-0.12831142635340015</v>
      </c>
      <c r="H411" s="16">
        <f t="shared" si="1103"/>
        <v>-1.83882040530262E-2</v>
      </c>
      <c r="I411" s="153"/>
      <c r="K411" s="16">
        <f t="shared" si="902"/>
        <v>-4.5368933224045664E-2</v>
      </c>
      <c r="L411" s="77">
        <f t="shared" ref="L411:N411" si="1148">L410</f>
        <v>-1.6004559781645597E-2</v>
      </c>
      <c r="M411" s="16">
        <f t="shared" si="1148"/>
        <v>9.9971769560312524E-3</v>
      </c>
      <c r="N411" s="16" t="str">
        <f t="shared" si="1148"/>
        <v>Low Volatility</v>
      </c>
      <c r="O411" s="14" t="str">
        <f t="shared" si="948"/>
        <v>Strong Downtrend</v>
      </c>
      <c r="S411" s="131" t="s">
        <v>784</v>
      </c>
      <c r="T411" s="131" t="s">
        <v>1476</v>
      </c>
      <c r="U411" s="131" t="s">
        <v>1477</v>
      </c>
      <c r="V411" s="15">
        <f t="shared" si="1099"/>
        <v>46161</v>
      </c>
      <c r="W411" s="60">
        <f t="shared" si="952"/>
        <v>108.03</v>
      </c>
      <c r="X411" s="61">
        <f t="shared" si="953"/>
        <v>-5.8400000000000034</v>
      </c>
      <c r="Y411" s="62">
        <f>((W411-MAX(W$16:W411))/MAX(W$16:W411))</f>
        <v>-0.33556799311150748</v>
      </c>
      <c r="Z411" s="16">
        <f t="shared" si="954"/>
        <v>-5.1286554843242321E-2</v>
      </c>
      <c r="AA411" s="153"/>
      <c r="AC411" s="16">
        <f t="shared" si="977"/>
        <v>-0.1451293819735697</v>
      </c>
      <c r="AD411" s="16">
        <f t="shared" ref="AD411:AF415" si="1149">AD410</f>
        <v>-6.7743248419843152E-2</v>
      </c>
      <c r="AE411" s="16">
        <f t="shared" si="1149"/>
        <v>2.720782272716386E-2</v>
      </c>
      <c r="AF411" s="16" t="str">
        <f t="shared" si="1149"/>
        <v>Medium Volatility</v>
      </c>
      <c r="AG411" s="14" t="str">
        <f t="shared" si="1039"/>
        <v>Strong Downtrend</v>
      </c>
      <c r="AI411" s="131" t="s">
        <v>784</v>
      </c>
      <c r="AJ411" s="131">
        <v>455769</v>
      </c>
      <c r="AK411" s="131">
        <v>455808</v>
      </c>
      <c r="AL411" s="15">
        <f t="shared" si="1004"/>
        <v>46161</v>
      </c>
      <c r="AM411" s="60">
        <f t="shared" si="992"/>
        <v>45.580800000000004</v>
      </c>
      <c r="AN411" s="61">
        <f t="shared" si="993"/>
        <v>2.8000000000005798E-3</v>
      </c>
      <c r="AO411" s="62">
        <f>((AM411-MAX(AM$16:AM411))/MAX(AM$16:AM411))</f>
        <v>0</v>
      </c>
      <c r="AP411" s="16">
        <f t="shared" si="994"/>
        <v>6.1433147571209341E-5</v>
      </c>
      <c r="AQ411" s="153"/>
      <c r="AS411" s="16">
        <f t="shared" si="1128"/>
        <v>4.3805914239126893E-3</v>
      </c>
      <c r="AT411" s="77">
        <f t="shared" ref="AT411:AV411" si="1150">AT410</f>
        <v>4.4140625122783524E-3</v>
      </c>
      <c r="AU411" s="16">
        <f t="shared" si="1150"/>
        <v>1.2049527158955119E-3</v>
      </c>
      <c r="AV411" s="16" t="str">
        <f t="shared" si="1150"/>
        <v>Low Volatility</v>
      </c>
      <c r="AW411" s="14" t="str">
        <f t="shared" si="922"/>
        <v>Stable</v>
      </c>
    </row>
    <row r="412" spans="1:49" ht="15.75" hidden="1" thickBot="1">
      <c r="A412" s="131" t="s">
        <v>785</v>
      </c>
      <c r="B412" s="131" t="s">
        <v>1132</v>
      </c>
      <c r="C412" s="131" t="s">
        <v>1133</v>
      </c>
      <c r="D412" s="15">
        <v>46162</v>
      </c>
      <c r="E412" s="60">
        <f t="shared" si="1140"/>
        <v>6660.33</v>
      </c>
      <c r="F412" s="61">
        <f t="shared" si="1141"/>
        <v>91.590000000000146</v>
      </c>
      <c r="G412" s="62">
        <f>((E412-MAX(E$16:E412))/MAX(E$16:E412))</f>
        <v>-0.1161571994453033</v>
      </c>
      <c r="H412" s="16">
        <f t="shared" si="1103"/>
        <v>1.3943313329497003E-2</v>
      </c>
      <c r="I412" s="153"/>
      <c r="K412" s="16">
        <f t="shared" si="902"/>
        <v>-2.7356790494855166E-2</v>
      </c>
      <c r="L412" s="77">
        <f t="shared" ref="L412:N412" si="1151">L411</f>
        <v>-1.6004559781645597E-2</v>
      </c>
      <c r="M412" s="16">
        <f t="shared" si="1151"/>
        <v>9.9971769560312524E-3</v>
      </c>
      <c r="N412" s="16" t="str">
        <f t="shared" si="1151"/>
        <v>Low Volatility</v>
      </c>
      <c r="O412" s="14" t="str">
        <f t="shared" si="948"/>
        <v>Strong Downtrend</v>
      </c>
      <c r="S412" s="131" t="s">
        <v>785</v>
      </c>
      <c r="T412" s="131" t="s">
        <v>1477</v>
      </c>
      <c r="U412" s="131" t="s">
        <v>1478</v>
      </c>
      <c r="V412" s="15">
        <f t="shared" si="1099"/>
        <v>46162</v>
      </c>
      <c r="W412" s="60">
        <f t="shared" si="952"/>
        <v>111.25</v>
      </c>
      <c r="X412" s="61">
        <f t="shared" si="953"/>
        <v>3.2199999999999989</v>
      </c>
      <c r="Y412" s="62">
        <f>((W412-MAX(W$16:W412))/MAX(W$16:W412))</f>
        <v>-0.31576357709576236</v>
      </c>
      <c r="Z412" s="16">
        <f t="shared" si="954"/>
        <v>2.9806535221697666E-2</v>
      </c>
      <c r="AA412" s="153"/>
      <c r="AC412" s="16">
        <f t="shared" si="977"/>
        <v>-0.1298396558466953</v>
      </c>
      <c r="AD412" s="16">
        <f t="shared" ref="AD412" si="1152">AD410</f>
        <v>-6.7743248419843152E-2</v>
      </c>
      <c r="AE412" s="16">
        <f t="shared" si="1149"/>
        <v>2.720782272716386E-2</v>
      </c>
      <c r="AF412" s="16" t="str">
        <f t="shared" si="1149"/>
        <v>Medium Volatility</v>
      </c>
      <c r="AG412" s="14" t="str">
        <f t="shared" si="1039"/>
        <v>Strong Downtrend</v>
      </c>
      <c r="AI412" s="131" t="s">
        <v>785</v>
      </c>
      <c r="AJ412" s="131">
        <v>455822</v>
      </c>
      <c r="AK412" s="131">
        <v>455888</v>
      </c>
      <c r="AL412" s="15">
        <f t="shared" si="1004"/>
        <v>46162</v>
      </c>
      <c r="AM412" s="60">
        <f t="shared" si="992"/>
        <v>45.588799999999999</v>
      </c>
      <c r="AN412" s="61">
        <f t="shared" si="993"/>
        <v>7.9999999999955662E-3</v>
      </c>
      <c r="AO412" s="62">
        <f>((AM412-MAX(AM$16:AM412))/MAX(AM$16:AM412))</f>
        <v>0</v>
      </c>
      <c r="AP412" s="16">
        <f t="shared" si="994"/>
        <v>1.7551249648965279E-4</v>
      </c>
      <c r="AQ412" s="153"/>
      <c r="AS412" s="16">
        <f t="shared" si="1128"/>
        <v>3.6965361760774428E-3</v>
      </c>
      <c r="AT412" s="77">
        <f t="shared" ref="AT412:AV412" si="1153">AT411</f>
        <v>4.4140625122783524E-3</v>
      </c>
      <c r="AU412" s="16">
        <f t="shared" si="1153"/>
        <v>1.2049527158955119E-3</v>
      </c>
      <c r="AV412" s="16" t="str">
        <f t="shared" si="1153"/>
        <v>Low Volatility</v>
      </c>
      <c r="AW412" s="14" t="str">
        <f t="shared" si="922"/>
        <v>Stable</v>
      </c>
    </row>
    <row r="413" spans="1:49" ht="15.75" hidden="1" thickBot="1">
      <c r="A413" s="131" t="s">
        <v>786</v>
      </c>
      <c r="B413" s="131" t="s">
        <v>1134</v>
      </c>
      <c r="C413" s="131" t="s">
        <v>1135</v>
      </c>
      <c r="D413" s="15">
        <v>46163</v>
      </c>
      <c r="E413" s="60">
        <f t="shared" si="1140"/>
        <v>6659.23</v>
      </c>
      <c r="F413" s="61">
        <f t="shared" si="1141"/>
        <v>-1.1000000000003638</v>
      </c>
      <c r="G413" s="62">
        <f>((E413-MAX(E$16:E413))/MAX(E$16:E413))</f>
        <v>-0.11630317225455006</v>
      </c>
      <c r="H413" s="16">
        <f t="shared" si="1103"/>
        <v>-1.6515698171117103E-4</v>
      </c>
      <c r="I413" s="153"/>
      <c r="K413" s="16">
        <f t="shared" si="902"/>
        <v>-1.9819307965404237E-2</v>
      </c>
      <c r="L413" s="77">
        <f t="shared" ref="L413:N413" si="1154">L412</f>
        <v>-1.6004559781645597E-2</v>
      </c>
      <c r="M413" s="16">
        <f t="shared" si="1154"/>
        <v>9.9971769560312524E-3</v>
      </c>
      <c r="N413" s="16" t="str">
        <f t="shared" si="1154"/>
        <v>Low Volatility</v>
      </c>
      <c r="O413" s="14" t="str">
        <f t="shared" si="948"/>
        <v>Strong Downtrend</v>
      </c>
      <c r="S413" s="131" t="s">
        <v>786</v>
      </c>
      <c r="T413" s="131" t="s">
        <v>1479</v>
      </c>
      <c r="U413" s="131" t="s">
        <v>1480</v>
      </c>
      <c r="V413" s="15">
        <f t="shared" si="1099"/>
        <v>46163</v>
      </c>
      <c r="W413" s="60">
        <f t="shared" si="952"/>
        <v>112.44</v>
      </c>
      <c r="X413" s="61">
        <f t="shared" si="953"/>
        <v>1.1899999999999977</v>
      </c>
      <c r="Y413" s="62">
        <f>((W413-MAX(W$16:W413))/MAX(W$16:W413))</f>
        <v>-0.30844455378559571</v>
      </c>
      <c r="Z413" s="16">
        <f t="shared" si="954"/>
        <v>1.0696629213483126E-2</v>
      </c>
      <c r="AA413" s="153"/>
      <c r="AC413" s="16">
        <f t="shared" si="977"/>
        <v>-7.8058379796654614E-2</v>
      </c>
      <c r="AD413" s="16">
        <f t="shared" ref="AD413" si="1155">AD410</f>
        <v>-6.7743248419843152E-2</v>
      </c>
      <c r="AE413" s="16">
        <f t="shared" si="1149"/>
        <v>2.720782272716386E-2</v>
      </c>
      <c r="AF413" s="16" t="str">
        <f t="shared" si="1149"/>
        <v>Medium Volatility</v>
      </c>
      <c r="AG413" s="14" t="str">
        <f t="shared" si="1039"/>
        <v>Strong Downtrend</v>
      </c>
      <c r="AI413" s="131" t="s">
        <v>786</v>
      </c>
      <c r="AJ413" s="131">
        <v>455906</v>
      </c>
      <c r="AK413" s="131">
        <v>455904</v>
      </c>
      <c r="AL413" s="15">
        <f t="shared" si="1004"/>
        <v>46163</v>
      </c>
      <c r="AM413" s="60">
        <f t="shared" si="992"/>
        <v>45.590400000000002</v>
      </c>
      <c r="AN413" s="61">
        <f t="shared" si="993"/>
        <v>1.6000000000033765E-3</v>
      </c>
      <c r="AO413" s="62">
        <f>((AM413-MAX(AM$16:AM413))/MAX(AM$16:AM413))</f>
        <v>0</v>
      </c>
      <c r="AP413" s="16">
        <f t="shared" si="994"/>
        <v>3.5096339451869239E-5</v>
      </c>
      <c r="AQ413" s="153"/>
      <c r="AS413" s="16">
        <f t="shared" si="1128"/>
        <v>3.4754856105212138E-3</v>
      </c>
      <c r="AT413" s="77">
        <f t="shared" ref="AT413:AV413" si="1156">AT412</f>
        <v>4.4140625122783524E-3</v>
      </c>
      <c r="AU413" s="16">
        <f t="shared" si="1156"/>
        <v>1.2049527158955119E-3</v>
      </c>
      <c r="AV413" s="16" t="str">
        <f t="shared" si="1156"/>
        <v>Low Volatility</v>
      </c>
      <c r="AW413" s="14" t="str">
        <f t="shared" si="922"/>
        <v>Stable</v>
      </c>
    </row>
    <row r="414" spans="1:49" ht="15.75" hidden="1" thickBot="1">
      <c r="A414" s="131" t="s">
        <v>787</v>
      </c>
      <c r="B414" s="131" t="s">
        <v>1136</v>
      </c>
      <c r="C414" s="131" t="s">
        <v>1137</v>
      </c>
      <c r="D414" s="15">
        <v>46164</v>
      </c>
      <c r="E414" s="60">
        <f t="shared" si="1140"/>
        <v>6630.84</v>
      </c>
      <c r="F414" s="61">
        <f t="shared" si="1141"/>
        <v>-28.389999999999418</v>
      </c>
      <c r="G414" s="62">
        <f>((E414-MAX(E$16:E414))/MAX(E$16:E414))</f>
        <v>-0.12007059775865381</v>
      </c>
      <c r="H414" s="16">
        <f t="shared" si="1103"/>
        <v>-4.2632556616905284E-3</v>
      </c>
      <c r="I414" s="153"/>
      <c r="K414" s="16">
        <f t="shared" si="902"/>
        <v>-2.1144067095166634E-3</v>
      </c>
      <c r="L414" s="77">
        <f t="shared" ref="L414:N414" si="1157">L413</f>
        <v>-1.6004559781645597E-2</v>
      </c>
      <c r="M414" s="16">
        <f t="shared" si="1157"/>
        <v>9.9971769560312524E-3</v>
      </c>
      <c r="N414" s="16" t="str">
        <f t="shared" si="1157"/>
        <v>Low Volatility</v>
      </c>
      <c r="O414" s="14" t="str">
        <f t="shared" si="948"/>
        <v>Weak/Unconfirmed</v>
      </c>
      <c r="S414" s="131" t="s">
        <v>787</v>
      </c>
      <c r="T414" s="131" t="s">
        <v>1480</v>
      </c>
      <c r="U414" s="131" t="s">
        <v>1481</v>
      </c>
      <c r="V414" s="15">
        <f t="shared" si="1099"/>
        <v>46164</v>
      </c>
      <c r="W414" s="60">
        <f t="shared" si="952"/>
        <v>111.06</v>
      </c>
      <c r="X414" s="61">
        <f t="shared" si="953"/>
        <v>-1.3799999999999955</v>
      </c>
      <c r="Y414" s="62">
        <f>((W414-MAX(W$16:W414))/MAX(W$16:W414))</f>
        <v>-0.31693216064948643</v>
      </c>
      <c r="Z414" s="16">
        <f t="shared" si="954"/>
        <v>-1.2273212379935925E-2</v>
      </c>
      <c r="AA414" s="153"/>
      <c r="AC414" s="16">
        <f t="shared" si="977"/>
        <v>-1.1691698893785004E-3</v>
      </c>
      <c r="AD414" s="16">
        <f t="shared" ref="AD414" si="1158">AD410</f>
        <v>-6.7743248419843152E-2</v>
      </c>
      <c r="AE414" s="16">
        <f t="shared" si="1149"/>
        <v>2.720782272716386E-2</v>
      </c>
      <c r="AF414" s="16" t="str">
        <f t="shared" si="1149"/>
        <v>Medium Volatility</v>
      </c>
      <c r="AG414" s="14" t="str">
        <f t="shared" si="1039"/>
        <v>Weak/Unconfirmed</v>
      </c>
      <c r="AI414" s="131" t="s">
        <v>787</v>
      </c>
      <c r="AJ414" s="131">
        <v>455875</v>
      </c>
      <c r="AK414" s="131">
        <v>457362</v>
      </c>
      <c r="AL414" s="15">
        <f t="shared" si="1004"/>
        <v>46164</v>
      </c>
      <c r="AM414" s="60">
        <f t="shared" si="992"/>
        <v>45.736199999999997</v>
      </c>
      <c r="AN414" s="61">
        <f t="shared" si="993"/>
        <v>0.14579999999999416</v>
      </c>
      <c r="AO414" s="62">
        <f>((AM414-MAX(AM$16:AM414))/MAX(AM$16:AM414))</f>
        <v>0</v>
      </c>
      <c r="AP414" s="16">
        <f t="shared" si="994"/>
        <v>3.1980416929878693E-3</v>
      </c>
      <c r="AQ414" s="153"/>
      <c r="AS414" s="16">
        <f t="shared" si="1128"/>
        <v>4.802537919398101E-3</v>
      </c>
      <c r="AT414" s="77">
        <f t="shared" ref="AT414:AV414" si="1159">AT413</f>
        <v>4.4140625122783524E-3</v>
      </c>
      <c r="AU414" s="16">
        <f t="shared" si="1159"/>
        <v>1.2049527158955119E-3</v>
      </c>
      <c r="AV414" s="16" t="str">
        <f t="shared" si="1159"/>
        <v>Low Volatility</v>
      </c>
      <c r="AW414" s="14" t="str">
        <f t="shared" si="922"/>
        <v>Stable</v>
      </c>
    </row>
    <row r="415" spans="1:49" ht="15.75" hidden="1" thickBot="1">
      <c r="A415" s="131" t="s">
        <v>788</v>
      </c>
      <c r="B415" s="131" t="s">
        <v>1136</v>
      </c>
      <c r="C415" s="131" t="s">
        <v>1137</v>
      </c>
      <c r="D415" s="15">
        <v>46165</v>
      </c>
      <c r="E415" s="60">
        <f t="shared" si="1140"/>
        <v>6630.84</v>
      </c>
      <c r="F415" s="61">
        <f t="shared" si="1141"/>
        <v>0</v>
      </c>
      <c r="G415" s="62">
        <f>((E415-MAX(E$16:E415))/MAX(E$16:E415))</f>
        <v>-0.12007059775865381</v>
      </c>
      <c r="H415" s="16">
        <f t="shared" si="1103"/>
        <v>0</v>
      </c>
      <c r="I415" s="153"/>
      <c r="K415" s="16">
        <f t="shared" si="902"/>
        <v>-2.1144067095166634E-3</v>
      </c>
      <c r="L415" s="77">
        <f t="shared" ref="L415:N415" si="1160">L414</f>
        <v>-1.6004559781645597E-2</v>
      </c>
      <c r="M415" s="16">
        <f t="shared" si="1160"/>
        <v>9.9971769560312524E-3</v>
      </c>
      <c r="N415" s="16" t="str">
        <f t="shared" si="1160"/>
        <v>Low Volatility</v>
      </c>
      <c r="O415" s="14" t="str">
        <f t="shared" si="948"/>
        <v>Weak/Unconfirmed</v>
      </c>
      <c r="S415" s="131" t="s">
        <v>788</v>
      </c>
      <c r="T415" s="131" t="s">
        <v>1480</v>
      </c>
      <c r="U415" s="131" t="s">
        <v>1481</v>
      </c>
      <c r="V415" s="15">
        <f t="shared" si="1099"/>
        <v>46165</v>
      </c>
      <c r="W415" s="60">
        <f t="shared" si="952"/>
        <v>111.06</v>
      </c>
      <c r="X415" s="61">
        <f t="shared" si="953"/>
        <v>0</v>
      </c>
      <c r="Y415" s="62">
        <f>((W415-MAX(W$16:W415))/MAX(W$16:W415))</f>
        <v>-0.31693216064948643</v>
      </c>
      <c r="Z415" s="16">
        <f t="shared" si="954"/>
        <v>0</v>
      </c>
      <c r="AA415" s="153"/>
      <c r="AC415" s="16">
        <f t="shared" si="977"/>
        <v>-1.1691698893785004E-3</v>
      </c>
      <c r="AD415" s="16">
        <f t="shared" ref="AD415" si="1161">AD410</f>
        <v>-6.7743248419843152E-2</v>
      </c>
      <c r="AE415" s="16">
        <f t="shared" si="1149"/>
        <v>2.720782272716386E-2</v>
      </c>
      <c r="AF415" s="16" t="str">
        <f t="shared" si="1149"/>
        <v>Medium Volatility</v>
      </c>
      <c r="AG415" s="14" t="str">
        <f t="shared" si="1039"/>
        <v>Weak/Unconfirmed</v>
      </c>
      <c r="AI415" s="131" t="s">
        <v>788</v>
      </c>
      <c r="AJ415" s="131">
        <v>455875</v>
      </c>
      <c r="AK415" s="131">
        <v>457362</v>
      </c>
      <c r="AL415" s="15">
        <f t="shared" si="1004"/>
        <v>46165</v>
      </c>
      <c r="AM415" s="60">
        <f t="shared" si="992"/>
        <v>45.736199999999997</v>
      </c>
      <c r="AN415" s="61">
        <f t="shared" si="993"/>
        <v>0</v>
      </c>
      <c r="AO415" s="62">
        <f>((AM415-MAX(AM$16:AM415))/MAX(AM$16:AM415))</f>
        <v>0</v>
      </c>
      <c r="AP415" s="16">
        <f t="shared" si="994"/>
        <v>0</v>
      </c>
      <c r="AQ415" s="153"/>
      <c r="AS415" s="16">
        <f t="shared" si="1128"/>
        <v>4.802537919398101E-3</v>
      </c>
      <c r="AT415" s="77">
        <f t="shared" ref="AT415:AV415" si="1162">AT414</f>
        <v>4.4140625122783524E-3</v>
      </c>
      <c r="AU415" s="16">
        <f t="shared" si="1162"/>
        <v>1.2049527158955119E-3</v>
      </c>
      <c r="AV415" s="16" t="str">
        <f t="shared" si="1162"/>
        <v>Low Volatility</v>
      </c>
      <c r="AW415" s="14" t="str">
        <f t="shared" si="922"/>
        <v>Stable</v>
      </c>
    </row>
    <row r="416" spans="1:49" ht="15.75" hidden="1" thickBot="1">
      <c r="A416" s="131" t="s">
        <v>789</v>
      </c>
      <c r="B416" s="131" t="s">
        <v>1136</v>
      </c>
      <c r="C416" s="131" t="s">
        <v>1137</v>
      </c>
      <c r="D416" s="15">
        <v>46166</v>
      </c>
      <c r="E416" s="60">
        <f t="shared" si="1140"/>
        <v>6630.84</v>
      </c>
      <c r="F416" s="61">
        <f t="shared" si="1141"/>
        <v>0</v>
      </c>
      <c r="G416" s="62">
        <f>((E416-MAX(E$16:E416))/MAX(E$16:E416))</f>
        <v>-0.12007059775865381</v>
      </c>
      <c r="H416" s="16">
        <f t="shared" si="1103"/>
        <v>0</v>
      </c>
      <c r="I416" s="153"/>
      <c r="K416" s="16">
        <f t="shared" ref="K416:K479" si="1163">(E416-E409)/E409</f>
        <v>-2.1144067095166634E-3</v>
      </c>
      <c r="L416" s="77">
        <f t="shared" ref="L416:N416" si="1164">L415</f>
        <v>-1.6004559781645597E-2</v>
      </c>
      <c r="M416" s="16">
        <f t="shared" si="1164"/>
        <v>9.9971769560312524E-3</v>
      </c>
      <c r="N416" s="16" t="str">
        <f t="shared" si="1164"/>
        <v>Low Volatility</v>
      </c>
      <c r="O416" s="14" t="str">
        <f t="shared" si="948"/>
        <v>Weak/Unconfirmed</v>
      </c>
      <c r="S416" s="131" t="s">
        <v>789</v>
      </c>
      <c r="T416" s="131" t="s">
        <v>1480</v>
      </c>
      <c r="U416" s="131" t="s">
        <v>1481</v>
      </c>
      <c r="V416" s="15">
        <f t="shared" si="1099"/>
        <v>46166</v>
      </c>
      <c r="W416" s="60">
        <f t="shared" si="952"/>
        <v>111.06</v>
      </c>
      <c r="X416" s="61">
        <f t="shared" si="953"/>
        <v>0</v>
      </c>
      <c r="Y416" s="62">
        <f>((W416-MAX(W$16:W416))/MAX(W$16:W416))</f>
        <v>-0.31693216064948643</v>
      </c>
      <c r="Z416" s="16">
        <f t="shared" si="954"/>
        <v>0</v>
      </c>
      <c r="AA416" s="153"/>
      <c r="AC416" s="16">
        <f t="shared" si="977"/>
        <v>-1.1691698893785004E-3</v>
      </c>
      <c r="AD416" s="16">
        <f t="shared" ref="AD416:AE416" si="1165">AD410</f>
        <v>-6.7743248419843152E-2</v>
      </c>
      <c r="AE416" s="16">
        <f t="shared" si="1165"/>
        <v>2.720782272716386E-2</v>
      </c>
      <c r="AF416" s="16" t="str">
        <f t="shared" ref="AF416" si="1166">IF(AE416 &lt; 0.02, "Low Volatility",
 IF(AE416 &gt; 0.1, "High Volatility", "Medium Volatility"))</f>
        <v>Medium Volatility</v>
      </c>
      <c r="AG416" s="14" t="str">
        <f t="shared" si="1039"/>
        <v>Weak/Unconfirmed</v>
      </c>
      <c r="AI416" s="131" t="s">
        <v>789</v>
      </c>
      <c r="AJ416" s="131">
        <v>455875</v>
      </c>
      <c r="AK416" s="131">
        <v>457362</v>
      </c>
      <c r="AL416" s="15">
        <f t="shared" si="1004"/>
        <v>46166</v>
      </c>
      <c r="AM416" s="60">
        <f t="shared" si="992"/>
        <v>45.736199999999997</v>
      </c>
      <c r="AN416" s="61">
        <f t="shared" si="993"/>
        <v>0</v>
      </c>
      <c r="AO416" s="62">
        <f>((AM416-MAX(AM$16:AM416))/MAX(AM$16:AM416))</f>
        <v>0</v>
      </c>
      <c r="AP416" s="16">
        <f t="shared" si="994"/>
        <v>0</v>
      </c>
      <c r="AQ416" s="153"/>
      <c r="AS416" s="16">
        <f t="shared" si="1128"/>
        <v>4.802537919398101E-3</v>
      </c>
      <c r="AT416" s="77">
        <f t="shared" ref="AT416:AV416" si="1167">AT415</f>
        <v>4.4140625122783524E-3</v>
      </c>
      <c r="AU416" s="16">
        <f t="shared" si="1167"/>
        <v>1.2049527158955119E-3</v>
      </c>
      <c r="AV416" s="16" t="str">
        <f t="shared" si="1167"/>
        <v>Low Volatility</v>
      </c>
      <c r="AW416" s="14" t="str">
        <f t="shared" si="922"/>
        <v>Stable</v>
      </c>
    </row>
    <row r="417" spans="1:49" ht="15.75" hidden="1" thickBot="1">
      <c r="A417" s="131" t="s">
        <v>790</v>
      </c>
      <c r="B417" s="131" t="s">
        <v>1138</v>
      </c>
      <c r="C417" s="131" t="s">
        <v>1139</v>
      </c>
      <c r="D417" s="15">
        <v>46167</v>
      </c>
      <c r="E417" s="60">
        <f t="shared" si="1140"/>
        <v>6717.48</v>
      </c>
      <c r="F417" s="61">
        <f t="shared" si="1141"/>
        <v>86.639999999999418</v>
      </c>
      <c r="G417" s="62">
        <f>((E417-MAX(E$16:E417))/MAX(E$16:E417))</f>
        <v>-0.10857324849216725</v>
      </c>
      <c r="H417" s="16">
        <f t="shared" si="1103"/>
        <v>1.3066217854751346E-2</v>
      </c>
      <c r="I417" s="153">
        <f>AVERAGEIFS(E417:E424, E417:E424, "&gt;=0")</f>
        <v>6657.3537500000002</v>
      </c>
      <c r="K417" s="16">
        <f t="shared" si="1163"/>
        <v>3.83903260562564E-3</v>
      </c>
      <c r="L417" s="77">
        <f t="shared" ref="L417" si="1168">(I417-I410)/I410</f>
        <v>1.2923459990386412E-3</v>
      </c>
      <c r="M417" s="16" cm="1">
        <f t="array" ref="M417">_xlfn.STDEV.S(_xlfn._xlws.FILTER(F417:F423, ISNUMBER(F417:F423))) / I417</f>
        <v>9.2714904175967977E-3</v>
      </c>
      <c r="N417" s="16" t="str" cm="1">
        <f t="array" ref="N417">_xlfn.LET(
  _xlpm.c, M238,
  IFERROR(
    _xlfn.IFS(_xlpm.c&lt;0.02,"Low Volatility",
        _xlpm.c&gt;0.1,"High Volatility",
        TRUE,"Medium Volatility"),
    "Insufficient data"
  )
)</f>
        <v>Low Volatility</v>
      </c>
      <c r="O417" s="14" t="str">
        <f t="shared" si="948"/>
        <v>Stable</v>
      </c>
      <c r="S417" s="131" t="s">
        <v>790</v>
      </c>
      <c r="T417" s="131" t="s">
        <v>1482</v>
      </c>
      <c r="U417" s="131" t="s">
        <v>1483</v>
      </c>
      <c r="V417" s="15">
        <f t="shared" si="1099"/>
        <v>46167</v>
      </c>
      <c r="W417" s="60">
        <f t="shared" si="952"/>
        <v>114.65</v>
      </c>
      <c r="X417" s="61">
        <f t="shared" si="953"/>
        <v>3.5900000000000034</v>
      </c>
      <c r="Y417" s="62">
        <f>((W417-MAX(W$16:W417))/MAX(W$16:W417))</f>
        <v>-0.29485208192385753</v>
      </c>
      <c r="Z417" s="16">
        <f t="shared" si="954"/>
        <v>3.2324869439942401E-2</v>
      </c>
      <c r="AA417" s="153">
        <f t="shared" ref="AA417" si="1169">AVERAGEIFS(W417:W423, W417:W423, "&gt;=0")</f>
        <v>111.86142857142856</v>
      </c>
      <c r="AC417" s="16">
        <f t="shared" si="977"/>
        <v>6.8499165715289459E-3</v>
      </c>
      <c r="AD417" s="66">
        <f t="shared" ref="AD417" si="1170">(AA417-AA410)/AA410</f>
        <v>5.4701644901575079E-3</v>
      </c>
      <c r="AE417" s="16" cm="1">
        <f t="array" ref="AE417">_xlfn.STDEV.S(_xlfn._xlws.FILTER(X417:X423, ISNUMBER(X417:X423))) / AA417</f>
        <v>1.9187382193824792E-2</v>
      </c>
      <c r="AF417" s="16" t="str">
        <f t="shared" ref="AF417:AF422" si="1171">AF416</f>
        <v>Medium Volatility</v>
      </c>
      <c r="AG417" s="14" t="str">
        <f t="shared" si="1039"/>
        <v>Weak/Unconfirmed</v>
      </c>
      <c r="AI417" s="131" t="s">
        <v>790</v>
      </c>
      <c r="AJ417" s="131">
        <v>457106</v>
      </c>
      <c r="AK417" s="131">
        <v>456907</v>
      </c>
      <c r="AL417" s="15">
        <f t="shared" si="1004"/>
        <v>46167</v>
      </c>
      <c r="AM417" s="60">
        <f t="shared" si="992"/>
        <v>45.6907</v>
      </c>
      <c r="AN417" s="61">
        <f t="shared" si="993"/>
        <v>-4.5499999999996987E-2</v>
      </c>
      <c r="AO417" s="62">
        <f>((AM417-MAX(AM$16:AM417))/MAX(AM$16:AM417))</f>
        <v>-9.9483560068385629E-4</v>
      </c>
      <c r="AP417" s="16">
        <f t="shared" si="994"/>
        <v>-9.9483560068385629E-4</v>
      </c>
      <c r="AQ417" s="153">
        <f t="shared" ref="AQ417" si="1172">AVERAGEIFS(AM417:AM423, AM417:AM423, "&gt;=0")</f>
        <v>45.832957142857147</v>
      </c>
      <c r="AS417" s="16">
        <f t="shared" si="1128"/>
        <v>2.4726841897405915E-3</v>
      </c>
      <c r="AT417" s="77">
        <f t="shared" ref="AT417" si="1173">(AQ417-AQ410)/AQ410</f>
        <v>4.0185062210018885E-3</v>
      </c>
      <c r="AU417" s="16" cm="1">
        <f t="array" ref="AU417">_xlfn.STDEV.S(_xlfn._xlws.FILTER(AN417:AN423, ISNUMBER(AN417:AN423))) / AQ417</f>
        <v>1.8362346260216026E-3</v>
      </c>
      <c r="AV417" s="16" t="str">
        <f t="shared" ref="AV417" si="1174">IF(AU417 &lt; 0.02, "Low Volatility",
 IF(AU417 &gt; 0.1, "High Volatility", "Medium Volatility"))</f>
        <v>Low Volatility</v>
      </c>
      <c r="AW417" s="14" t="str">
        <f t="shared" si="922"/>
        <v>Stable</v>
      </c>
    </row>
    <row r="418" spans="1:49" ht="15.75" hidden="1" thickBot="1">
      <c r="A418" s="131" t="s">
        <v>791</v>
      </c>
      <c r="B418" s="131" t="s">
        <v>1140</v>
      </c>
      <c r="C418" s="131" t="s">
        <v>1141</v>
      </c>
      <c r="D418" s="15">
        <v>46168</v>
      </c>
      <c r="E418" s="60">
        <f t="shared" si="1140"/>
        <v>6649.8</v>
      </c>
      <c r="F418" s="61">
        <f t="shared" si="1141"/>
        <v>-67.679999999999382</v>
      </c>
      <c r="G418" s="62">
        <f>((E418-MAX(E$16:E418))/MAX(E$16:E418))</f>
        <v>-0.11755455733745589</v>
      </c>
      <c r="H418" s="16">
        <f t="shared" si="1103"/>
        <v>-1.0075206773968719E-2</v>
      </c>
      <c r="I418" s="153"/>
      <c r="K418" s="16">
        <f t="shared" si="1163"/>
        <v>1.2340266169767779E-2</v>
      </c>
      <c r="L418" s="77">
        <f t="shared" ref="L418:N418" si="1175">L417</f>
        <v>1.2923459990386412E-3</v>
      </c>
      <c r="M418" s="16">
        <f t="shared" si="1175"/>
        <v>9.2714904175967977E-3</v>
      </c>
      <c r="N418" s="16" t="str">
        <f t="shared" si="1175"/>
        <v>Low Volatility</v>
      </c>
      <c r="O418" s="14" t="str">
        <f t="shared" si="948"/>
        <v>Stable</v>
      </c>
      <c r="S418" s="131" t="s">
        <v>791</v>
      </c>
      <c r="T418" s="131" t="s">
        <v>1483</v>
      </c>
      <c r="U418" s="131" t="s">
        <v>1484</v>
      </c>
      <c r="V418" s="15">
        <f t="shared" si="1099"/>
        <v>46168</v>
      </c>
      <c r="W418" s="60">
        <f t="shared" si="952"/>
        <v>113.57</v>
      </c>
      <c r="X418" s="61">
        <f t="shared" si="953"/>
        <v>-1.0800000000000125</v>
      </c>
      <c r="Y418" s="62">
        <f>((W418-MAX(W$16:W418))/MAX(W$16:W418))</f>
        <v>-0.30149455686081561</v>
      </c>
      <c r="Z418" s="16">
        <f t="shared" si="954"/>
        <v>-9.419973833406127E-3</v>
      </c>
      <c r="AA418" s="153"/>
      <c r="AC418" s="16">
        <f t="shared" si="977"/>
        <v>5.1282051282051211E-2</v>
      </c>
      <c r="AD418" s="16">
        <f t="shared" ref="AD418" si="1176">AD417</f>
        <v>5.4701644901575079E-3</v>
      </c>
      <c r="AE418" s="16">
        <f t="shared" ref="AE418:AE422" si="1177">AE417</f>
        <v>1.9187382193824792E-2</v>
      </c>
      <c r="AF418" s="16" t="str">
        <f t="shared" si="1171"/>
        <v>Medium Volatility</v>
      </c>
      <c r="AG418" s="14" t="str">
        <f t="shared" si="1039"/>
        <v>Weak/Unconfirmed</v>
      </c>
      <c r="AI418" s="131" t="s">
        <v>791</v>
      </c>
      <c r="AJ418" s="131">
        <v>456903</v>
      </c>
      <c r="AK418" s="131">
        <v>458839</v>
      </c>
      <c r="AL418" s="15">
        <f t="shared" si="1004"/>
        <v>46168</v>
      </c>
      <c r="AM418" s="60">
        <f t="shared" si="992"/>
        <v>45.883899999999997</v>
      </c>
      <c r="AN418" s="61">
        <f t="shared" si="993"/>
        <v>0.19319999999999737</v>
      </c>
      <c r="AO418" s="62">
        <f>((AM418-MAX(AM$16:AM418))/MAX(AM$16:AM418))</f>
        <v>0</v>
      </c>
      <c r="AP418" s="16">
        <f t="shared" si="994"/>
        <v>4.228431606431886E-3</v>
      </c>
      <c r="AQ418" s="153"/>
      <c r="AS418" s="16">
        <f t="shared" si="1128"/>
        <v>6.649729710755262E-3</v>
      </c>
      <c r="AT418" s="77">
        <f t="shared" ref="AT418:AV418" si="1178">AT417</f>
        <v>4.0185062210018885E-3</v>
      </c>
      <c r="AU418" s="16">
        <f t="shared" si="1178"/>
        <v>1.8362346260216026E-3</v>
      </c>
      <c r="AV418" s="16" t="str">
        <f t="shared" si="1178"/>
        <v>Low Volatility</v>
      </c>
      <c r="AW418" s="14" t="str">
        <f t="shared" si="922"/>
        <v>Stable</v>
      </c>
    </row>
    <row r="419" spans="1:49" ht="15.75" hidden="1" thickBot="1">
      <c r="A419" s="131" t="s">
        <v>792</v>
      </c>
      <c r="B419" s="131" t="s">
        <v>1142</v>
      </c>
      <c r="C419" s="131" t="s">
        <v>1143</v>
      </c>
      <c r="D419" s="15">
        <v>46169</v>
      </c>
      <c r="E419" s="60">
        <f t="shared" si="1140"/>
        <v>6577.76</v>
      </c>
      <c r="F419" s="61">
        <f t="shared" si="1141"/>
        <v>-72.039999999999964</v>
      </c>
      <c r="G419" s="62">
        <f>((E419-MAX(E$16:E419))/MAX(E$16:E419))</f>
        <v>-0.12711444931757704</v>
      </c>
      <c r="H419" s="16">
        <f t="shared" si="1103"/>
        <v>-1.0833408523564613E-2</v>
      </c>
      <c r="I419" s="153"/>
      <c r="K419" s="16">
        <f t="shared" si="1163"/>
        <v>-1.2397283618078941E-2</v>
      </c>
      <c r="L419" s="77">
        <f t="shared" ref="L419:N419" si="1179">L418</f>
        <v>1.2923459990386412E-3</v>
      </c>
      <c r="M419" s="16">
        <f t="shared" si="1179"/>
        <v>9.2714904175967977E-3</v>
      </c>
      <c r="N419" s="16" t="str">
        <f t="shared" si="1179"/>
        <v>Low Volatility</v>
      </c>
      <c r="O419" s="14" t="str">
        <f t="shared" si="948"/>
        <v>Stable</v>
      </c>
      <c r="S419" s="131" t="s">
        <v>792</v>
      </c>
      <c r="T419" s="131" t="s">
        <v>1485</v>
      </c>
      <c r="U419" s="131" t="s">
        <v>1486</v>
      </c>
      <c r="V419" s="15">
        <f t="shared" si="1099"/>
        <v>46169</v>
      </c>
      <c r="W419" s="60">
        <f t="shared" si="952"/>
        <v>110.2</v>
      </c>
      <c r="X419" s="61">
        <f t="shared" si="953"/>
        <v>-3.3699999999999903</v>
      </c>
      <c r="Y419" s="62">
        <f>((W419-MAX(W$16:W419))/MAX(W$16:W419))</f>
        <v>-0.32222153884002708</v>
      </c>
      <c r="Z419" s="16">
        <f t="shared" si="954"/>
        <v>-2.9673329224266888E-2</v>
      </c>
      <c r="AA419" s="153"/>
      <c r="AC419" s="16">
        <f t="shared" si="977"/>
        <v>-9.4382022471909861E-3</v>
      </c>
      <c r="AD419" s="16">
        <f t="shared" ref="AD419" si="1180">AD417</f>
        <v>5.4701644901575079E-3</v>
      </c>
      <c r="AE419" s="16">
        <f t="shared" si="1177"/>
        <v>1.9187382193824792E-2</v>
      </c>
      <c r="AF419" s="16" t="str">
        <f t="shared" si="1171"/>
        <v>Medium Volatility</v>
      </c>
      <c r="AG419" s="14" t="str">
        <f t="shared" si="1039"/>
        <v>Weak/Unconfirmed</v>
      </c>
      <c r="AI419" s="131" t="s">
        <v>792</v>
      </c>
      <c r="AJ419" s="131">
        <v>458922</v>
      </c>
      <c r="AK419" s="131">
        <v>459088</v>
      </c>
      <c r="AL419" s="15">
        <f t="shared" si="1004"/>
        <v>46169</v>
      </c>
      <c r="AM419" s="60">
        <f t="shared" si="992"/>
        <v>45.908799999999999</v>
      </c>
      <c r="AN419" s="61">
        <f t="shared" si="993"/>
        <v>2.4900000000002365E-2</v>
      </c>
      <c r="AO419" s="62">
        <f>((AM419-MAX(AM$16:AM419))/MAX(AM$16:AM419))</f>
        <v>0</v>
      </c>
      <c r="AP419" s="16">
        <f t="shared" si="994"/>
        <v>5.4267400983792501E-4</v>
      </c>
      <c r="AQ419" s="153"/>
      <c r="AS419" s="16">
        <f t="shared" si="1128"/>
        <v>7.0192678903590417E-3</v>
      </c>
      <c r="AT419" s="77">
        <f t="shared" ref="AT419:AV419" si="1181">AT418</f>
        <v>4.0185062210018885E-3</v>
      </c>
      <c r="AU419" s="16">
        <f t="shared" si="1181"/>
        <v>1.8362346260216026E-3</v>
      </c>
      <c r="AV419" s="16" t="str">
        <f t="shared" si="1181"/>
        <v>Low Volatility</v>
      </c>
      <c r="AW419" s="14" t="str">
        <f t="shared" si="922"/>
        <v>Stable</v>
      </c>
    </row>
    <row r="420" spans="1:49" ht="15.75" hidden="1" thickBot="1">
      <c r="A420" s="131" t="s">
        <v>793</v>
      </c>
      <c r="B420" s="131" t="s">
        <v>1144</v>
      </c>
      <c r="C420" s="131" t="s">
        <v>1145</v>
      </c>
      <c r="D420" s="15">
        <v>46170</v>
      </c>
      <c r="E420" s="60">
        <f t="shared" si="1140"/>
        <v>6631.44</v>
      </c>
      <c r="F420" s="61">
        <f t="shared" si="1141"/>
        <v>53.679999999999382</v>
      </c>
      <c r="G420" s="62">
        <f>((E420-MAX(E$16:E420))/MAX(E$16:E420))</f>
        <v>-0.11999097622633749</v>
      </c>
      <c r="H420" s="16">
        <f t="shared" si="1103"/>
        <v>8.1608328671157627E-3</v>
      </c>
      <c r="I420" s="153"/>
      <c r="K420" s="16">
        <f t="shared" si="1163"/>
        <v>-4.1731551545749227E-3</v>
      </c>
      <c r="L420" s="77">
        <f t="shared" ref="L420:N420" si="1182">L419</f>
        <v>1.2923459990386412E-3</v>
      </c>
      <c r="M420" s="16">
        <f t="shared" si="1182"/>
        <v>9.2714904175967977E-3</v>
      </c>
      <c r="N420" s="16" t="str">
        <f t="shared" si="1182"/>
        <v>Low Volatility</v>
      </c>
      <c r="O420" s="14" t="str">
        <f t="shared" si="948"/>
        <v>Stable</v>
      </c>
      <c r="S420" s="131" t="s">
        <v>793</v>
      </c>
      <c r="T420" s="131" t="s">
        <v>1487</v>
      </c>
      <c r="U420" s="131" t="s">
        <v>1488</v>
      </c>
      <c r="V420" s="15">
        <f t="shared" si="1099"/>
        <v>46170</v>
      </c>
      <c r="W420" s="60">
        <f t="shared" si="952"/>
        <v>111.58</v>
      </c>
      <c r="X420" s="61">
        <f t="shared" si="953"/>
        <v>1.3799999999999955</v>
      </c>
      <c r="Y420" s="62">
        <f>((W420-MAX(W$16:W420))/MAX(W$16:W420))</f>
        <v>-0.3137339319761363</v>
      </c>
      <c r="Z420" s="16">
        <f t="shared" si="954"/>
        <v>1.2522686025408307E-2</v>
      </c>
      <c r="AA420" s="153"/>
      <c r="AC420" s="16">
        <f t="shared" si="977"/>
        <v>-7.6485236570615388E-3</v>
      </c>
      <c r="AD420" s="16">
        <f t="shared" ref="AD420" si="1183">AD417</f>
        <v>5.4701644901575079E-3</v>
      </c>
      <c r="AE420" s="16">
        <f t="shared" si="1177"/>
        <v>1.9187382193824792E-2</v>
      </c>
      <c r="AF420" s="16" t="str">
        <f t="shared" si="1171"/>
        <v>Medium Volatility</v>
      </c>
      <c r="AG420" s="14" t="str">
        <f t="shared" si="1039"/>
        <v>Weak/Unconfirmed</v>
      </c>
      <c r="AI420" s="131" t="s">
        <v>793</v>
      </c>
      <c r="AJ420" s="131">
        <v>459031</v>
      </c>
      <c r="AK420" s="131">
        <v>458729</v>
      </c>
      <c r="AL420" s="15">
        <f t="shared" si="1004"/>
        <v>46170</v>
      </c>
      <c r="AM420" s="60">
        <f t="shared" si="992"/>
        <v>45.872900000000001</v>
      </c>
      <c r="AN420" s="61">
        <f t="shared" si="993"/>
        <v>-3.5899999999998045E-2</v>
      </c>
      <c r="AO420" s="62">
        <f>((AM420-MAX(AM$16:AM420))/MAX(AM$16:AM420))</f>
        <v>-7.8198515317320525E-4</v>
      </c>
      <c r="AP420" s="16">
        <f t="shared" si="994"/>
        <v>-7.8198515317320525E-4</v>
      </c>
      <c r="AQ420" s="153"/>
      <c r="AS420" s="16">
        <f t="shared" si="1128"/>
        <v>6.196479960693454E-3</v>
      </c>
      <c r="AT420" s="77">
        <f t="shared" ref="AT420:AV420" si="1184">AT419</f>
        <v>4.0185062210018885E-3</v>
      </c>
      <c r="AU420" s="16">
        <f t="shared" si="1184"/>
        <v>1.8362346260216026E-3</v>
      </c>
      <c r="AV420" s="16" t="str">
        <f t="shared" si="1184"/>
        <v>Low Volatility</v>
      </c>
      <c r="AW420" s="14" t="str">
        <f t="shared" ref="AW420:AW483" si="1185">IF(AND(AS420 &gt; 0.01, AT420 &gt; 0.01), "Strong Uptrend",
 IF(AND(AS420 &lt; -0.01, AT420 &lt; -0.01), "Strong Downtrend",
 IF(ABS(AT420) &lt; 0.005, "Stable", "Weak/Unconfirmed")))</f>
        <v>Stable</v>
      </c>
    </row>
    <row r="421" spans="1:49" ht="15.75" hidden="1" thickBot="1">
      <c r="A421" s="131" t="s">
        <v>794</v>
      </c>
      <c r="B421" s="131" t="s">
        <v>1146</v>
      </c>
      <c r="C421" s="131" t="s">
        <v>1147</v>
      </c>
      <c r="D421" s="15">
        <v>46171</v>
      </c>
      <c r="E421" s="60">
        <f t="shared" si="1140"/>
        <v>6687.67</v>
      </c>
      <c r="F421" s="61">
        <f t="shared" si="1141"/>
        <v>56.230000000000473</v>
      </c>
      <c r="G421" s="62">
        <f>((E421-MAX(E$16:E421))/MAX(E$16:E421))</f>
        <v>-0.11252911162275313</v>
      </c>
      <c r="H421" s="16">
        <f t="shared" si="1103"/>
        <v>8.4793046457482049E-3</v>
      </c>
      <c r="I421" s="153"/>
      <c r="K421" s="16">
        <f t="shared" si="1163"/>
        <v>8.5705581796574684E-3</v>
      </c>
      <c r="L421" s="77">
        <f t="shared" ref="L421:N421" si="1186">L420</f>
        <v>1.2923459990386412E-3</v>
      </c>
      <c r="M421" s="16">
        <f t="shared" si="1186"/>
        <v>9.2714904175967977E-3</v>
      </c>
      <c r="N421" s="16" t="str">
        <f t="shared" si="1186"/>
        <v>Low Volatility</v>
      </c>
      <c r="O421" s="14" t="str">
        <f t="shared" si="948"/>
        <v>Stable</v>
      </c>
      <c r="S421" s="131" t="s">
        <v>794</v>
      </c>
      <c r="T421" s="131" t="s">
        <v>1489</v>
      </c>
      <c r="U421" s="131" t="s">
        <v>1490</v>
      </c>
      <c r="V421" s="15">
        <f t="shared" si="1099"/>
        <v>46171</v>
      </c>
      <c r="W421" s="60">
        <f t="shared" si="952"/>
        <v>111.01</v>
      </c>
      <c r="X421" s="61">
        <f t="shared" si="953"/>
        <v>-0.56999999999999318</v>
      </c>
      <c r="Y421" s="62">
        <f>((W421-MAX(W$16:W421))/MAX(W$16:W421))</f>
        <v>-0.31723968263730856</v>
      </c>
      <c r="Z421" s="16">
        <f t="shared" si="954"/>
        <v>-5.1084423731850978E-3</v>
      </c>
      <c r="AA421" s="153"/>
      <c r="AC421" s="16">
        <f t="shared" si="977"/>
        <v>-4.5020709526379576E-4</v>
      </c>
      <c r="AD421" s="16">
        <f t="shared" ref="AD421" si="1187">AD417</f>
        <v>5.4701644901575079E-3</v>
      </c>
      <c r="AE421" s="16">
        <f t="shared" si="1177"/>
        <v>1.9187382193824792E-2</v>
      </c>
      <c r="AF421" s="16" t="str">
        <f t="shared" si="1171"/>
        <v>Medium Volatility</v>
      </c>
      <c r="AG421" s="14" t="str">
        <f t="shared" si="1039"/>
        <v>Weak/Unconfirmed</v>
      </c>
      <c r="AI421" s="131" t="s">
        <v>794</v>
      </c>
      <c r="AJ421" s="131">
        <v>458862</v>
      </c>
      <c r="AK421" s="131">
        <v>458248</v>
      </c>
      <c r="AL421" s="15">
        <f t="shared" si="1004"/>
        <v>46171</v>
      </c>
      <c r="AM421" s="60">
        <f t="shared" si="992"/>
        <v>45.824800000000003</v>
      </c>
      <c r="AN421" s="61">
        <f t="shared" si="993"/>
        <v>-4.8099999999998033E-2</v>
      </c>
      <c r="AO421" s="62">
        <f>((AM421-MAX(AM$16:AM421))/MAX(AM$16:AM421))</f>
        <v>-1.8297145645278482E-3</v>
      </c>
      <c r="AP421" s="16">
        <f t="shared" si="994"/>
        <v>-1.0485493613876173E-3</v>
      </c>
      <c r="AQ421" s="153"/>
      <c r="AS421" s="16">
        <f t="shared" si="1128"/>
        <v>1.9371963564967505E-3</v>
      </c>
      <c r="AT421" s="77">
        <f t="shared" ref="AT421:AV421" si="1188">AT420</f>
        <v>4.0185062210018885E-3</v>
      </c>
      <c r="AU421" s="16">
        <f t="shared" si="1188"/>
        <v>1.8362346260216026E-3</v>
      </c>
      <c r="AV421" s="16" t="str">
        <f t="shared" si="1188"/>
        <v>Low Volatility</v>
      </c>
      <c r="AW421" s="14" t="str">
        <f t="shared" si="1185"/>
        <v>Stable</v>
      </c>
    </row>
    <row r="422" spans="1:49" ht="15.75" hidden="1" thickBot="1">
      <c r="A422" s="131" t="s">
        <v>795</v>
      </c>
      <c r="B422" s="131" t="s">
        <v>1146</v>
      </c>
      <c r="C422" s="131" t="s">
        <v>1147</v>
      </c>
      <c r="D422" s="15">
        <v>46172</v>
      </c>
      <c r="E422" s="60">
        <f t="shared" si="1140"/>
        <v>6687.67</v>
      </c>
      <c r="F422" s="61">
        <f t="shared" si="1141"/>
        <v>0</v>
      </c>
      <c r="G422" s="62">
        <f>((E422-MAX(E$16:E422))/MAX(E$16:E422))</f>
        <v>-0.11252911162275313</v>
      </c>
      <c r="H422" s="16">
        <f t="shared" si="1103"/>
        <v>0</v>
      </c>
      <c r="I422" s="153"/>
      <c r="K422" s="16">
        <f t="shared" si="1163"/>
        <v>8.5705581796574684E-3</v>
      </c>
      <c r="L422" s="77">
        <f t="shared" ref="L422:N422" si="1189">L421</f>
        <v>1.2923459990386412E-3</v>
      </c>
      <c r="M422" s="16">
        <f t="shared" si="1189"/>
        <v>9.2714904175967977E-3</v>
      </c>
      <c r="N422" s="16" t="str">
        <f t="shared" si="1189"/>
        <v>Low Volatility</v>
      </c>
      <c r="O422" s="14" t="str">
        <f t="shared" si="948"/>
        <v>Stable</v>
      </c>
      <c r="S422" s="131" t="s">
        <v>795</v>
      </c>
      <c r="T422" s="131" t="s">
        <v>1489</v>
      </c>
      <c r="U422" s="131" t="s">
        <v>1490</v>
      </c>
      <c r="V422" s="15">
        <f t="shared" si="1099"/>
        <v>46172</v>
      </c>
      <c r="W422" s="60">
        <f t="shared" si="952"/>
        <v>111.01</v>
      </c>
      <c r="X422" s="61">
        <f t="shared" si="953"/>
        <v>0</v>
      </c>
      <c r="Y422" s="62">
        <f>((W422-MAX(W$16:W422))/MAX(W$16:W422))</f>
        <v>-0.31723968263730856</v>
      </c>
      <c r="Z422" s="16">
        <f t="shared" si="954"/>
        <v>0</v>
      </c>
      <c r="AA422" s="153"/>
      <c r="AC422" s="16">
        <f t="shared" si="977"/>
        <v>-4.5020709526379576E-4</v>
      </c>
      <c r="AD422" s="16">
        <f t="shared" ref="AD422" si="1190">AD417</f>
        <v>5.4701644901575079E-3</v>
      </c>
      <c r="AE422" s="16">
        <f t="shared" si="1177"/>
        <v>1.9187382193824792E-2</v>
      </c>
      <c r="AF422" s="16" t="str">
        <f t="shared" si="1171"/>
        <v>Medium Volatility</v>
      </c>
      <c r="AG422" s="14" t="str">
        <f t="shared" si="1039"/>
        <v>Weak/Unconfirmed</v>
      </c>
      <c r="AI422" s="131" t="s">
        <v>795</v>
      </c>
      <c r="AJ422" s="131">
        <v>458862</v>
      </c>
      <c r="AK422" s="131">
        <v>458248</v>
      </c>
      <c r="AL422" s="15">
        <f t="shared" si="1004"/>
        <v>46172</v>
      </c>
      <c r="AM422" s="60">
        <f t="shared" si="992"/>
        <v>45.824800000000003</v>
      </c>
      <c r="AN422" s="61">
        <f t="shared" si="993"/>
        <v>0</v>
      </c>
      <c r="AO422" s="62">
        <f>((AM422-MAX(AM$16:AM422))/MAX(AM$16:AM422))</f>
        <v>-1.8297145645278482E-3</v>
      </c>
      <c r="AP422" s="16">
        <f t="shared" si="994"/>
        <v>0</v>
      </c>
      <c r="AQ422" s="153"/>
      <c r="AS422" s="16">
        <f t="shared" si="1128"/>
        <v>1.9371963564967505E-3</v>
      </c>
      <c r="AT422" s="77">
        <f t="shared" ref="AT422:AV422" si="1191">AT421</f>
        <v>4.0185062210018885E-3</v>
      </c>
      <c r="AU422" s="16">
        <f t="shared" si="1191"/>
        <v>1.8362346260216026E-3</v>
      </c>
      <c r="AV422" s="16" t="str">
        <f t="shared" si="1191"/>
        <v>Low Volatility</v>
      </c>
      <c r="AW422" s="14" t="str">
        <f t="shared" si="1185"/>
        <v>Stable</v>
      </c>
    </row>
    <row r="423" spans="1:49" ht="15.75" hidden="1" thickBot="1">
      <c r="A423" s="131" t="s">
        <v>796</v>
      </c>
      <c r="B423" s="131" t="s">
        <v>1146</v>
      </c>
      <c r="C423" s="131" t="s">
        <v>1147</v>
      </c>
      <c r="D423" s="15">
        <v>46173</v>
      </c>
      <c r="E423" s="60">
        <f t="shared" si="1140"/>
        <v>6687.67</v>
      </c>
      <c r="F423" s="61">
        <f t="shared" si="1141"/>
        <v>0</v>
      </c>
      <c r="G423" s="62">
        <f>((E423-MAX(E$16:E423))/MAX(E$16:E423))</f>
        <v>-0.11252911162275313</v>
      </c>
      <c r="H423" s="16">
        <f t="shared" si="1103"/>
        <v>0</v>
      </c>
      <c r="I423" s="153"/>
      <c r="K423" s="16">
        <f t="shared" si="1163"/>
        <v>8.5705581796574684E-3</v>
      </c>
      <c r="L423" s="77">
        <f t="shared" ref="L423:N423" si="1192">L422</f>
        <v>1.2923459990386412E-3</v>
      </c>
      <c r="M423" s="16">
        <f t="shared" si="1192"/>
        <v>9.2714904175967977E-3</v>
      </c>
      <c r="N423" s="16" t="str">
        <f t="shared" si="1192"/>
        <v>Low Volatility</v>
      </c>
      <c r="O423" s="14" t="str">
        <f t="shared" si="948"/>
        <v>Stable</v>
      </c>
      <c r="S423" s="131" t="s">
        <v>796</v>
      </c>
      <c r="T423" s="131" t="s">
        <v>1489</v>
      </c>
      <c r="U423" s="131" t="s">
        <v>1490</v>
      </c>
      <c r="V423" s="15">
        <f t="shared" si="1099"/>
        <v>46173</v>
      </c>
      <c r="W423" s="60">
        <f t="shared" si="952"/>
        <v>111.01</v>
      </c>
      <c r="X423" s="61">
        <f t="shared" si="953"/>
        <v>0</v>
      </c>
      <c r="Y423" s="62">
        <f>((W423-MAX(W$16:W423))/MAX(W$16:W423))</f>
        <v>-0.31723968263730856</v>
      </c>
      <c r="Z423" s="16">
        <f t="shared" si="954"/>
        <v>0</v>
      </c>
      <c r="AA423" s="153"/>
      <c r="AC423" s="16">
        <f t="shared" si="977"/>
        <v>-4.5020709526379576E-4</v>
      </c>
      <c r="AD423" s="16">
        <f t="shared" ref="AD423:AE423" si="1193">AD417</f>
        <v>5.4701644901575079E-3</v>
      </c>
      <c r="AE423" s="16">
        <f t="shared" si="1193"/>
        <v>1.9187382193824792E-2</v>
      </c>
      <c r="AF423" s="16" t="str">
        <f t="shared" ref="AF423:AF424" si="1194">IF(AE423 &lt; 0.02, "Low Volatility",
 IF(AE423 &gt; 0.1, "High Volatility", "Medium Volatility"))</f>
        <v>Low Volatility</v>
      </c>
      <c r="AG423" s="14" t="str">
        <f t="shared" si="1039"/>
        <v>Weak/Unconfirmed</v>
      </c>
      <c r="AI423" s="131" t="s">
        <v>796</v>
      </c>
      <c r="AJ423" s="131">
        <v>458862</v>
      </c>
      <c r="AK423" s="131">
        <v>458248</v>
      </c>
      <c r="AL423" s="15">
        <f t="shared" si="1004"/>
        <v>46173</v>
      </c>
      <c r="AM423" s="60">
        <f t="shared" si="992"/>
        <v>45.824800000000003</v>
      </c>
      <c r="AN423" s="61">
        <f t="shared" si="993"/>
        <v>0</v>
      </c>
      <c r="AO423" s="62">
        <f>((AM423-MAX(AM$16:AM423))/MAX(AM$16:AM423))</f>
        <v>-1.8297145645278482E-3</v>
      </c>
      <c r="AP423" s="16">
        <f t="shared" si="994"/>
        <v>0</v>
      </c>
      <c r="AQ423" s="153"/>
      <c r="AS423" s="16">
        <f t="shared" si="1128"/>
        <v>1.9371963564967505E-3</v>
      </c>
      <c r="AT423" s="77">
        <f t="shared" ref="AT423:AV423" si="1195">AT422</f>
        <v>4.0185062210018885E-3</v>
      </c>
      <c r="AU423" s="16">
        <f t="shared" si="1195"/>
        <v>1.8362346260216026E-3</v>
      </c>
      <c r="AV423" s="16" t="str">
        <f t="shared" si="1195"/>
        <v>Low Volatility</v>
      </c>
      <c r="AW423" s="14" t="str">
        <f t="shared" si="1185"/>
        <v>Stable</v>
      </c>
    </row>
    <row r="424" spans="1:49" ht="15.75" hidden="1" thickBot="1">
      <c r="A424" s="131" t="s">
        <v>797</v>
      </c>
      <c r="B424" s="131" t="s">
        <v>1148</v>
      </c>
      <c r="C424" s="131" t="s">
        <v>1149</v>
      </c>
      <c r="D424" s="15">
        <v>46174</v>
      </c>
      <c r="E424" s="60">
        <f t="shared" si="1140"/>
        <v>6619.34</v>
      </c>
      <c r="F424" s="61">
        <f t="shared" si="1141"/>
        <v>-68.329999999999927</v>
      </c>
      <c r="G424" s="62">
        <f>((E424-MAX(E$16:E424))/MAX(E$16:E424))</f>
        <v>-0.12159667712805126</v>
      </c>
      <c r="H424" s="16">
        <f t="shared" si="1103"/>
        <v>-1.0217310363699154E-2</v>
      </c>
      <c r="I424" s="153">
        <f>AVERAGEIFS(E424:E431, E424:E431, "&gt;=0")</f>
        <v>6509.5462499999994</v>
      </c>
      <c r="K424" s="16">
        <f t="shared" si="1163"/>
        <v>-1.460964528364795E-2</v>
      </c>
      <c r="L424" s="77">
        <f t="shared" ref="L424" si="1196">(I424-I417)/I417</f>
        <v>-2.2202140001949092E-2</v>
      </c>
      <c r="M424" s="16" cm="1">
        <f t="array" ref="M424">_xlfn.STDEV.S(_xlfn._xlws.FILTER(F424:F430, ISNUMBER(F424:F430))) / I424</f>
        <v>1.4040197322838717E-2</v>
      </c>
      <c r="N424" s="16" t="str" cm="1">
        <f t="array" ref="N424">_xlfn.LET(
  _xlpm.c, M245,
  IFERROR(
    _xlfn.IFS(_xlpm.c&lt;0.02,"Low Volatility",
        _xlpm.c&gt;0.1,"High Volatility",
        TRUE,"Medium Volatility"),
    "Insufficient data"
  )
)</f>
        <v>Low Volatility</v>
      </c>
      <c r="O424" s="14" t="str">
        <f t="shared" si="948"/>
        <v>Strong Downtrend</v>
      </c>
      <c r="S424" s="131" t="s">
        <v>797</v>
      </c>
      <c r="T424" s="131" t="s">
        <v>1491</v>
      </c>
      <c r="U424" s="131" t="s">
        <v>1492</v>
      </c>
      <c r="V424" s="15">
        <f t="shared" si="1099"/>
        <v>46174</v>
      </c>
      <c r="W424" s="60">
        <f t="shared" si="952"/>
        <v>110.52</v>
      </c>
      <c r="X424" s="61">
        <f t="shared" si="953"/>
        <v>-0.49000000000000909</v>
      </c>
      <c r="Y424" s="62">
        <f>((W424-MAX(W$16:W424))/MAX(W$16:W424))</f>
        <v>-0.32025339811796549</v>
      </c>
      <c r="Z424" s="16">
        <f t="shared" si="954"/>
        <v>-4.4140167552473566E-3</v>
      </c>
      <c r="AA424" s="153">
        <f t="shared" ref="AA424" si="1197">AVERAGEIFS(W424:W430, W424:W430, "&gt;=0")</f>
        <v>105.65142857142857</v>
      </c>
      <c r="AC424" s="16">
        <f t="shared" si="977"/>
        <v>-3.6022677714784207E-2</v>
      </c>
      <c r="AD424" s="66">
        <f t="shared" ref="AD424" si="1198">(AA424-AA417)/AA417</f>
        <v>-5.5515114363434301E-2</v>
      </c>
      <c r="AE424" s="16" cm="1">
        <f t="array" ref="AE424">_xlfn.STDEV.S(_xlfn._xlws.FILTER(X424:X430, ISNUMBER(X424:X430))) / AA424</f>
        <v>3.4758484823293037E-2</v>
      </c>
      <c r="AF424" s="16" t="str">
        <f t="shared" si="1194"/>
        <v>Medium Volatility</v>
      </c>
      <c r="AG424" s="14" t="str">
        <f t="shared" si="1039"/>
        <v>Strong Downtrend</v>
      </c>
      <c r="AI424" s="131" t="s">
        <v>797</v>
      </c>
      <c r="AJ424" s="131">
        <v>458570</v>
      </c>
      <c r="AK424" s="131">
        <v>459011</v>
      </c>
      <c r="AL424" s="15">
        <f t="shared" si="1004"/>
        <v>46174</v>
      </c>
      <c r="AM424" s="60">
        <f t="shared" si="992"/>
        <v>45.9011</v>
      </c>
      <c r="AN424" s="61">
        <f t="shared" si="993"/>
        <v>7.629999999999626E-2</v>
      </c>
      <c r="AO424" s="62">
        <f>((AM424-MAX(AM$16:AM424))/MAX(AM$16:AM424))</f>
        <v>-1.677238350817233E-4</v>
      </c>
      <c r="AP424" s="16">
        <f t="shared" si="994"/>
        <v>1.6650372723939059E-3</v>
      </c>
      <c r="AQ424" s="153">
        <f t="shared" ref="AQ424" si="1199">AVERAGEIFS(AM424:AM430, AM424:AM430, "&gt;=0")</f>
        <v>45.994042857142851</v>
      </c>
      <c r="AS424" s="16">
        <f t="shared" si="1128"/>
        <v>4.6048758281225701E-3</v>
      </c>
      <c r="AT424" s="77">
        <f t="shared" ref="AT424" si="1200">(AQ424-AQ417)/AQ417</f>
        <v>3.5146262499191313E-3</v>
      </c>
      <c r="AU424" s="16" cm="1">
        <f t="array" ref="AU424">_xlfn.STDEV.S(_xlfn._xlws.FILTER(AN424:AN430, ISNUMBER(AN424:AN430))) / AQ424</f>
        <v>6.6568576841558947E-4</v>
      </c>
      <c r="AV424" s="16" t="str">
        <f t="shared" ref="AV424" si="1201">IF(AU424 &lt; 0.02, "Low Volatility",
 IF(AU424 &gt; 0.1, "High Volatility", "Medium Volatility"))</f>
        <v>Low Volatility</v>
      </c>
      <c r="AW424" s="14" t="str">
        <f t="shared" si="1185"/>
        <v>Stable</v>
      </c>
    </row>
    <row r="425" spans="1:49" ht="15.75" hidden="1" thickBot="1">
      <c r="A425" s="131" t="s">
        <v>798</v>
      </c>
      <c r="B425" s="131" t="s">
        <v>1150</v>
      </c>
      <c r="C425" s="131" t="s">
        <v>1151</v>
      </c>
      <c r="D425" s="15">
        <v>46175</v>
      </c>
      <c r="E425" s="60">
        <f t="shared" si="1140"/>
        <v>6630.89</v>
      </c>
      <c r="F425" s="61">
        <f t="shared" si="1141"/>
        <v>11.550000000000182</v>
      </c>
      <c r="G425" s="62">
        <f>((E425-MAX(E$16:E425))/MAX(E$16:E425))</f>
        <v>-0.12006396263096075</v>
      </c>
      <c r="H425" s="16">
        <f t="shared" si="1103"/>
        <v>1.7448869524756519E-3</v>
      </c>
      <c r="I425" s="153"/>
      <c r="K425" s="16">
        <f t="shared" si="1163"/>
        <v>-2.8436945472044054E-3</v>
      </c>
      <c r="L425" s="77">
        <f t="shared" ref="L425:N425" si="1202">L424</f>
        <v>-2.2202140001949092E-2</v>
      </c>
      <c r="M425" s="16">
        <f t="shared" si="1202"/>
        <v>1.4040197322838717E-2</v>
      </c>
      <c r="N425" s="16" t="str">
        <f t="shared" si="1202"/>
        <v>Low Volatility</v>
      </c>
      <c r="O425" s="14" t="str">
        <f t="shared" si="948"/>
        <v>Weak/Unconfirmed</v>
      </c>
      <c r="S425" s="131" t="s">
        <v>798</v>
      </c>
      <c r="T425" s="131" t="s">
        <v>1493</v>
      </c>
      <c r="U425" s="131" t="s">
        <v>1490</v>
      </c>
      <c r="V425" s="15">
        <f t="shared" si="1099"/>
        <v>46175</v>
      </c>
      <c r="W425" s="60">
        <f t="shared" si="952"/>
        <v>111.01</v>
      </c>
      <c r="X425" s="61">
        <f t="shared" si="953"/>
        <v>0.49000000000000909</v>
      </c>
      <c r="Y425" s="62">
        <f>((W425-MAX(W$16:W425))/MAX(W$16:W425))</f>
        <v>-0.31723968263730856</v>
      </c>
      <c r="Z425" s="16">
        <f t="shared" si="954"/>
        <v>4.433586681143767E-3</v>
      </c>
      <c r="AA425" s="153"/>
      <c r="AC425" s="16">
        <f t="shared" si="977"/>
        <v>-2.2541164039799139E-2</v>
      </c>
      <c r="AD425" s="16">
        <f t="shared" ref="AD425:AF425" si="1203">AD424</f>
        <v>-5.5515114363434301E-2</v>
      </c>
      <c r="AE425" s="16">
        <f t="shared" si="1203"/>
        <v>3.4758484823293037E-2</v>
      </c>
      <c r="AF425" s="16" t="str">
        <f t="shared" si="1203"/>
        <v>Medium Volatility</v>
      </c>
      <c r="AG425" s="14" t="str">
        <f t="shared" si="1039"/>
        <v>Strong Downtrend</v>
      </c>
      <c r="AI425" s="131" t="s">
        <v>798</v>
      </c>
      <c r="AJ425" s="131">
        <v>458996</v>
      </c>
      <c r="AK425" s="131">
        <v>459392</v>
      </c>
      <c r="AL425" s="15">
        <f t="shared" si="1004"/>
        <v>46175</v>
      </c>
      <c r="AM425" s="60">
        <f t="shared" si="992"/>
        <v>45.9392</v>
      </c>
      <c r="AN425" s="61">
        <f t="shared" si="993"/>
        <v>3.8100000000000023E-2</v>
      </c>
      <c r="AO425" s="62">
        <f>((AM425-MAX(AM$16:AM425))/MAX(AM$16:AM425))</f>
        <v>0</v>
      </c>
      <c r="AP425" s="16">
        <f t="shared" si="994"/>
        <v>8.300454673199558E-4</v>
      </c>
      <c r="AQ425" s="153"/>
      <c r="AS425" s="16">
        <f t="shared" si="1128"/>
        <v>1.2052157728528433E-3</v>
      </c>
      <c r="AT425" s="77">
        <f t="shared" ref="AT425:AV425" si="1204">AT424</f>
        <v>3.5146262499191313E-3</v>
      </c>
      <c r="AU425" s="16">
        <f t="shared" si="1204"/>
        <v>6.6568576841558947E-4</v>
      </c>
      <c r="AV425" s="16" t="str">
        <f t="shared" si="1204"/>
        <v>Low Volatility</v>
      </c>
      <c r="AW425" s="14" t="str">
        <f t="shared" si="1185"/>
        <v>Stable</v>
      </c>
    </row>
    <row r="426" spans="1:49" ht="15.75" hidden="1" thickBot="1">
      <c r="A426" s="131" t="s">
        <v>799</v>
      </c>
      <c r="B426" s="131" t="s">
        <v>1152</v>
      </c>
      <c r="C426" s="131" t="s">
        <v>1153</v>
      </c>
      <c r="D426" s="15">
        <v>46176</v>
      </c>
      <c r="E426" s="60">
        <f t="shared" si="1140"/>
        <v>6554.05</v>
      </c>
      <c r="F426" s="61">
        <f t="shared" si="1141"/>
        <v>-76.840000000000146</v>
      </c>
      <c r="G426" s="62">
        <f>((E426-MAX(E$16:E426))/MAX(E$16:E426))</f>
        <v>-0.13026082686961304</v>
      </c>
      <c r="H426" s="16">
        <f t="shared" si="1103"/>
        <v>-1.1588188010960843E-2</v>
      </c>
      <c r="I426" s="153"/>
      <c r="K426" s="16">
        <f t="shared" si="1163"/>
        <v>-3.6045705528933917E-3</v>
      </c>
      <c r="L426" s="77">
        <f t="shared" ref="L426:N426" si="1205">L425</f>
        <v>-2.2202140001949092E-2</v>
      </c>
      <c r="M426" s="16">
        <f t="shared" si="1205"/>
        <v>1.4040197322838717E-2</v>
      </c>
      <c r="N426" s="16" t="str">
        <f t="shared" si="1205"/>
        <v>Low Volatility</v>
      </c>
      <c r="O426" s="14" t="str">
        <f t="shared" si="948"/>
        <v>Weak/Unconfirmed</v>
      </c>
      <c r="S426" s="131" t="s">
        <v>799</v>
      </c>
      <c r="T426" s="131" t="s">
        <v>1490</v>
      </c>
      <c r="U426" s="131" t="s">
        <v>1494</v>
      </c>
      <c r="V426" s="15">
        <f t="shared" si="1099"/>
        <v>46176</v>
      </c>
      <c r="W426" s="60">
        <f t="shared" si="952"/>
        <v>107.54</v>
      </c>
      <c r="X426" s="61">
        <f t="shared" si="953"/>
        <v>-3.4699999999999989</v>
      </c>
      <c r="Y426" s="62">
        <f>((W426-MAX(W$16:W426))/MAX(W$16:W426))</f>
        <v>-0.3385817085921643</v>
      </c>
      <c r="Z426" s="16">
        <f t="shared" si="954"/>
        <v>-3.1258445185118444E-2</v>
      </c>
      <c r="AA426" s="153"/>
      <c r="AC426" s="16">
        <f t="shared" si="977"/>
        <v>-2.4137931034482727E-2</v>
      </c>
      <c r="AD426" s="16">
        <f t="shared" ref="AD426" si="1206">AD424</f>
        <v>-5.5515114363434301E-2</v>
      </c>
      <c r="AE426" s="16">
        <f t="shared" ref="AE426:AF426" si="1207">AE425</f>
        <v>3.4758484823293037E-2</v>
      </c>
      <c r="AF426" s="16" t="str">
        <f t="shared" si="1207"/>
        <v>Medium Volatility</v>
      </c>
      <c r="AG426" s="14" t="str">
        <f t="shared" si="1039"/>
        <v>Strong Downtrend</v>
      </c>
      <c r="AI426" s="131" t="s">
        <v>799</v>
      </c>
      <c r="AJ426" s="131">
        <v>459383</v>
      </c>
      <c r="AK426" s="131">
        <v>459653</v>
      </c>
      <c r="AL426" s="15">
        <f t="shared" si="1004"/>
        <v>46176</v>
      </c>
      <c r="AM426" s="60">
        <f t="shared" si="992"/>
        <v>45.965299999999999</v>
      </c>
      <c r="AN426" s="61">
        <f t="shared" si="993"/>
        <v>2.6099999999999568E-2</v>
      </c>
      <c r="AO426" s="62">
        <f>((AM426-MAX(AM$16:AM426))/MAX(AM$16:AM426))</f>
        <v>0</v>
      </c>
      <c r="AP426" s="16">
        <f t="shared" si="994"/>
        <v>5.6814224017831321E-4</v>
      </c>
      <c r="AQ426" s="153"/>
      <c r="AS426" s="16">
        <f t="shared" si="1128"/>
        <v>1.2307008678074743E-3</v>
      </c>
      <c r="AT426" s="77">
        <f t="shared" ref="AT426:AV426" si="1208">AT425</f>
        <v>3.5146262499191313E-3</v>
      </c>
      <c r="AU426" s="16">
        <f t="shared" si="1208"/>
        <v>6.6568576841558947E-4</v>
      </c>
      <c r="AV426" s="16" t="str">
        <f t="shared" si="1208"/>
        <v>Low Volatility</v>
      </c>
      <c r="AW426" s="14" t="str">
        <f t="shared" si="1185"/>
        <v>Stable</v>
      </c>
    </row>
    <row r="427" spans="1:49" ht="15.75" hidden="1" thickBot="1">
      <c r="A427" s="131" t="s">
        <v>800</v>
      </c>
      <c r="B427" s="131" t="s">
        <v>1154</v>
      </c>
      <c r="C427" s="131" t="s">
        <v>1155</v>
      </c>
      <c r="D427" s="15">
        <v>46177</v>
      </c>
      <c r="E427" s="60">
        <f t="shared" si="1140"/>
        <v>6623.02</v>
      </c>
      <c r="F427" s="61">
        <f t="shared" si="1141"/>
        <v>68.970000000000255</v>
      </c>
      <c r="G427" s="62">
        <f>((E427-MAX(E$16:E427))/MAX(E$16:E427))</f>
        <v>-0.12110833172984405</v>
      </c>
      <c r="H427" s="16">
        <f t="shared" si="1103"/>
        <v>1.0523264241194414E-2</v>
      </c>
      <c r="I427" s="153"/>
      <c r="K427" s="16">
        <f t="shared" si="1163"/>
        <v>-1.2697091431120788E-3</v>
      </c>
      <c r="L427" s="77">
        <f t="shared" ref="L427:N427" si="1209">L426</f>
        <v>-2.2202140001949092E-2</v>
      </c>
      <c r="M427" s="16">
        <f t="shared" si="1209"/>
        <v>1.4040197322838717E-2</v>
      </c>
      <c r="N427" s="16" t="str">
        <f t="shared" si="1209"/>
        <v>Low Volatility</v>
      </c>
      <c r="O427" s="14" t="str">
        <f t="shared" ref="O427:O490" si="1210">IF(AND(K427 &gt; 0.01, L427 &gt; 0.01), "Strong Uptrend",
 IF(AND(K427 &lt; -0.01, L427 &lt; -0.01), "Strong Downtrend",
 IF(ABS(L427) &lt; 0.005, "Stable", "Weak/Unconfirmed")))</f>
        <v>Weak/Unconfirmed</v>
      </c>
      <c r="S427" s="131" t="s">
        <v>800</v>
      </c>
      <c r="T427" s="131" t="s">
        <v>1495</v>
      </c>
      <c r="U427" s="131" t="s">
        <v>1496</v>
      </c>
      <c r="V427" s="15">
        <f t="shared" si="1099"/>
        <v>46177</v>
      </c>
      <c r="W427" s="60">
        <f t="shared" si="952"/>
        <v>109.38</v>
      </c>
      <c r="X427" s="61">
        <f t="shared" si="953"/>
        <v>1.8399999999999892</v>
      </c>
      <c r="Y427" s="62">
        <f>((W427-MAX(W$16:W427))/MAX(W$16:W427))</f>
        <v>-0.32726489944031001</v>
      </c>
      <c r="Z427" s="16">
        <f t="shared" si="954"/>
        <v>1.7109912590663839E-2</v>
      </c>
      <c r="AA427" s="153"/>
      <c r="AC427" s="16">
        <f t="shared" si="977"/>
        <v>-1.9716795124574322E-2</v>
      </c>
      <c r="AD427" s="16">
        <f t="shared" ref="AD427" si="1211">AD424</f>
        <v>-5.5515114363434301E-2</v>
      </c>
      <c r="AE427" s="16">
        <f t="shared" ref="AE427:AF427" si="1212">AE426</f>
        <v>3.4758484823293037E-2</v>
      </c>
      <c r="AF427" s="16" t="str">
        <f t="shared" si="1212"/>
        <v>Medium Volatility</v>
      </c>
      <c r="AG427" s="14" t="str">
        <f t="shared" si="1039"/>
        <v>Strong Downtrend</v>
      </c>
      <c r="AI427" s="131" t="s">
        <v>800</v>
      </c>
      <c r="AJ427" s="131">
        <v>459632</v>
      </c>
      <c r="AK427" s="131">
        <v>460303</v>
      </c>
      <c r="AL427" s="15">
        <f t="shared" si="1004"/>
        <v>46177</v>
      </c>
      <c r="AM427" s="60">
        <f t="shared" si="992"/>
        <v>46.030299999999997</v>
      </c>
      <c r="AN427" s="61">
        <f t="shared" si="993"/>
        <v>6.4999999999997726E-2</v>
      </c>
      <c r="AO427" s="62">
        <f>((AM427-MAX(AM$16:AM427))/MAX(AM$16:AM427))</f>
        <v>0</v>
      </c>
      <c r="AP427" s="16">
        <f t="shared" si="994"/>
        <v>1.4141102092229949E-3</v>
      </c>
      <c r="AQ427" s="153"/>
      <c r="AS427" s="16">
        <f t="shared" si="1128"/>
        <v>3.4312197397591069E-3</v>
      </c>
      <c r="AT427" s="77">
        <f t="shared" ref="AT427:AV427" si="1213">AT426</f>
        <v>3.5146262499191313E-3</v>
      </c>
      <c r="AU427" s="16">
        <f t="shared" si="1213"/>
        <v>6.6568576841558947E-4</v>
      </c>
      <c r="AV427" s="16" t="str">
        <f t="shared" si="1213"/>
        <v>Low Volatility</v>
      </c>
      <c r="AW427" s="14" t="str">
        <f t="shared" si="1185"/>
        <v>Stable</v>
      </c>
    </row>
    <row r="428" spans="1:49" ht="15.75" hidden="1" thickBot="1">
      <c r="A428" s="131" t="s">
        <v>801</v>
      </c>
      <c r="B428" s="131" t="s">
        <v>1156</v>
      </c>
      <c r="C428" s="131" t="s">
        <v>1157</v>
      </c>
      <c r="D428" s="15">
        <v>46178</v>
      </c>
      <c r="E428" s="60">
        <f t="shared" si="1140"/>
        <v>6409.16</v>
      </c>
      <c r="F428" s="61">
        <f t="shared" si="1141"/>
        <v>-213.86000000000058</v>
      </c>
      <c r="G428" s="62">
        <f>((E428-MAX(E$16:E428))/MAX(E$16:E428))</f>
        <v>-0.14948809989848252</v>
      </c>
      <c r="H428" s="16">
        <f t="shared" si="1103"/>
        <v>-3.2290405283390444E-2</v>
      </c>
      <c r="I428" s="153"/>
      <c r="K428" s="16">
        <f t="shared" si="1163"/>
        <v>-4.1645296493397585E-2</v>
      </c>
      <c r="L428" s="77">
        <f t="shared" ref="L428:N428" si="1214">L427</f>
        <v>-2.2202140001949092E-2</v>
      </c>
      <c r="M428" s="16">
        <f t="shared" si="1214"/>
        <v>1.4040197322838717E-2</v>
      </c>
      <c r="N428" s="16" t="str">
        <f t="shared" si="1214"/>
        <v>Low Volatility</v>
      </c>
      <c r="O428" s="14" t="str">
        <f t="shared" si="1210"/>
        <v>Strong Downtrend</v>
      </c>
      <c r="S428" s="131" t="s">
        <v>801</v>
      </c>
      <c r="T428" s="131" t="s">
        <v>1453</v>
      </c>
      <c r="U428" s="131" t="s">
        <v>1497</v>
      </c>
      <c r="V428" s="15">
        <f t="shared" si="1099"/>
        <v>46178</v>
      </c>
      <c r="W428" s="60">
        <f t="shared" ref="W428:W491" si="1215">VALUE(SUBSTITUTE(SUBSTITUTE(U428, ".", ""), ",", "."))</f>
        <v>100.37</v>
      </c>
      <c r="X428" s="61">
        <f t="shared" ref="X428:X491" si="1216">W428-W427</f>
        <v>-9.0099999999999909</v>
      </c>
      <c r="Y428" s="62">
        <f>((W428-MAX(W$16:W428))/MAX(W$16:W428))</f>
        <v>-0.38268036164585767</v>
      </c>
      <c r="Z428" s="16">
        <f t="shared" ref="Z428:Z491" si="1217">(W428-W427)/W427</f>
        <v>-8.2373377217041424E-2</v>
      </c>
      <c r="AA428" s="153"/>
      <c r="AC428" s="16">
        <f t="shared" si="977"/>
        <v>-9.5847220971083683E-2</v>
      </c>
      <c r="AD428" s="16">
        <f t="shared" ref="AD428" si="1218">AD424</f>
        <v>-5.5515114363434301E-2</v>
      </c>
      <c r="AE428" s="16">
        <f t="shared" ref="AE428:AF428" si="1219">AE427</f>
        <v>3.4758484823293037E-2</v>
      </c>
      <c r="AF428" s="16" t="str">
        <f t="shared" si="1219"/>
        <v>Medium Volatility</v>
      </c>
      <c r="AG428" s="14" t="str">
        <f t="shared" si="1039"/>
        <v>Strong Downtrend</v>
      </c>
      <c r="AI428" s="131" t="s">
        <v>801</v>
      </c>
      <c r="AJ428" s="131">
        <v>460277</v>
      </c>
      <c r="AK428" s="131">
        <v>460408</v>
      </c>
      <c r="AL428" s="15">
        <f t="shared" si="1004"/>
        <v>46178</v>
      </c>
      <c r="AM428" s="60">
        <f t="shared" si="992"/>
        <v>46.040799999999997</v>
      </c>
      <c r="AN428" s="61">
        <f t="shared" si="993"/>
        <v>1.0500000000000398E-2</v>
      </c>
      <c r="AO428" s="62">
        <f>((AM428-MAX(AM$16:AM428))/MAX(AM$16:AM428))</f>
        <v>0</v>
      </c>
      <c r="AP428" s="16">
        <f t="shared" si="994"/>
        <v>2.2811061409550663E-4</v>
      </c>
      <c r="AQ428" s="153"/>
      <c r="AS428" s="16">
        <f t="shared" si="1128"/>
        <v>4.7136048602502128E-3</v>
      </c>
      <c r="AT428" s="77">
        <f t="shared" ref="AT428:AV428" si="1220">AT427</f>
        <v>3.5146262499191313E-3</v>
      </c>
      <c r="AU428" s="16">
        <f t="shared" si="1220"/>
        <v>6.6568576841558947E-4</v>
      </c>
      <c r="AV428" s="16" t="str">
        <f t="shared" si="1220"/>
        <v>Low Volatility</v>
      </c>
      <c r="AW428" s="14" t="str">
        <f t="shared" si="1185"/>
        <v>Stable</v>
      </c>
    </row>
    <row r="429" spans="1:49" ht="15.75" hidden="1" thickBot="1">
      <c r="A429" s="131" t="s">
        <v>802</v>
      </c>
      <c r="B429" s="131" t="s">
        <v>1156</v>
      </c>
      <c r="C429" s="131" t="s">
        <v>1157</v>
      </c>
      <c r="D429" s="15">
        <v>46179</v>
      </c>
      <c r="E429" s="60">
        <f t="shared" si="1140"/>
        <v>6409.16</v>
      </c>
      <c r="F429" s="61">
        <f t="shared" si="1141"/>
        <v>0</v>
      </c>
      <c r="G429" s="62">
        <f>((E429-MAX(E$16:E429))/MAX(E$16:E429))</f>
        <v>-0.14948809989848252</v>
      </c>
      <c r="H429" s="16">
        <f t="shared" si="1103"/>
        <v>0</v>
      </c>
      <c r="I429" s="153"/>
      <c r="K429" s="16">
        <f t="shared" si="1163"/>
        <v>-4.1645296493397585E-2</v>
      </c>
      <c r="L429" s="77">
        <f t="shared" ref="L429:N429" si="1221">L428</f>
        <v>-2.2202140001949092E-2</v>
      </c>
      <c r="M429" s="16">
        <f t="shared" si="1221"/>
        <v>1.4040197322838717E-2</v>
      </c>
      <c r="N429" s="16" t="str">
        <f t="shared" si="1221"/>
        <v>Low Volatility</v>
      </c>
      <c r="O429" s="14" t="str">
        <f t="shared" si="1210"/>
        <v>Strong Downtrend</v>
      </c>
      <c r="S429" s="131" t="s">
        <v>802</v>
      </c>
      <c r="T429" s="131" t="s">
        <v>1453</v>
      </c>
      <c r="U429" s="131" t="s">
        <v>1497</v>
      </c>
      <c r="V429" s="15">
        <f t="shared" si="1099"/>
        <v>46179</v>
      </c>
      <c r="W429" s="60">
        <f t="shared" si="1215"/>
        <v>100.37</v>
      </c>
      <c r="X429" s="61">
        <f t="shared" si="1216"/>
        <v>0</v>
      </c>
      <c r="Y429" s="62">
        <f>((W429-MAX(W$16:W429))/MAX(W$16:W429))</f>
        <v>-0.38268036164585767</v>
      </c>
      <c r="Z429" s="16">
        <f t="shared" si="1217"/>
        <v>0</v>
      </c>
      <c r="AA429" s="153"/>
      <c r="AC429" s="16">
        <f t="shared" si="977"/>
        <v>-9.5847220971083683E-2</v>
      </c>
      <c r="AD429" s="16">
        <f t="shared" ref="AD429" si="1222">AD424</f>
        <v>-5.5515114363434301E-2</v>
      </c>
      <c r="AE429" s="16">
        <f t="shared" ref="AE429:AF429" si="1223">AE428</f>
        <v>3.4758484823293037E-2</v>
      </c>
      <c r="AF429" s="16" t="str">
        <f t="shared" si="1223"/>
        <v>Medium Volatility</v>
      </c>
      <c r="AG429" s="14" t="str">
        <f t="shared" si="1039"/>
        <v>Strong Downtrend</v>
      </c>
      <c r="AI429" s="131" t="s">
        <v>802</v>
      </c>
      <c r="AJ429" s="131">
        <v>460277</v>
      </c>
      <c r="AK429" s="131">
        <v>460408</v>
      </c>
      <c r="AL429" s="15">
        <f t="shared" si="1004"/>
        <v>46179</v>
      </c>
      <c r="AM429" s="60">
        <f t="shared" si="992"/>
        <v>46.040799999999997</v>
      </c>
      <c r="AN429" s="61">
        <f t="shared" si="993"/>
        <v>0</v>
      </c>
      <c r="AO429" s="62">
        <f>((AM429-MAX(AM$16:AM429))/MAX(AM$16:AM429))</f>
        <v>0</v>
      </c>
      <c r="AP429" s="16">
        <f t="shared" si="994"/>
        <v>0</v>
      </c>
      <c r="AQ429" s="153"/>
      <c r="AS429" s="16">
        <f t="shared" si="1128"/>
        <v>4.7136048602502128E-3</v>
      </c>
      <c r="AT429" s="77">
        <f t="shared" ref="AT429:AV429" si="1224">AT428</f>
        <v>3.5146262499191313E-3</v>
      </c>
      <c r="AU429" s="16">
        <f t="shared" si="1224"/>
        <v>6.6568576841558947E-4</v>
      </c>
      <c r="AV429" s="16" t="str">
        <f t="shared" si="1224"/>
        <v>Low Volatility</v>
      </c>
      <c r="AW429" s="14" t="str">
        <f t="shared" si="1185"/>
        <v>Stable</v>
      </c>
    </row>
    <row r="430" spans="1:49" ht="15.75" hidden="1" thickBot="1">
      <c r="A430" s="131" t="s">
        <v>803</v>
      </c>
      <c r="B430" s="131" t="s">
        <v>1156</v>
      </c>
      <c r="C430" s="131" t="s">
        <v>1157</v>
      </c>
      <c r="D430" s="15">
        <v>46180</v>
      </c>
      <c r="E430" s="60">
        <f t="shared" si="1140"/>
        <v>6409.16</v>
      </c>
      <c r="F430" s="61">
        <f t="shared" si="1141"/>
        <v>0</v>
      </c>
      <c r="G430" s="62">
        <f>((E430-MAX(E$16:E430))/MAX(E$16:E430))</f>
        <v>-0.14948809989848252</v>
      </c>
      <c r="H430" s="16">
        <f t="shared" si="1103"/>
        <v>0</v>
      </c>
      <c r="I430" s="153"/>
      <c r="K430" s="16">
        <f t="shared" si="1163"/>
        <v>-4.1645296493397585E-2</v>
      </c>
      <c r="L430" s="77">
        <f t="shared" ref="L430:N430" si="1225">L429</f>
        <v>-2.2202140001949092E-2</v>
      </c>
      <c r="M430" s="16">
        <f t="shared" si="1225"/>
        <v>1.4040197322838717E-2</v>
      </c>
      <c r="N430" s="16" t="str">
        <f t="shared" si="1225"/>
        <v>Low Volatility</v>
      </c>
      <c r="O430" s="14" t="str">
        <f t="shared" si="1210"/>
        <v>Strong Downtrend</v>
      </c>
      <c r="S430" s="131" t="s">
        <v>803</v>
      </c>
      <c r="T430" s="131" t="s">
        <v>1453</v>
      </c>
      <c r="U430" s="131" t="s">
        <v>1497</v>
      </c>
      <c r="V430" s="15">
        <f t="shared" si="1099"/>
        <v>46180</v>
      </c>
      <c r="W430" s="60">
        <f t="shared" si="1215"/>
        <v>100.37</v>
      </c>
      <c r="X430" s="61">
        <f t="shared" si="1216"/>
        <v>0</v>
      </c>
      <c r="Y430" s="62">
        <f>((W430-MAX(W$16:W430))/MAX(W$16:W430))</f>
        <v>-0.38268036164585767</v>
      </c>
      <c r="Z430" s="16">
        <f t="shared" si="1217"/>
        <v>0</v>
      </c>
      <c r="AA430" s="153"/>
      <c r="AC430" s="16">
        <f t="shared" si="977"/>
        <v>-9.5847220971083683E-2</v>
      </c>
      <c r="AD430" s="16">
        <f t="shared" ref="AD430:AE430" si="1226">AD424</f>
        <v>-5.5515114363434301E-2</v>
      </c>
      <c r="AE430" s="16">
        <f t="shared" si="1226"/>
        <v>3.4758484823293037E-2</v>
      </c>
      <c r="AF430" s="16" t="str">
        <f t="shared" ref="AF430" si="1227">IF(AE430 &lt; 0.02, "Low Volatility",
 IF(AE430 &gt; 0.1, "High Volatility", "Medium Volatility"))</f>
        <v>Medium Volatility</v>
      </c>
      <c r="AG430" s="14" t="str">
        <f t="shared" si="1039"/>
        <v>Strong Downtrend</v>
      </c>
      <c r="AI430" s="131" t="s">
        <v>803</v>
      </c>
      <c r="AJ430" s="131">
        <v>460277</v>
      </c>
      <c r="AK430" s="131">
        <v>460408</v>
      </c>
      <c r="AL430" s="15">
        <f t="shared" si="1004"/>
        <v>46180</v>
      </c>
      <c r="AM430" s="60">
        <f t="shared" si="992"/>
        <v>46.040799999999997</v>
      </c>
      <c r="AN430" s="61">
        <f t="shared" si="993"/>
        <v>0</v>
      </c>
      <c r="AO430" s="62">
        <f>((AM430-MAX(AM$16:AM430))/MAX(AM$16:AM430))</f>
        <v>0</v>
      </c>
      <c r="AP430" s="16">
        <f t="shared" si="994"/>
        <v>0</v>
      </c>
      <c r="AQ430" s="153"/>
      <c r="AS430" s="16">
        <f t="shared" si="1128"/>
        <v>4.7136048602502128E-3</v>
      </c>
      <c r="AT430" s="77">
        <f t="shared" ref="AT430:AV430" si="1228">AT429</f>
        <v>3.5146262499191313E-3</v>
      </c>
      <c r="AU430" s="16">
        <f t="shared" si="1228"/>
        <v>6.6568576841558947E-4</v>
      </c>
      <c r="AV430" s="16" t="str">
        <f t="shared" si="1228"/>
        <v>Low Volatility</v>
      </c>
      <c r="AW430" s="14" t="str">
        <f t="shared" si="1185"/>
        <v>Stable</v>
      </c>
    </row>
    <row r="431" spans="1:49" ht="15.75" hidden="1" thickBot="1">
      <c r="A431" s="131" t="s">
        <v>804</v>
      </c>
      <c r="B431" s="131" t="s">
        <v>1158</v>
      </c>
      <c r="C431" s="131" t="s">
        <v>1159</v>
      </c>
      <c r="D431" s="15">
        <v>46181</v>
      </c>
      <c r="E431" s="60">
        <f t="shared" si="1140"/>
        <v>6421.59</v>
      </c>
      <c r="F431" s="61">
        <f t="shared" si="1141"/>
        <v>12.430000000000291</v>
      </c>
      <c r="G431" s="62">
        <f>((E431-MAX(E$16:E431))/MAX(E$16:E431))</f>
        <v>-0.14783860715399461</v>
      </c>
      <c r="H431" s="16">
        <f t="shared" si="1103"/>
        <v>1.9394117169801177E-3</v>
      </c>
      <c r="I431" s="153">
        <f>AVERAGEIFS(E431:E438, E431:E438, "&gt;=0")</f>
        <v>6285.3474999999999</v>
      </c>
      <c r="K431" s="16">
        <f t="shared" si="1163"/>
        <v>-2.9874579640870539E-2</v>
      </c>
      <c r="L431" s="77">
        <f t="shared" ref="L431" si="1229">(I431-I424)/I424</f>
        <v>-3.4441532695155146E-2</v>
      </c>
      <c r="M431" s="16" cm="1">
        <f t="array" ref="M431">_xlfn.STDEV.S(_xlfn._xlws.FILTER(F431:F437, ISNUMBER(F431:F437))) / I431</f>
        <v>2.3854527140198648E-2</v>
      </c>
      <c r="N431" s="16" t="str" cm="1">
        <f t="array" ref="N431">_xlfn.LET(
  _xlpm.c, M252,
  IFERROR(
    _xlfn.IFS(_xlpm.c&lt;0.02,"Low Volatility",
        _xlpm.c&gt;0.1,"High Volatility",
        TRUE,"Medium Volatility"),
    "Insufficient data"
  )
)</f>
        <v>Low Volatility</v>
      </c>
      <c r="O431" s="14" t="str">
        <f t="shared" si="1210"/>
        <v>Strong Downtrend</v>
      </c>
      <c r="S431" s="131" t="s">
        <v>804</v>
      </c>
      <c r="T431" s="131" t="s">
        <v>1498</v>
      </c>
      <c r="U431" s="131" t="s">
        <v>1499</v>
      </c>
      <c r="V431" s="15">
        <f t="shared" si="1099"/>
        <v>46181</v>
      </c>
      <c r="W431" s="60">
        <f t="shared" si="1215"/>
        <v>101.11</v>
      </c>
      <c r="X431" s="61">
        <f t="shared" si="1216"/>
        <v>0.73999999999999488</v>
      </c>
      <c r="Y431" s="62">
        <f>((W431-MAX(W$16:W431))/MAX(W$16:W431))</f>
        <v>-0.37812903622609018</v>
      </c>
      <c r="Z431" s="16">
        <f t="shared" si="1217"/>
        <v>7.3727209325495152E-3</v>
      </c>
      <c r="AA431" s="153">
        <f t="shared" ref="AA431" si="1230">AVERAGEIFS(W431:W437, W431:W437, "&gt;=0")</f>
        <v>99.42</v>
      </c>
      <c r="AC431" s="16">
        <f t="shared" si="977"/>
        <v>-8.5142960550126642E-2</v>
      </c>
      <c r="AD431" s="66">
        <f t="shared" ref="AD431" si="1231">(AA431-AA424)/AA424</f>
        <v>-5.8981015739088059E-2</v>
      </c>
      <c r="AE431" s="16" cm="1">
        <f t="array" ref="AE431">_xlfn.STDEV.S(_xlfn._xlws.FILTER(X431:X437, ISNUMBER(X431:X437))) / AA431</f>
        <v>3.2663843132470879E-2</v>
      </c>
      <c r="AF431" s="16" t="str">
        <f t="shared" ref="AF431:AF436" si="1232">AF430</f>
        <v>Medium Volatility</v>
      </c>
      <c r="AG431" s="14" t="str">
        <f t="shared" si="1039"/>
        <v>Strong Downtrend</v>
      </c>
      <c r="AI431" s="131" t="s">
        <v>804</v>
      </c>
      <c r="AJ431" s="131">
        <v>460585</v>
      </c>
      <c r="AK431" s="131">
        <v>461073</v>
      </c>
      <c r="AL431" s="15">
        <f t="shared" si="1004"/>
        <v>46181</v>
      </c>
      <c r="AM431" s="60">
        <f t="shared" si="992"/>
        <v>46.107300000000002</v>
      </c>
      <c r="AN431" s="61">
        <f t="shared" si="993"/>
        <v>6.6500000000004889E-2</v>
      </c>
      <c r="AO431" s="62">
        <f>((AM431-MAX(AM$16:AM431))/MAX(AM$16:AM431))</f>
        <v>0</v>
      </c>
      <c r="AP431" s="16">
        <f t="shared" si="994"/>
        <v>1.444371079564319E-3</v>
      </c>
      <c r="AQ431" s="153">
        <f t="shared" ref="AQ431" si="1233">AVERAGEIFS(AM431:AM437, AM431:AM437, "&gt;=0")</f>
        <v>46.195371428571434</v>
      </c>
      <c r="AS431" s="16">
        <f t="shared" si="1128"/>
        <v>4.4922670698524132E-3</v>
      </c>
      <c r="AT431" s="77">
        <f t="shared" ref="AT431" si="1234">(AQ431-AQ424)/AQ424</f>
        <v>4.3772749452338396E-3</v>
      </c>
      <c r="AU431" s="16" cm="1">
        <f t="array" ref="AU431">_xlfn.STDEV.S(_xlfn._xlws.FILTER(AN431:AN437, ISNUMBER(AN431:AN437))) / AQ431</f>
        <v>7.5960358101733426E-4</v>
      </c>
      <c r="AV431" s="16" t="str">
        <f t="shared" ref="AV431" si="1235">IF(AU431 &lt; 0.02, "Low Volatility",
 IF(AU431 &gt; 0.1, "High Volatility", "Medium Volatility"))</f>
        <v>Low Volatility</v>
      </c>
      <c r="AW431" s="14" t="str">
        <f t="shared" si="1185"/>
        <v>Stable</v>
      </c>
    </row>
    <row r="432" spans="1:49" ht="15.75" hidden="1" thickBot="1">
      <c r="A432" s="131" t="s">
        <v>805</v>
      </c>
      <c r="B432" s="131" t="s">
        <v>1160</v>
      </c>
      <c r="C432" s="131" t="s">
        <v>1161</v>
      </c>
      <c r="D432" s="15">
        <v>46182</v>
      </c>
      <c r="E432" s="60">
        <f t="shared" si="1140"/>
        <v>6319.02</v>
      </c>
      <c r="F432" s="61">
        <f t="shared" si="1141"/>
        <v>-102.56999999999971</v>
      </c>
      <c r="G432" s="62">
        <f>((E432-MAX(E$16:E432))/MAX(E$16:E432))</f>
        <v>-0.16144990810348137</v>
      </c>
      <c r="H432" s="16">
        <f t="shared" si="1103"/>
        <v>-1.5972679663447793E-2</v>
      </c>
      <c r="I432" s="153"/>
      <c r="K432" s="16">
        <f t="shared" si="1163"/>
        <v>-4.7032902068953018E-2</v>
      </c>
      <c r="L432" s="77">
        <f t="shared" ref="L432:N432" si="1236">L431</f>
        <v>-3.4441532695155146E-2</v>
      </c>
      <c r="M432" s="16">
        <f t="shared" si="1236"/>
        <v>2.3854527140198648E-2</v>
      </c>
      <c r="N432" s="16" t="str">
        <f t="shared" si="1236"/>
        <v>Low Volatility</v>
      </c>
      <c r="O432" s="14" t="str">
        <f t="shared" si="1210"/>
        <v>Strong Downtrend</v>
      </c>
      <c r="S432" s="131" t="s">
        <v>805</v>
      </c>
      <c r="T432" s="131" t="s">
        <v>1500</v>
      </c>
      <c r="U432" s="131" t="s">
        <v>1501</v>
      </c>
      <c r="V432" s="15">
        <f t="shared" si="1099"/>
        <v>46182</v>
      </c>
      <c r="W432" s="60">
        <f t="shared" si="1215"/>
        <v>96.91</v>
      </c>
      <c r="X432" s="61">
        <f t="shared" si="1216"/>
        <v>-4.2000000000000028</v>
      </c>
      <c r="Y432" s="62">
        <f>((W432-MAX(W$16:W432))/MAX(W$16:W432))</f>
        <v>-0.40396088320314905</v>
      </c>
      <c r="Z432" s="16">
        <f t="shared" si="1217"/>
        <v>-4.153891801008805E-2</v>
      </c>
      <c r="AA432" s="153"/>
      <c r="AC432" s="16">
        <f t="shared" si="977"/>
        <v>-0.12701558418160533</v>
      </c>
      <c r="AD432" s="16">
        <f t="shared" ref="AD432" si="1237">AD431</f>
        <v>-5.8981015739088059E-2</v>
      </c>
      <c r="AE432" s="16">
        <f t="shared" ref="AE432:AE436" si="1238">AE431</f>
        <v>3.2663843132470879E-2</v>
      </c>
      <c r="AF432" s="16" t="str">
        <f t="shared" si="1232"/>
        <v>Medium Volatility</v>
      </c>
      <c r="AG432" s="14" t="str">
        <f t="shared" si="1039"/>
        <v>Strong Downtrend</v>
      </c>
      <c r="AI432" s="131" t="s">
        <v>805</v>
      </c>
      <c r="AJ432" s="131">
        <v>460986</v>
      </c>
      <c r="AK432" s="131">
        <v>461238</v>
      </c>
      <c r="AL432" s="15">
        <f t="shared" si="1004"/>
        <v>46182</v>
      </c>
      <c r="AM432" s="60">
        <f t="shared" si="992"/>
        <v>46.123800000000003</v>
      </c>
      <c r="AN432" s="61">
        <f t="shared" si="993"/>
        <v>1.6500000000000625E-2</v>
      </c>
      <c r="AO432" s="62">
        <f>((AM432-MAX(AM$16:AM432))/MAX(AM$16:AM432))</f>
        <v>0</v>
      </c>
      <c r="AP432" s="16">
        <f t="shared" si="994"/>
        <v>3.5786090272040704E-4</v>
      </c>
      <c r="AQ432" s="153"/>
      <c r="AS432" s="16">
        <f t="shared" si="1128"/>
        <v>4.0183546949011566E-3</v>
      </c>
      <c r="AT432" s="77">
        <f t="shared" ref="AT432:AV432" si="1239">AT431</f>
        <v>4.3772749452338396E-3</v>
      </c>
      <c r="AU432" s="16">
        <f t="shared" si="1239"/>
        <v>7.5960358101733426E-4</v>
      </c>
      <c r="AV432" s="16" t="str">
        <f t="shared" si="1239"/>
        <v>Low Volatility</v>
      </c>
      <c r="AW432" s="14" t="str">
        <f t="shared" si="1185"/>
        <v>Stable</v>
      </c>
    </row>
    <row r="433" spans="1:49" ht="15.75" hidden="1" thickBot="1">
      <c r="A433" s="131" t="s">
        <v>806</v>
      </c>
      <c r="B433" s="131" t="s">
        <v>1162</v>
      </c>
      <c r="C433" s="131" t="s">
        <v>1163</v>
      </c>
      <c r="D433" s="15">
        <v>46183</v>
      </c>
      <c r="E433" s="60">
        <f t="shared" si="1140"/>
        <v>6038.95</v>
      </c>
      <c r="F433" s="61">
        <f t="shared" si="1141"/>
        <v>-280.07000000000062</v>
      </c>
      <c r="G433" s="62">
        <f>((E433-MAX(E$16:E433))/MAX(E$16:E433))</f>
        <v>-0.19861591236323342</v>
      </c>
      <c r="H433" s="16">
        <f t="shared" si="1103"/>
        <v>-4.4321746093539914E-2</v>
      </c>
      <c r="I433" s="153"/>
      <c r="K433" s="16">
        <f t="shared" si="1163"/>
        <v>-7.8592625933583099E-2</v>
      </c>
      <c r="L433" s="77">
        <f t="shared" ref="L433:N433" si="1240">L432</f>
        <v>-3.4441532695155146E-2</v>
      </c>
      <c r="M433" s="16">
        <f t="shared" si="1240"/>
        <v>2.3854527140198648E-2</v>
      </c>
      <c r="N433" s="16" t="str">
        <f t="shared" si="1240"/>
        <v>Low Volatility</v>
      </c>
      <c r="O433" s="14" t="str">
        <f t="shared" si="1210"/>
        <v>Strong Downtrend</v>
      </c>
      <c r="S433" s="131" t="s">
        <v>806</v>
      </c>
      <c r="T433" s="131" t="s">
        <v>1502</v>
      </c>
      <c r="U433" s="131" t="s">
        <v>1503</v>
      </c>
      <c r="V433" s="15">
        <f t="shared" si="1099"/>
        <v>46183</v>
      </c>
      <c r="W433" s="60">
        <f t="shared" si="1215"/>
        <v>94.1</v>
      </c>
      <c r="X433" s="61">
        <f t="shared" si="1216"/>
        <v>-2.8100000000000023</v>
      </c>
      <c r="Y433" s="62">
        <f>((W433-MAX(W$16:W433))/MAX(W$16:W433))</f>
        <v>-0.42124361891875273</v>
      </c>
      <c r="Z433" s="16">
        <f t="shared" si="1217"/>
        <v>-2.8995975647508023E-2</v>
      </c>
      <c r="AA433" s="153"/>
      <c r="AC433" s="16">
        <f t="shared" si="977"/>
        <v>-0.12497675283615409</v>
      </c>
      <c r="AD433" s="16">
        <f t="shared" ref="AD433" si="1241">AD431</f>
        <v>-5.8981015739088059E-2</v>
      </c>
      <c r="AE433" s="16">
        <f t="shared" si="1238"/>
        <v>3.2663843132470879E-2</v>
      </c>
      <c r="AF433" s="16" t="str">
        <f t="shared" si="1232"/>
        <v>Medium Volatility</v>
      </c>
      <c r="AG433" s="14" t="str">
        <f t="shared" si="1039"/>
        <v>Strong Downtrend</v>
      </c>
      <c r="AI433" s="131" t="s">
        <v>806</v>
      </c>
      <c r="AJ433" s="131">
        <v>461191</v>
      </c>
      <c r="AK433" s="131">
        <v>461270</v>
      </c>
      <c r="AL433" s="15">
        <f t="shared" si="1004"/>
        <v>46183</v>
      </c>
      <c r="AM433" s="60">
        <f t="shared" si="992"/>
        <v>46.127000000000002</v>
      </c>
      <c r="AN433" s="61">
        <f t="shared" si="993"/>
        <v>3.1999999999996476E-3</v>
      </c>
      <c r="AO433" s="62">
        <f>((AM433-MAX(AM$16:AM433))/MAX(AM$16:AM433))</f>
        <v>0</v>
      </c>
      <c r="AP433" s="16">
        <f t="shared" si="994"/>
        <v>6.9378498736002826E-5</v>
      </c>
      <c r="AQ433" s="153"/>
      <c r="AS433" s="16">
        <f t="shared" si="1128"/>
        <v>3.5178710897133987E-3</v>
      </c>
      <c r="AT433" s="77">
        <f t="shared" ref="AT433:AV433" si="1242">AT432</f>
        <v>4.3772749452338396E-3</v>
      </c>
      <c r="AU433" s="16">
        <f t="shared" si="1242"/>
        <v>7.5960358101733426E-4</v>
      </c>
      <c r="AV433" s="16" t="str">
        <f t="shared" si="1242"/>
        <v>Low Volatility</v>
      </c>
      <c r="AW433" s="14" t="str">
        <f t="shared" si="1185"/>
        <v>Stable</v>
      </c>
    </row>
    <row r="434" spans="1:49" ht="15.75" hidden="1" thickBot="1">
      <c r="A434" s="131" t="s">
        <v>807</v>
      </c>
      <c r="B434" s="131" t="s">
        <v>1164</v>
      </c>
      <c r="C434" s="131" t="s">
        <v>1165</v>
      </c>
      <c r="D434" s="15">
        <v>46184</v>
      </c>
      <c r="E434" s="60">
        <f t="shared" si="1140"/>
        <v>6257.78</v>
      </c>
      <c r="F434" s="61">
        <f t="shared" si="1141"/>
        <v>218.82999999999993</v>
      </c>
      <c r="G434" s="62">
        <f>((E434-MAX(E$16:E434))/MAX(E$16:E434))</f>
        <v>-0.16957661250190759</v>
      </c>
      <c r="H434" s="16">
        <f t="shared" si="1103"/>
        <v>3.6236431830036671E-2</v>
      </c>
      <c r="I434" s="153"/>
      <c r="K434" s="16">
        <f t="shared" si="1163"/>
        <v>-5.5147047721432314E-2</v>
      </c>
      <c r="L434" s="77">
        <f t="shared" ref="L434:N434" si="1243">L433</f>
        <v>-3.4441532695155146E-2</v>
      </c>
      <c r="M434" s="16">
        <f t="shared" si="1243"/>
        <v>2.3854527140198648E-2</v>
      </c>
      <c r="N434" s="16" t="str">
        <f t="shared" si="1243"/>
        <v>Low Volatility</v>
      </c>
      <c r="O434" s="14" t="str">
        <f t="shared" si="1210"/>
        <v>Strong Downtrend</v>
      </c>
      <c r="S434" s="131" t="s">
        <v>807</v>
      </c>
      <c r="T434" s="131" t="s">
        <v>1504</v>
      </c>
      <c r="U434" s="131" t="s">
        <v>1505</v>
      </c>
      <c r="V434" s="15">
        <f t="shared" si="1099"/>
        <v>46184</v>
      </c>
      <c r="W434" s="60">
        <f t="shared" si="1215"/>
        <v>100.1</v>
      </c>
      <c r="X434" s="61">
        <f t="shared" si="1216"/>
        <v>6</v>
      </c>
      <c r="Y434" s="62">
        <f>((W434-MAX(W$16:W434))/MAX(W$16:W434))</f>
        <v>-0.38434098038009723</v>
      </c>
      <c r="Z434" s="16">
        <f t="shared" si="1217"/>
        <v>6.3761955366631248E-2</v>
      </c>
      <c r="AA434" s="153"/>
      <c r="AC434" s="16">
        <f t="shared" ref="AC434:AC493" si="1244">(W434-W427)/W427</f>
        <v>-8.4841835801791929E-2</v>
      </c>
      <c r="AD434" s="16">
        <f t="shared" ref="AD434" si="1245">AD431</f>
        <v>-5.8981015739088059E-2</v>
      </c>
      <c r="AE434" s="16">
        <f t="shared" si="1238"/>
        <v>3.2663843132470879E-2</v>
      </c>
      <c r="AF434" s="16" t="str">
        <f t="shared" si="1232"/>
        <v>Medium Volatility</v>
      </c>
      <c r="AG434" s="14" t="str">
        <f t="shared" si="1039"/>
        <v>Strong Downtrend</v>
      </c>
      <c r="AI434" s="131" t="s">
        <v>807</v>
      </c>
      <c r="AJ434" s="131">
        <v>461264</v>
      </c>
      <c r="AK434" s="131">
        <v>462025</v>
      </c>
      <c r="AL434" s="15">
        <f t="shared" si="1004"/>
        <v>46184</v>
      </c>
      <c r="AM434" s="60">
        <f t="shared" si="992"/>
        <v>46.202500000000001</v>
      </c>
      <c r="AN434" s="61">
        <f t="shared" si="993"/>
        <v>7.5499999999998124E-2</v>
      </c>
      <c r="AO434" s="62">
        <f>((AM434-MAX(AM$16:AM434))/MAX(AM$16:AM434))</f>
        <v>0</v>
      </c>
      <c r="AP434" s="16">
        <f t="shared" si="994"/>
        <v>1.6367853968391208E-3</v>
      </c>
      <c r="AQ434" s="153"/>
      <c r="AS434" s="16">
        <f t="shared" si="1128"/>
        <v>3.7410140711662469E-3</v>
      </c>
      <c r="AT434" s="77">
        <f t="shared" ref="AT434:AV434" si="1246">AT433</f>
        <v>4.3772749452338396E-3</v>
      </c>
      <c r="AU434" s="16">
        <f t="shared" si="1246"/>
        <v>7.5960358101733426E-4</v>
      </c>
      <c r="AV434" s="16" t="str">
        <f t="shared" si="1246"/>
        <v>Low Volatility</v>
      </c>
      <c r="AW434" s="14" t="str">
        <f t="shared" si="1185"/>
        <v>Stable</v>
      </c>
    </row>
    <row r="435" spans="1:49" ht="15.75" hidden="1" thickBot="1">
      <c r="A435" s="131" t="s">
        <v>808</v>
      </c>
      <c r="B435" s="131" t="s">
        <v>1166</v>
      </c>
      <c r="C435" s="131" t="s">
        <v>1167</v>
      </c>
      <c r="D435" s="15">
        <v>46185</v>
      </c>
      <c r="E435" s="60">
        <f t="shared" si="1140"/>
        <v>6277.08</v>
      </c>
      <c r="F435" s="61">
        <f t="shared" si="1141"/>
        <v>19.300000000000182</v>
      </c>
      <c r="G435" s="62">
        <f>((E435-MAX(E$16:E435))/MAX(E$16:E435))</f>
        <v>-0.16701545321239705</v>
      </c>
      <c r="H435" s="16">
        <f t="shared" si="1103"/>
        <v>3.0841608365906412E-3</v>
      </c>
      <c r="I435" s="153"/>
      <c r="K435" s="16">
        <f t="shared" si="1163"/>
        <v>-2.0608004793139807E-2</v>
      </c>
      <c r="L435" s="77">
        <f t="shared" ref="L435:N435" si="1247">L434</f>
        <v>-3.4441532695155146E-2</v>
      </c>
      <c r="M435" s="16">
        <f t="shared" si="1247"/>
        <v>2.3854527140198648E-2</v>
      </c>
      <c r="N435" s="16" t="str">
        <f t="shared" si="1247"/>
        <v>Low Volatility</v>
      </c>
      <c r="O435" s="14" t="str">
        <f t="shared" si="1210"/>
        <v>Strong Downtrend</v>
      </c>
      <c r="S435" s="131" t="s">
        <v>808</v>
      </c>
      <c r="T435" s="131" t="s">
        <v>1506</v>
      </c>
      <c r="U435" s="131" t="s">
        <v>1507</v>
      </c>
      <c r="V435" s="15">
        <f t="shared" si="1099"/>
        <v>46185</v>
      </c>
      <c r="W435" s="60">
        <f t="shared" si="1215"/>
        <v>101.24</v>
      </c>
      <c r="X435" s="61">
        <f t="shared" si="1216"/>
        <v>1.1400000000000006</v>
      </c>
      <c r="Y435" s="62">
        <f>((W435-MAX(W$16:W435))/MAX(W$16:W435))</f>
        <v>-0.37732947905775266</v>
      </c>
      <c r="Z435" s="16">
        <f t="shared" si="1217"/>
        <v>1.1388611388611395E-2</v>
      </c>
      <c r="AA435" s="153"/>
      <c r="AC435" s="16">
        <f t="shared" si="1244"/>
        <v>8.6679286639433119E-3</v>
      </c>
      <c r="AD435" s="16">
        <f t="shared" ref="AD435" si="1248">AD431</f>
        <v>-5.8981015739088059E-2</v>
      </c>
      <c r="AE435" s="16">
        <f t="shared" si="1238"/>
        <v>3.2663843132470879E-2</v>
      </c>
      <c r="AF435" s="16" t="str">
        <f t="shared" si="1232"/>
        <v>Medium Volatility</v>
      </c>
      <c r="AG435" s="14" t="str">
        <f t="shared" si="1039"/>
        <v>Weak/Unconfirmed</v>
      </c>
      <c r="AI435" s="131" t="s">
        <v>808</v>
      </c>
      <c r="AJ435" s="131">
        <v>462002</v>
      </c>
      <c r="AK435" s="131">
        <v>462690</v>
      </c>
      <c r="AL435" s="15">
        <f t="shared" si="1004"/>
        <v>46185</v>
      </c>
      <c r="AM435" s="60">
        <f t="shared" si="992"/>
        <v>46.268999999999998</v>
      </c>
      <c r="AN435" s="61">
        <f t="shared" si="993"/>
        <v>6.6499999999997783E-2</v>
      </c>
      <c r="AO435" s="62">
        <f>((AM435-MAX(AM$16:AM435))/MAX(AM$16:AM435))</f>
        <v>0</v>
      </c>
      <c r="AP435" s="16">
        <f t="shared" si="994"/>
        <v>1.4393160543260165E-3</v>
      </c>
      <c r="AQ435" s="153"/>
      <c r="AS435" s="16">
        <f t="shared" si="1128"/>
        <v>4.9564733888203738E-3</v>
      </c>
      <c r="AT435" s="77">
        <f t="shared" ref="AT435:AV435" si="1249">AT434</f>
        <v>4.3772749452338396E-3</v>
      </c>
      <c r="AU435" s="16">
        <f t="shared" si="1249"/>
        <v>7.5960358101733426E-4</v>
      </c>
      <c r="AV435" s="16" t="str">
        <f t="shared" si="1249"/>
        <v>Low Volatility</v>
      </c>
      <c r="AW435" s="14" t="str">
        <f t="shared" si="1185"/>
        <v>Stable</v>
      </c>
    </row>
    <row r="436" spans="1:49" ht="15.75" hidden="1" thickBot="1">
      <c r="A436" s="131" t="s">
        <v>809</v>
      </c>
      <c r="B436" s="131" t="s">
        <v>1166</v>
      </c>
      <c r="C436" s="131" t="s">
        <v>1167</v>
      </c>
      <c r="D436" s="15">
        <v>46186</v>
      </c>
      <c r="E436" s="60">
        <f t="shared" si="1140"/>
        <v>6277.08</v>
      </c>
      <c r="F436" s="61">
        <f t="shared" si="1141"/>
        <v>0</v>
      </c>
      <c r="G436" s="62">
        <f>((E436-MAX(E$16:E436))/MAX(E$16:E436))</f>
        <v>-0.16701545321239705</v>
      </c>
      <c r="H436" s="16">
        <f t="shared" si="1103"/>
        <v>0</v>
      </c>
      <c r="I436" s="153"/>
      <c r="K436" s="16">
        <f t="shared" si="1163"/>
        <v>-2.0608004793139807E-2</v>
      </c>
      <c r="L436" s="77">
        <f t="shared" ref="L436:N436" si="1250">L435</f>
        <v>-3.4441532695155146E-2</v>
      </c>
      <c r="M436" s="16">
        <f t="shared" si="1250"/>
        <v>2.3854527140198648E-2</v>
      </c>
      <c r="N436" s="16" t="str">
        <f t="shared" si="1250"/>
        <v>Low Volatility</v>
      </c>
      <c r="O436" s="14" t="str">
        <f t="shared" si="1210"/>
        <v>Strong Downtrend</v>
      </c>
      <c r="S436" s="131" t="s">
        <v>809</v>
      </c>
      <c r="T436" s="131" t="s">
        <v>1506</v>
      </c>
      <c r="U436" s="131" t="s">
        <v>1507</v>
      </c>
      <c r="V436" s="15">
        <f t="shared" si="1099"/>
        <v>46186</v>
      </c>
      <c r="W436" s="60">
        <f t="shared" si="1215"/>
        <v>101.24</v>
      </c>
      <c r="X436" s="61">
        <f t="shared" si="1216"/>
        <v>0</v>
      </c>
      <c r="Y436" s="62">
        <f>((W436-MAX(W$16:W436))/MAX(W$16:W436))</f>
        <v>-0.37732947905775266</v>
      </c>
      <c r="Z436" s="16">
        <f t="shared" si="1217"/>
        <v>0</v>
      </c>
      <c r="AA436" s="153"/>
      <c r="AC436" s="16">
        <f t="shared" si="1244"/>
        <v>8.6679286639433119E-3</v>
      </c>
      <c r="AD436" s="16">
        <f t="shared" ref="AD436" si="1251">AD431</f>
        <v>-5.8981015739088059E-2</v>
      </c>
      <c r="AE436" s="16">
        <f t="shared" si="1238"/>
        <v>3.2663843132470879E-2</v>
      </c>
      <c r="AF436" s="16" t="str">
        <f t="shared" si="1232"/>
        <v>Medium Volatility</v>
      </c>
      <c r="AG436" s="14" t="str">
        <f t="shared" si="1039"/>
        <v>Weak/Unconfirmed</v>
      </c>
      <c r="AI436" s="131" t="s">
        <v>809</v>
      </c>
      <c r="AJ436" s="131">
        <v>462002</v>
      </c>
      <c r="AK436" s="131">
        <v>462690</v>
      </c>
      <c r="AL436" s="15">
        <f t="shared" si="1004"/>
        <v>46186</v>
      </c>
      <c r="AM436" s="60">
        <f t="shared" si="992"/>
        <v>46.268999999999998</v>
      </c>
      <c r="AN436" s="61">
        <f t="shared" si="993"/>
        <v>0</v>
      </c>
      <c r="AO436" s="62">
        <f>((AM436-MAX(AM$16:AM436))/MAX(AM$16:AM436))</f>
        <v>0</v>
      </c>
      <c r="AP436" s="16">
        <f t="shared" si="994"/>
        <v>0</v>
      </c>
      <c r="AQ436" s="153"/>
      <c r="AS436" s="16">
        <f t="shared" si="1128"/>
        <v>4.9564733888203738E-3</v>
      </c>
      <c r="AT436" s="77">
        <f t="shared" ref="AT436:AV436" si="1252">AT435</f>
        <v>4.3772749452338396E-3</v>
      </c>
      <c r="AU436" s="16">
        <f t="shared" si="1252"/>
        <v>7.5960358101733426E-4</v>
      </c>
      <c r="AV436" s="16" t="str">
        <f t="shared" si="1252"/>
        <v>Low Volatility</v>
      </c>
      <c r="AW436" s="14" t="str">
        <f t="shared" si="1185"/>
        <v>Stable</v>
      </c>
    </row>
    <row r="437" spans="1:49" ht="15.75" hidden="1" thickBot="1">
      <c r="A437" s="131" t="s">
        <v>810</v>
      </c>
      <c r="B437" s="131" t="s">
        <v>1166</v>
      </c>
      <c r="C437" s="131" t="s">
        <v>1167</v>
      </c>
      <c r="D437" s="15">
        <v>46187</v>
      </c>
      <c r="E437" s="60">
        <f t="shared" si="1140"/>
        <v>6277.08</v>
      </c>
      <c r="F437" s="61">
        <f t="shared" si="1141"/>
        <v>0</v>
      </c>
      <c r="G437" s="62">
        <f>((E437-MAX(E$16:E437))/MAX(E$16:E437))</f>
        <v>-0.16701545321239705</v>
      </c>
      <c r="H437" s="16">
        <f t="shared" si="1103"/>
        <v>0</v>
      </c>
      <c r="I437" s="153"/>
      <c r="K437" s="16">
        <f t="shared" si="1163"/>
        <v>-2.0608004793139807E-2</v>
      </c>
      <c r="L437" s="77">
        <f t="shared" ref="L437:N437" si="1253">L436</f>
        <v>-3.4441532695155146E-2</v>
      </c>
      <c r="M437" s="16">
        <f t="shared" si="1253"/>
        <v>2.3854527140198648E-2</v>
      </c>
      <c r="N437" s="16" t="str">
        <f t="shared" si="1253"/>
        <v>Low Volatility</v>
      </c>
      <c r="O437" s="14" t="str">
        <f t="shared" si="1210"/>
        <v>Strong Downtrend</v>
      </c>
      <c r="S437" s="131" t="s">
        <v>810</v>
      </c>
      <c r="T437" s="131" t="s">
        <v>1506</v>
      </c>
      <c r="U437" s="131" t="s">
        <v>1507</v>
      </c>
      <c r="V437" s="15">
        <f t="shared" si="1099"/>
        <v>46187</v>
      </c>
      <c r="W437" s="60">
        <f t="shared" si="1215"/>
        <v>101.24</v>
      </c>
      <c r="X437" s="61">
        <f t="shared" si="1216"/>
        <v>0</v>
      </c>
      <c r="Y437" s="62">
        <f>((W437-MAX(W$16:W437))/MAX(W$16:W437))</f>
        <v>-0.37732947905775266</v>
      </c>
      <c r="Z437" s="16">
        <f t="shared" si="1217"/>
        <v>0</v>
      </c>
      <c r="AA437" s="153"/>
      <c r="AC437" s="16">
        <f t="shared" si="1244"/>
        <v>8.6679286639433119E-3</v>
      </c>
      <c r="AD437" s="16">
        <f t="shared" ref="AD437:AE437" si="1254">AD431</f>
        <v>-5.8981015739088059E-2</v>
      </c>
      <c r="AE437" s="16">
        <f t="shared" si="1254"/>
        <v>3.2663843132470879E-2</v>
      </c>
      <c r="AF437" s="16" t="str">
        <f t="shared" ref="AF437:AF438" si="1255">IF(AE437 &lt; 0.02, "Low Volatility",
 IF(AE437 &gt; 0.1, "High Volatility", "Medium Volatility"))</f>
        <v>Medium Volatility</v>
      </c>
      <c r="AG437" s="14" t="str">
        <f t="shared" si="1039"/>
        <v>Weak/Unconfirmed</v>
      </c>
      <c r="AI437" s="131" t="s">
        <v>810</v>
      </c>
      <c r="AJ437" s="131">
        <v>462002</v>
      </c>
      <c r="AK437" s="131">
        <v>462690</v>
      </c>
      <c r="AL437" s="15">
        <f t="shared" si="1004"/>
        <v>46187</v>
      </c>
      <c r="AM437" s="60">
        <f t="shared" ref="AM437:AM493" si="1256">VALUE(SUBSTITUTE(SUBSTITUTE(AK437, ".", ""), ",", "."))/10000</f>
        <v>46.268999999999998</v>
      </c>
      <c r="AN437" s="61">
        <f t="shared" ref="AN437:AN493" si="1257">AM437-AM436</f>
        <v>0</v>
      </c>
      <c r="AO437" s="62">
        <f>((AM437-MAX(AM$16:AM437))/MAX(AM$16:AM437))</f>
        <v>0</v>
      </c>
      <c r="AP437" s="16">
        <f t="shared" ref="AP437:AP493" si="1258">(AM437-AM436)/AM436</f>
        <v>0</v>
      </c>
      <c r="AQ437" s="153"/>
      <c r="AS437" s="16">
        <f t="shared" si="1128"/>
        <v>4.9564733888203738E-3</v>
      </c>
      <c r="AT437" s="77">
        <f t="shared" ref="AT437:AV437" si="1259">AT436</f>
        <v>4.3772749452338396E-3</v>
      </c>
      <c r="AU437" s="16">
        <f t="shared" si="1259"/>
        <v>7.5960358101733426E-4</v>
      </c>
      <c r="AV437" s="16" t="str">
        <f t="shared" si="1259"/>
        <v>Low Volatility</v>
      </c>
      <c r="AW437" s="14" t="str">
        <f t="shared" si="1185"/>
        <v>Stable</v>
      </c>
    </row>
    <row r="438" spans="1:49" ht="15.75" hidden="1" thickBot="1">
      <c r="A438" s="131" t="s">
        <v>811</v>
      </c>
      <c r="B438" s="131" t="s">
        <v>1168</v>
      </c>
      <c r="C438" s="131" t="s">
        <v>1169</v>
      </c>
      <c r="D438" s="15">
        <v>46188</v>
      </c>
      <c r="E438" s="60">
        <f t="shared" si="1140"/>
        <v>6414.2</v>
      </c>
      <c r="F438" s="61">
        <f t="shared" si="1141"/>
        <v>137.11999999999989</v>
      </c>
      <c r="G438" s="62">
        <f>((E438-MAX(E$16:E438))/MAX(E$16:E438))</f>
        <v>-0.14881927902702485</v>
      </c>
      <c r="H438" s="16">
        <f t="shared" si="1103"/>
        <v>2.1844551925417535E-2</v>
      </c>
      <c r="I438" s="153">
        <f>AVERAGEIFS(E438:E445, E438:E445, "&gt;=0")</f>
        <v>6296.4887500000004</v>
      </c>
      <c r="K438" s="16">
        <f t="shared" si="1163"/>
        <v>-1.1508053301441429E-3</v>
      </c>
      <c r="L438" s="77">
        <f t="shared" ref="L438" si="1260">(I438-I431)/I431</f>
        <v>1.7725750246904539E-3</v>
      </c>
      <c r="M438" s="16" cm="1">
        <f t="array" ref="M438">_xlfn.STDEV.S(_xlfn._xlws.FILTER(F438:F444, ISNUMBER(F438:F444))) / I438</f>
        <v>1.2888135596555101E-2</v>
      </c>
      <c r="N438" s="16" t="str" cm="1">
        <f t="array" ref="N438">_xlfn.LET(
  _xlpm.c, M259,
  IFERROR(
    _xlfn.IFS(_xlpm.c&lt;0.02,"Low Volatility",
        _xlpm.c&gt;0.1,"High Volatility",
        TRUE,"Medium Volatility"),
    "Insufficient data"
  )
)</f>
        <v>Low Volatility</v>
      </c>
      <c r="O438" s="14" t="str">
        <f t="shared" si="1210"/>
        <v>Stable</v>
      </c>
      <c r="S438" s="131" t="s">
        <v>811</v>
      </c>
      <c r="T438" s="131" t="s">
        <v>1508</v>
      </c>
      <c r="U438" s="131" t="s">
        <v>1509</v>
      </c>
      <c r="V438" s="15">
        <f t="shared" si="1099"/>
        <v>46188</v>
      </c>
      <c r="W438" s="60">
        <f t="shared" si="1215"/>
        <v>104.19</v>
      </c>
      <c r="X438" s="61">
        <f t="shared" si="1216"/>
        <v>2.9500000000000028</v>
      </c>
      <c r="Y438" s="62">
        <f>((W438-MAX(W$16:W438))/MAX(W$16:W438))</f>
        <v>-0.35918568177624705</v>
      </c>
      <c r="Z438" s="16">
        <f t="shared" si="1217"/>
        <v>2.9138680363492719E-2</v>
      </c>
      <c r="AA438" s="153">
        <f t="shared" ref="AA438" si="1261">AVERAGEIFS(W438:W444, W438:W444, "&gt;=0")</f>
        <v>99.748571428571424</v>
      </c>
      <c r="AC438" s="16">
        <f t="shared" si="1244"/>
        <v>3.0461873207397867E-2</v>
      </c>
      <c r="AD438" s="66">
        <f t="shared" ref="AD438" si="1262">(AA438-AA431)/AA431</f>
        <v>3.3048826048221896E-3</v>
      </c>
      <c r="AE438" s="16" cm="1">
        <f t="array" ref="AE438">_xlfn.STDEV.S(_xlfn._xlws.FILTER(X438:X444, ISNUMBER(X438:X444))) / AA438</f>
        <v>2.0969531398824768E-2</v>
      </c>
      <c r="AF438" s="16" t="str">
        <f t="shared" si="1255"/>
        <v>Medium Volatility</v>
      </c>
      <c r="AG438" s="14" t="str">
        <f t="shared" si="1039"/>
        <v>Stable</v>
      </c>
      <c r="AI438" s="131" t="s">
        <v>811</v>
      </c>
      <c r="AJ438" s="131">
        <v>462635</v>
      </c>
      <c r="AK438" s="131">
        <v>462985</v>
      </c>
      <c r="AL438" s="15">
        <f t="shared" si="1004"/>
        <v>46188</v>
      </c>
      <c r="AM438" s="60">
        <f t="shared" si="1256"/>
        <v>46.298499999999997</v>
      </c>
      <c r="AN438" s="61">
        <f t="shared" si="1257"/>
        <v>2.9499999999998749E-2</v>
      </c>
      <c r="AO438" s="62">
        <f>((AM438-MAX(AM$16:AM438))/MAX(AM$16:AM438))</f>
        <v>0</v>
      </c>
      <c r="AP438" s="16">
        <f t="shared" si="1258"/>
        <v>6.375759147593151E-4</v>
      </c>
      <c r="AQ438" s="153">
        <f t="shared" ref="AQ438" si="1263">AVERAGEIFS(AM438:AM444, AM438:AM444, "&gt;=0")</f>
        <v>46.390442857142865</v>
      </c>
      <c r="AS438" s="16">
        <f t="shared" si="1128"/>
        <v>4.1468487636446925E-3</v>
      </c>
      <c r="AT438" s="77">
        <f t="shared" ref="AT438" si="1264">(AQ438-AQ431)/AQ431</f>
        <v>4.2227483520303781E-3</v>
      </c>
      <c r="AU438" s="16" cm="1">
        <f t="array" ref="AU438">_xlfn.STDEV.S(_xlfn._xlws.FILTER(AN438:AN444, ISNUMBER(AN438:AN444))) / AQ438</f>
        <v>8.868117144401926E-4</v>
      </c>
      <c r="AV438" s="16" t="str">
        <f t="shared" ref="AV438" si="1265">IF(AU438 &lt; 0.02, "Low Volatility",
 IF(AU438 &gt; 0.1, "High Volatility", "Medium Volatility"))</f>
        <v>Low Volatility</v>
      </c>
      <c r="AW438" s="14" t="str">
        <f t="shared" si="1185"/>
        <v>Stable</v>
      </c>
    </row>
    <row r="439" spans="1:49" ht="15.75" hidden="1" thickBot="1">
      <c r="A439" s="131" t="s">
        <v>812</v>
      </c>
      <c r="B439" s="131" t="s">
        <v>1170</v>
      </c>
      <c r="C439" s="131" t="s">
        <v>1171</v>
      </c>
      <c r="D439" s="15">
        <v>46189</v>
      </c>
      <c r="E439" s="60">
        <f t="shared" si="1140"/>
        <v>6446.83</v>
      </c>
      <c r="F439" s="61">
        <f t="shared" si="1141"/>
        <v>32.630000000000109</v>
      </c>
      <c r="G439" s="62">
        <f>((E439-MAX(E$16:E439))/MAX(E$16:E439))</f>
        <v>-0.14448919469455188</v>
      </c>
      <c r="H439" s="16">
        <f t="shared" si="1103"/>
        <v>5.0871503850831142E-3</v>
      </c>
      <c r="I439" s="153"/>
      <c r="K439" s="16">
        <f t="shared" si="1163"/>
        <v>2.0226237612794306E-2</v>
      </c>
      <c r="L439" s="77">
        <f t="shared" ref="L439:N439" si="1266">L438</f>
        <v>1.7725750246904539E-3</v>
      </c>
      <c r="M439" s="16">
        <f t="shared" si="1266"/>
        <v>1.2888135596555101E-2</v>
      </c>
      <c r="N439" s="16" t="str">
        <f t="shared" si="1266"/>
        <v>Low Volatility</v>
      </c>
      <c r="O439" s="14" t="str">
        <f t="shared" si="1210"/>
        <v>Stable</v>
      </c>
      <c r="S439" s="131" t="s">
        <v>812</v>
      </c>
      <c r="T439" s="131" t="s">
        <v>1509</v>
      </c>
      <c r="U439" s="131" t="s">
        <v>1510</v>
      </c>
      <c r="V439" s="15">
        <f t="shared" si="1099"/>
        <v>46189</v>
      </c>
      <c r="W439" s="60">
        <f t="shared" si="1215"/>
        <v>104.25</v>
      </c>
      <c r="X439" s="61">
        <f t="shared" si="1216"/>
        <v>6.0000000000002274E-2</v>
      </c>
      <c r="Y439" s="62">
        <f>((W439-MAX(W$16:W439))/MAX(W$16:W439))</f>
        <v>-0.35881665539086044</v>
      </c>
      <c r="Z439" s="16">
        <f t="shared" si="1217"/>
        <v>5.7587100489492533E-4</v>
      </c>
      <c r="AA439" s="153"/>
      <c r="AC439" s="16">
        <f t="shared" si="1244"/>
        <v>7.5740377670003134E-2</v>
      </c>
      <c r="AD439" s="16">
        <f t="shared" ref="AD439:AF443" si="1267">AD438</f>
        <v>3.3048826048221896E-3</v>
      </c>
      <c r="AE439" s="16">
        <f t="shared" si="1267"/>
        <v>2.0969531398824768E-2</v>
      </c>
      <c r="AF439" s="16" t="str">
        <f t="shared" si="1267"/>
        <v>Medium Volatility</v>
      </c>
      <c r="AG439" s="14" t="str">
        <f t="shared" si="1039"/>
        <v>Stable</v>
      </c>
      <c r="AI439" s="131" t="s">
        <v>812</v>
      </c>
      <c r="AJ439" s="131">
        <v>462889</v>
      </c>
      <c r="AK439" s="131">
        <v>462902</v>
      </c>
      <c r="AL439" s="15">
        <f t="shared" ref="AL439:AL454" si="1268">D439</f>
        <v>46189</v>
      </c>
      <c r="AM439" s="60">
        <f t="shared" si="1256"/>
        <v>46.290199999999999</v>
      </c>
      <c r="AN439" s="61">
        <f t="shared" si="1257"/>
        <v>-8.2999999999984198E-3</v>
      </c>
      <c r="AO439" s="62">
        <f>((AM439-MAX(AM$16:AM439))/MAX(AM$16:AM439))</f>
        <v>-1.7927146667815199E-4</v>
      </c>
      <c r="AP439" s="16">
        <f t="shared" si="1258"/>
        <v>-1.7927146667815199E-4</v>
      </c>
      <c r="AQ439" s="153"/>
      <c r="AS439" s="16">
        <f t="shared" si="1128"/>
        <v>3.6076819342724551E-3</v>
      </c>
      <c r="AT439" s="77">
        <f t="shared" ref="AT439:AV439" si="1269">AT438</f>
        <v>4.2227483520303781E-3</v>
      </c>
      <c r="AU439" s="16">
        <f t="shared" si="1269"/>
        <v>8.868117144401926E-4</v>
      </c>
      <c r="AV439" s="16" t="str">
        <f t="shared" si="1269"/>
        <v>Low Volatility</v>
      </c>
      <c r="AW439" s="14" t="str">
        <f t="shared" si="1185"/>
        <v>Stable</v>
      </c>
    </row>
    <row r="440" spans="1:49" ht="15.75" hidden="1" thickBot="1">
      <c r="A440" s="131" t="s">
        <v>813</v>
      </c>
      <c r="B440" s="131" t="s">
        <v>1172</v>
      </c>
      <c r="C440" s="131" t="s">
        <v>1173</v>
      </c>
      <c r="D440" s="15">
        <v>46190</v>
      </c>
      <c r="E440" s="60">
        <f t="shared" si="1140"/>
        <v>6345.04</v>
      </c>
      <c r="F440" s="61">
        <f t="shared" si="1141"/>
        <v>-101.78999999999996</v>
      </c>
      <c r="G440" s="62">
        <f>((E440-MAX(E$16:E440))/MAX(E$16:E440))</f>
        <v>-0.15799698765202733</v>
      </c>
      <c r="H440" s="16">
        <f t="shared" si="1103"/>
        <v>-1.5789155290274439E-2</v>
      </c>
      <c r="I440" s="153"/>
      <c r="K440" s="16">
        <f t="shared" si="1163"/>
        <v>5.0685963619503414E-2</v>
      </c>
      <c r="L440" s="77">
        <f t="shared" ref="L440:N440" si="1270">L439</f>
        <v>1.7725750246904539E-3</v>
      </c>
      <c r="M440" s="16">
        <f t="shared" si="1270"/>
        <v>1.2888135596555101E-2</v>
      </c>
      <c r="N440" s="16" t="str">
        <f t="shared" si="1270"/>
        <v>Low Volatility</v>
      </c>
      <c r="O440" s="14" t="str">
        <f t="shared" si="1210"/>
        <v>Stable</v>
      </c>
      <c r="S440" s="131" t="s">
        <v>813</v>
      </c>
      <c r="T440" s="131" t="s">
        <v>1511</v>
      </c>
      <c r="U440" s="131" t="s">
        <v>1508</v>
      </c>
      <c r="V440" s="15">
        <f t="shared" si="1099"/>
        <v>46190</v>
      </c>
      <c r="W440" s="60">
        <f t="shared" si="1215"/>
        <v>101.23</v>
      </c>
      <c r="X440" s="61">
        <f t="shared" si="1216"/>
        <v>-3.019999999999996</v>
      </c>
      <c r="Y440" s="62">
        <f>((W440-MAX(W$16:W440))/MAX(W$16:W440))</f>
        <v>-0.37739098345531702</v>
      </c>
      <c r="Z440" s="16">
        <f t="shared" si="1217"/>
        <v>-2.8968824940047922E-2</v>
      </c>
      <c r="AA440" s="153"/>
      <c r="AC440" s="16">
        <f t="shared" si="1244"/>
        <v>7.577045696068023E-2</v>
      </c>
      <c r="AD440" s="16">
        <f t="shared" ref="AD440" si="1271">AD438</f>
        <v>3.3048826048221896E-3</v>
      </c>
      <c r="AE440" s="16">
        <f t="shared" si="1267"/>
        <v>2.0969531398824768E-2</v>
      </c>
      <c r="AF440" s="16" t="str">
        <f t="shared" si="1267"/>
        <v>Medium Volatility</v>
      </c>
      <c r="AG440" s="14" t="str">
        <f t="shared" si="1039"/>
        <v>Stable</v>
      </c>
      <c r="AI440" s="131" t="s">
        <v>813</v>
      </c>
      <c r="AJ440" s="131">
        <v>462977</v>
      </c>
      <c r="AK440" s="131">
        <v>463601</v>
      </c>
      <c r="AL440" s="15">
        <f t="shared" si="1268"/>
        <v>46190</v>
      </c>
      <c r="AM440" s="60">
        <f t="shared" si="1256"/>
        <v>46.360100000000003</v>
      </c>
      <c r="AN440" s="61">
        <f t="shared" si="1257"/>
        <v>6.990000000000407E-2</v>
      </c>
      <c r="AO440" s="62">
        <f>((AM440-MAX(AM$16:AM440))/MAX(AM$16:AM440))</f>
        <v>0</v>
      </c>
      <c r="AP440" s="16">
        <f t="shared" si="1258"/>
        <v>1.5100388419147914E-3</v>
      </c>
      <c r="AQ440" s="153"/>
      <c r="AS440" s="16">
        <f t="shared" si="1128"/>
        <v>5.0534394172610467E-3</v>
      </c>
      <c r="AT440" s="77">
        <f t="shared" ref="AT440:AV440" si="1272">AT439</f>
        <v>4.2227483520303781E-3</v>
      </c>
      <c r="AU440" s="16">
        <f t="shared" si="1272"/>
        <v>8.868117144401926E-4</v>
      </c>
      <c r="AV440" s="16" t="str">
        <f t="shared" si="1272"/>
        <v>Low Volatility</v>
      </c>
      <c r="AW440" s="14" t="str">
        <f t="shared" si="1185"/>
        <v>Stable</v>
      </c>
    </row>
    <row r="441" spans="1:49" ht="15.75" hidden="1" thickBot="1">
      <c r="A441" s="131" t="s">
        <v>814</v>
      </c>
      <c r="B441" s="131" t="s">
        <v>1174</v>
      </c>
      <c r="C441" s="131" t="s">
        <v>1175</v>
      </c>
      <c r="D441" s="15">
        <v>46191</v>
      </c>
      <c r="E441" s="60">
        <f t="shared" si="1140"/>
        <v>6287.11</v>
      </c>
      <c r="F441" s="61">
        <f t="shared" si="1141"/>
        <v>-57.930000000000291</v>
      </c>
      <c r="G441" s="62">
        <f>((E441-MAX(E$16:E441))/MAX(E$16:E441))</f>
        <v>-0.16568444659717477</v>
      </c>
      <c r="H441" s="16">
        <f t="shared" si="1103"/>
        <v>-9.1299660837441989E-3</v>
      </c>
      <c r="I441" s="153"/>
      <c r="K441" s="16">
        <f t="shared" si="1163"/>
        <v>4.6869656651400225E-3</v>
      </c>
      <c r="L441" s="77">
        <f t="shared" ref="L441:N441" si="1273">L440</f>
        <v>1.7725750246904539E-3</v>
      </c>
      <c r="M441" s="16">
        <f t="shared" si="1273"/>
        <v>1.2888135596555101E-2</v>
      </c>
      <c r="N441" s="16" t="str">
        <f t="shared" si="1273"/>
        <v>Low Volatility</v>
      </c>
      <c r="O441" s="14" t="str">
        <f t="shared" si="1210"/>
        <v>Stable</v>
      </c>
      <c r="S441" s="131" t="s">
        <v>814</v>
      </c>
      <c r="T441" s="131" t="s">
        <v>1512</v>
      </c>
      <c r="U441" s="131" t="s">
        <v>1513</v>
      </c>
      <c r="V441" s="15">
        <f t="shared" si="1099"/>
        <v>46191</v>
      </c>
      <c r="W441" s="60">
        <f t="shared" si="1215"/>
        <v>98.17</v>
      </c>
      <c r="X441" s="61">
        <f t="shared" si="1216"/>
        <v>-3.0600000000000023</v>
      </c>
      <c r="Y441" s="62">
        <f>((W441-MAX(W$16:W441))/MAX(W$16:W441))</f>
        <v>-0.39621132911003137</v>
      </c>
      <c r="Z441" s="16">
        <f t="shared" si="1217"/>
        <v>-3.0228193223352781E-2</v>
      </c>
      <c r="AA441" s="153"/>
      <c r="AC441" s="16">
        <f t="shared" si="1244"/>
        <v>-1.9280719280719207E-2</v>
      </c>
      <c r="AD441" s="16">
        <f t="shared" ref="AD441" si="1274">AD438</f>
        <v>3.3048826048221896E-3</v>
      </c>
      <c r="AE441" s="16">
        <f t="shared" si="1267"/>
        <v>2.0969531398824768E-2</v>
      </c>
      <c r="AF441" s="16" t="str">
        <f t="shared" si="1267"/>
        <v>Medium Volatility</v>
      </c>
      <c r="AG441" s="14" t="str">
        <f t="shared" si="1039"/>
        <v>Stable</v>
      </c>
      <c r="AI441" s="131" t="s">
        <v>814</v>
      </c>
      <c r="AJ441" s="131">
        <v>463425</v>
      </c>
      <c r="AK441" s="131">
        <v>464529</v>
      </c>
      <c r="AL441" s="15">
        <f t="shared" si="1268"/>
        <v>46191</v>
      </c>
      <c r="AM441" s="60">
        <f t="shared" si="1256"/>
        <v>46.4529</v>
      </c>
      <c r="AN441" s="61">
        <f t="shared" si="1257"/>
        <v>9.2799999999996885E-2</v>
      </c>
      <c r="AO441" s="62">
        <f>((AM441-MAX(AM$16:AM441))/MAX(AM$16:AM441))</f>
        <v>0</v>
      </c>
      <c r="AP441" s="16">
        <f t="shared" si="1258"/>
        <v>2.0017213077624268E-3</v>
      </c>
      <c r="AQ441" s="153"/>
      <c r="AS441" s="16">
        <f t="shared" si="1128"/>
        <v>5.4196201504247404E-3</v>
      </c>
      <c r="AT441" s="77">
        <f t="shared" ref="AT441:AV441" si="1275">AT440</f>
        <v>4.2227483520303781E-3</v>
      </c>
      <c r="AU441" s="16">
        <f t="shared" si="1275"/>
        <v>8.868117144401926E-4</v>
      </c>
      <c r="AV441" s="16" t="str">
        <f t="shared" si="1275"/>
        <v>Low Volatility</v>
      </c>
      <c r="AW441" s="14" t="str">
        <f t="shared" si="1185"/>
        <v>Stable</v>
      </c>
    </row>
    <row r="442" spans="1:49" ht="15.75" hidden="1" thickBot="1">
      <c r="A442" s="131" t="s">
        <v>815</v>
      </c>
      <c r="B442" s="131" t="s">
        <v>1176</v>
      </c>
      <c r="C442" s="131" t="s">
        <v>1177</v>
      </c>
      <c r="D442" s="15">
        <v>46192</v>
      </c>
      <c r="E442" s="60">
        <f t="shared" si="1140"/>
        <v>6205.5</v>
      </c>
      <c r="F442" s="61">
        <f t="shared" si="1141"/>
        <v>-81.609999999999673</v>
      </c>
      <c r="G442" s="62">
        <f>((E442-MAX(E$16:E442))/MAX(E$16:E442))</f>
        <v>-0.17651430201774229</v>
      </c>
      <c r="H442" s="16">
        <f t="shared" si="1103"/>
        <v>-1.298052682393018E-2</v>
      </c>
      <c r="I442" s="153"/>
      <c r="K442" s="16">
        <f t="shared" si="1163"/>
        <v>-1.1403391385803579E-2</v>
      </c>
      <c r="L442" s="77">
        <f t="shared" ref="L442:N442" si="1276">L441</f>
        <v>1.7725750246904539E-3</v>
      </c>
      <c r="M442" s="16">
        <f t="shared" si="1276"/>
        <v>1.2888135596555101E-2</v>
      </c>
      <c r="N442" s="16" t="str">
        <f t="shared" si="1276"/>
        <v>Low Volatility</v>
      </c>
      <c r="O442" s="14" t="str">
        <f t="shared" si="1210"/>
        <v>Stable</v>
      </c>
      <c r="S442" s="131" t="s">
        <v>815</v>
      </c>
      <c r="T442" s="131" t="s">
        <v>1514</v>
      </c>
      <c r="U442" s="131" t="s">
        <v>1515</v>
      </c>
      <c r="V442" s="15">
        <f t="shared" si="1099"/>
        <v>46192</v>
      </c>
      <c r="W442" s="60">
        <f t="shared" si="1215"/>
        <v>96.8</v>
      </c>
      <c r="X442" s="61">
        <f t="shared" si="1216"/>
        <v>-1.3700000000000045</v>
      </c>
      <c r="Y442" s="62">
        <f>((W442-MAX(W$16:W442))/MAX(W$16:W442))</f>
        <v>-0.40463743157635773</v>
      </c>
      <c r="Z442" s="16">
        <f t="shared" si="1217"/>
        <v>-1.3955383518386518E-2</v>
      </c>
      <c r="AA442" s="153"/>
      <c r="AC442" s="16">
        <f t="shared" si="1244"/>
        <v>-4.3856183326748302E-2</v>
      </c>
      <c r="AD442" s="16">
        <f t="shared" ref="AD442" si="1277">AD438</f>
        <v>3.3048826048221896E-3</v>
      </c>
      <c r="AE442" s="16">
        <f t="shared" si="1267"/>
        <v>2.0969531398824768E-2</v>
      </c>
      <c r="AF442" s="16" t="str">
        <f t="shared" si="1267"/>
        <v>Medium Volatility</v>
      </c>
      <c r="AG442" s="14" t="str">
        <f t="shared" si="1039"/>
        <v>Stable</v>
      </c>
      <c r="AI442" s="131" t="s">
        <v>815</v>
      </c>
      <c r="AJ442" s="131">
        <v>464464</v>
      </c>
      <c r="AK442" s="131">
        <v>464438</v>
      </c>
      <c r="AL442" s="15">
        <f t="shared" si="1268"/>
        <v>46192</v>
      </c>
      <c r="AM442" s="60">
        <f t="shared" si="1256"/>
        <v>46.443800000000003</v>
      </c>
      <c r="AN442" s="61">
        <f t="shared" si="1257"/>
        <v>-9.0999999999965553E-3</v>
      </c>
      <c r="AO442" s="62">
        <f>((AM442-MAX(AM$16:AM442))/MAX(AM$16:AM442))</f>
        <v>-1.9589734978863656E-4</v>
      </c>
      <c r="AP442" s="16">
        <f t="shared" si="1258"/>
        <v>-1.9589734978863656E-4</v>
      </c>
      <c r="AQ442" s="153"/>
      <c r="AS442" s="16">
        <f t="shared" si="1128"/>
        <v>3.7779074542351192E-3</v>
      </c>
      <c r="AT442" s="77">
        <f t="shared" ref="AT442:AV442" si="1278">AT441</f>
        <v>4.2227483520303781E-3</v>
      </c>
      <c r="AU442" s="16">
        <f t="shared" si="1278"/>
        <v>8.868117144401926E-4</v>
      </c>
      <c r="AV442" s="16" t="str">
        <f t="shared" si="1278"/>
        <v>Low Volatility</v>
      </c>
      <c r="AW442" s="14" t="str">
        <f t="shared" si="1185"/>
        <v>Stable</v>
      </c>
    </row>
    <row r="443" spans="1:49" ht="15.75" hidden="1" thickBot="1">
      <c r="A443" s="131" t="s">
        <v>816</v>
      </c>
      <c r="B443" s="131" t="s">
        <v>1176</v>
      </c>
      <c r="C443" s="131" t="s">
        <v>1177</v>
      </c>
      <c r="D443" s="15">
        <v>46193</v>
      </c>
      <c r="E443" s="60">
        <f t="shared" si="1140"/>
        <v>6205.5</v>
      </c>
      <c r="F443" s="61">
        <f t="shared" si="1141"/>
        <v>0</v>
      </c>
      <c r="G443" s="62">
        <f>((E443-MAX(E$16:E443))/MAX(E$16:E443))</f>
        <v>-0.17651430201774229</v>
      </c>
      <c r="H443" s="16">
        <f t="shared" si="1103"/>
        <v>0</v>
      </c>
      <c r="I443" s="153"/>
      <c r="K443" s="16">
        <f t="shared" si="1163"/>
        <v>-1.1403391385803579E-2</v>
      </c>
      <c r="L443" s="77">
        <f t="shared" ref="L443:N443" si="1279">L442</f>
        <v>1.7725750246904539E-3</v>
      </c>
      <c r="M443" s="16">
        <f t="shared" si="1279"/>
        <v>1.2888135596555101E-2</v>
      </c>
      <c r="N443" s="16" t="str">
        <f t="shared" si="1279"/>
        <v>Low Volatility</v>
      </c>
      <c r="O443" s="14" t="str">
        <f t="shared" si="1210"/>
        <v>Stable</v>
      </c>
      <c r="S443" s="131" t="s">
        <v>816</v>
      </c>
      <c r="T443" s="131" t="s">
        <v>1514</v>
      </c>
      <c r="U443" s="131" t="s">
        <v>1515</v>
      </c>
      <c r="V443" s="15">
        <f t="shared" si="1099"/>
        <v>46193</v>
      </c>
      <c r="W443" s="60">
        <f t="shared" si="1215"/>
        <v>96.8</v>
      </c>
      <c r="X443" s="61">
        <f t="shared" si="1216"/>
        <v>0</v>
      </c>
      <c r="Y443" s="62">
        <f>((W443-MAX(W$16:W443))/MAX(W$16:W443))</f>
        <v>-0.40463743157635773</v>
      </c>
      <c r="Z443" s="16">
        <f t="shared" si="1217"/>
        <v>0</v>
      </c>
      <c r="AA443" s="153"/>
      <c r="AC443" s="16">
        <f t="shared" si="1244"/>
        <v>-4.3856183326748302E-2</v>
      </c>
      <c r="AD443" s="16">
        <f t="shared" ref="AD443" si="1280">AD438</f>
        <v>3.3048826048221896E-3</v>
      </c>
      <c r="AE443" s="16">
        <f t="shared" si="1267"/>
        <v>2.0969531398824768E-2</v>
      </c>
      <c r="AF443" s="16" t="str">
        <f t="shared" si="1267"/>
        <v>Medium Volatility</v>
      </c>
      <c r="AG443" s="14" t="str">
        <f t="shared" si="1039"/>
        <v>Stable</v>
      </c>
      <c r="AI443" s="131" t="s">
        <v>816</v>
      </c>
      <c r="AJ443" s="131">
        <v>464464</v>
      </c>
      <c r="AK443" s="131">
        <v>464438</v>
      </c>
      <c r="AL443" s="15">
        <f t="shared" si="1268"/>
        <v>46193</v>
      </c>
      <c r="AM443" s="60">
        <f t="shared" si="1256"/>
        <v>46.443800000000003</v>
      </c>
      <c r="AN443" s="61">
        <f t="shared" si="1257"/>
        <v>0</v>
      </c>
      <c r="AO443" s="62">
        <f>((AM443-MAX(AM$16:AM443))/MAX(AM$16:AM443))</f>
        <v>-1.9589734978863656E-4</v>
      </c>
      <c r="AP443" s="16">
        <f t="shared" si="1258"/>
        <v>0</v>
      </c>
      <c r="AQ443" s="153"/>
      <c r="AS443" s="16">
        <f t="shared" si="1128"/>
        <v>3.7779074542351192E-3</v>
      </c>
      <c r="AT443" s="77">
        <f t="shared" ref="AT443:AV443" si="1281">AT442</f>
        <v>4.2227483520303781E-3</v>
      </c>
      <c r="AU443" s="16">
        <f t="shared" si="1281"/>
        <v>8.868117144401926E-4</v>
      </c>
      <c r="AV443" s="16" t="str">
        <f t="shared" si="1281"/>
        <v>Low Volatility</v>
      </c>
      <c r="AW443" s="14" t="str">
        <f t="shared" si="1185"/>
        <v>Stable</v>
      </c>
    </row>
    <row r="444" spans="1:49" ht="15.75" hidden="1" thickBot="1">
      <c r="A444" s="131" t="s">
        <v>817</v>
      </c>
      <c r="B444" s="131" t="s">
        <v>1176</v>
      </c>
      <c r="C444" s="131" t="s">
        <v>1177</v>
      </c>
      <c r="D444" s="15">
        <v>46194</v>
      </c>
      <c r="E444" s="60">
        <f t="shared" si="1140"/>
        <v>6205.5</v>
      </c>
      <c r="F444" s="61">
        <f t="shared" si="1141"/>
        <v>0</v>
      </c>
      <c r="G444" s="62">
        <f>((E444-MAX(E$16:E444))/MAX(E$16:E444))</f>
        <v>-0.17651430201774229</v>
      </c>
      <c r="H444" s="16">
        <f t="shared" si="1103"/>
        <v>0</v>
      </c>
      <c r="I444" s="153"/>
      <c r="K444" s="16">
        <f t="shared" si="1163"/>
        <v>-1.1403391385803579E-2</v>
      </c>
      <c r="L444" s="77">
        <f t="shared" ref="L444:N444" si="1282">L443</f>
        <v>1.7725750246904539E-3</v>
      </c>
      <c r="M444" s="16">
        <f t="shared" si="1282"/>
        <v>1.2888135596555101E-2</v>
      </c>
      <c r="N444" s="16" t="str">
        <f t="shared" si="1282"/>
        <v>Low Volatility</v>
      </c>
      <c r="O444" s="14" t="str">
        <f t="shared" si="1210"/>
        <v>Stable</v>
      </c>
      <c r="S444" s="131" t="s">
        <v>817</v>
      </c>
      <c r="T444" s="131" t="s">
        <v>1514</v>
      </c>
      <c r="U444" s="131" t="s">
        <v>1515</v>
      </c>
      <c r="V444" s="15">
        <f t="shared" si="1099"/>
        <v>46194</v>
      </c>
      <c r="W444" s="60">
        <f t="shared" si="1215"/>
        <v>96.8</v>
      </c>
      <c r="X444" s="61">
        <f t="shared" si="1216"/>
        <v>0</v>
      </c>
      <c r="Y444" s="62">
        <f>((W444-MAX(W$16:W444))/MAX(W$16:W444))</f>
        <v>-0.40463743157635773</v>
      </c>
      <c r="Z444" s="16">
        <f t="shared" si="1217"/>
        <v>0</v>
      </c>
      <c r="AA444" s="153"/>
      <c r="AC444" s="16">
        <f t="shared" si="1244"/>
        <v>-4.3856183326748302E-2</v>
      </c>
      <c r="AD444" s="16">
        <f t="shared" ref="AD444:AE444" si="1283">AD438</f>
        <v>3.3048826048221896E-3</v>
      </c>
      <c r="AE444" s="16">
        <f t="shared" si="1283"/>
        <v>2.0969531398824768E-2</v>
      </c>
      <c r="AF444" s="16" t="str">
        <f t="shared" ref="AF444" si="1284">IF(AE444 &lt; 0.02, "Low Volatility",
 IF(AE444 &gt; 0.1, "High Volatility", "Medium Volatility"))</f>
        <v>Medium Volatility</v>
      </c>
      <c r="AG444" s="14" t="str">
        <f t="shared" si="1039"/>
        <v>Stable</v>
      </c>
      <c r="AI444" s="131" t="s">
        <v>817</v>
      </c>
      <c r="AJ444" s="131">
        <v>464464</v>
      </c>
      <c r="AK444" s="131">
        <v>464438</v>
      </c>
      <c r="AL444" s="15">
        <f t="shared" si="1268"/>
        <v>46194</v>
      </c>
      <c r="AM444" s="60">
        <f t="shared" si="1256"/>
        <v>46.443800000000003</v>
      </c>
      <c r="AN444" s="61">
        <f t="shared" si="1257"/>
        <v>0</v>
      </c>
      <c r="AO444" s="62">
        <f>((AM444-MAX(AM$16:AM444))/MAX(AM$16:AM444))</f>
        <v>-1.9589734978863656E-4</v>
      </c>
      <c r="AP444" s="16">
        <f t="shared" si="1258"/>
        <v>0</v>
      </c>
      <c r="AQ444" s="153"/>
      <c r="AS444" s="16">
        <f t="shared" si="1128"/>
        <v>3.7779074542351192E-3</v>
      </c>
      <c r="AT444" s="77">
        <f t="shared" ref="AT444:AV444" si="1285">AT443</f>
        <v>4.2227483520303781E-3</v>
      </c>
      <c r="AU444" s="16">
        <f t="shared" si="1285"/>
        <v>8.868117144401926E-4</v>
      </c>
      <c r="AV444" s="16" t="str">
        <f t="shared" si="1285"/>
        <v>Low Volatility</v>
      </c>
      <c r="AW444" s="14" t="str">
        <f t="shared" si="1185"/>
        <v>Stable</v>
      </c>
    </row>
    <row r="445" spans="1:49" ht="15.75" hidden="1" thickBot="1">
      <c r="A445" s="131" t="s">
        <v>818</v>
      </c>
      <c r="B445" s="131" t="s">
        <v>1178</v>
      </c>
      <c r="C445" s="131" t="s">
        <v>1179</v>
      </c>
      <c r="D445" s="15">
        <v>46195</v>
      </c>
      <c r="E445" s="60">
        <f t="shared" si="1140"/>
        <v>6262.23</v>
      </c>
      <c r="F445" s="61">
        <f t="shared" si="1141"/>
        <v>56.729999999999563</v>
      </c>
      <c r="G445" s="62">
        <f>((E445-MAX(E$16:E445))/MAX(E$16:E445))</f>
        <v>-0.16898608613722774</v>
      </c>
      <c r="H445" s="16">
        <f t="shared" si="1103"/>
        <v>9.1418902586414569E-3</v>
      </c>
      <c r="I445" s="153">
        <f>AVERAGEIFS(E445:E452, E445:E452, "&gt;=0")</f>
        <v>6103.61</v>
      </c>
      <c r="K445" s="16">
        <f t="shared" si="1163"/>
        <v>-2.3692744223753587E-2</v>
      </c>
      <c r="L445" s="77">
        <f t="shared" ref="L445" si="1286">(I445-I438)/I438</f>
        <v>-3.0632747497563742E-2</v>
      </c>
      <c r="M445" s="16" cm="1">
        <f t="array" ref="M445">_xlfn.STDEV.S(_xlfn._xlws.FILTER(F445:F451, ISNUMBER(F445:F451))) / I445</f>
        <v>1.5785999986748834E-2</v>
      </c>
      <c r="N445" s="16" t="str" cm="1">
        <f t="array" ref="N445">_xlfn.LET(
  _xlpm.c, M266,
  IFERROR(
    _xlfn.IFS(_xlpm.c&lt;0.02,"Low Volatility",
        _xlpm.c&gt;0.1,"High Volatility",
        TRUE,"Medium Volatility"),
    "Insufficient data"
  )
)</f>
        <v>Low Volatility</v>
      </c>
      <c r="O445" s="14" t="str">
        <f t="shared" si="1210"/>
        <v>Strong Downtrend</v>
      </c>
      <c r="S445" s="131" t="s">
        <v>818</v>
      </c>
      <c r="T445" s="131" t="s">
        <v>1516</v>
      </c>
      <c r="U445" s="131" t="s">
        <v>1517</v>
      </c>
      <c r="V445" s="15">
        <f t="shared" si="1099"/>
        <v>46195</v>
      </c>
      <c r="W445" s="60">
        <f t="shared" si="1215"/>
        <v>97.28</v>
      </c>
      <c r="X445" s="61">
        <f t="shared" si="1216"/>
        <v>0.48000000000000398</v>
      </c>
      <c r="Y445" s="62">
        <f>((W445-MAX(W$16:W445))/MAX(W$16:W445))</f>
        <v>-0.40168522049326527</v>
      </c>
      <c r="Z445" s="16">
        <f t="shared" si="1217"/>
        <v>4.9586776859504543E-3</v>
      </c>
      <c r="AA445" s="153">
        <f t="shared" ref="AA445" si="1287">AVERAGEIFS(W445:W451, W445:W451, "&gt;=0")</f>
        <v>89.727142857142866</v>
      </c>
      <c r="AC445" s="16">
        <f t="shared" si="1244"/>
        <v>-6.6321144063729687E-2</v>
      </c>
      <c r="AD445" s="66">
        <f t="shared" ref="AD445" si="1288">(AA445-AA438)/AA438</f>
        <v>-0.1004668881759852</v>
      </c>
      <c r="AE445" s="16" cm="1">
        <f t="array" ref="AE445">_xlfn.STDEV.S(_xlfn._xlws.FILTER(X445:X451, ISNUMBER(X445:X451))) / AA445</f>
        <v>3.5657898545523689E-2</v>
      </c>
      <c r="AF445" s="16" t="str">
        <f t="shared" ref="AF445:AF450" si="1289">AF444</f>
        <v>Medium Volatility</v>
      </c>
      <c r="AG445" s="14" t="str">
        <f t="shared" si="1039"/>
        <v>Strong Downtrend</v>
      </c>
      <c r="AI445" s="131" t="s">
        <v>818</v>
      </c>
      <c r="AJ445" s="131">
        <v>463709</v>
      </c>
      <c r="AK445" s="131">
        <v>464656</v>
      </c>
      <c r="AL445" s="15">
        <f t="shared" si="1268"/>
        <v>46195</v>
      </c>
      <c r="AM445" s="60">
        <f t="shared" si="1256"/>
        <v>46.465600000000002</v>
      </c>
      <c r="AN445" s="61">
        <f t="shared" si="1257"/>
        <v>2.1799999999998931E-2</v>
      </c>
      <c r="AO445" s="62">
        <f>((AM445-MAX(AM$16:AM445))/MAX(AM$16:AM445))</f>
        <v>0</v>
      </c>
      <c r="AP445" s="16">
        <f t="shared" si="1258"/>
        <v>4.6938450342131629E-4</v>
      </c>
      <c r="AQ445" s="153">
        <f t="shared" ref="AQ445" si="1290">AVERAGEIFS(AM445:AM451, AM445:AM451, "&gt;=0")</f>
        <v>46.55555714285714</v>
      </c>
      <c r="AS445" s="16">
        <f t="shared" si="1128"/>
        <v>3.6091882026416605E-3</v>
      </c>
      <c r="AT445" s="77">
        <f t="shared" ref="AT445" si="1291">(AQ445-AQ438)/AQ438</f>
        <v>3.5592306420254693E-3</v>
      </c>
      <c r="AU445" s="16" cm="1">
        <f t="array" ref="AU445">_xlfn.STDEV.S(_xlfn._xlws.FILTER(AN445:AN451, ISNUMBER(AN445:AN451))) / AQ445</f>
        <v>5.5645427955340978E-4</v>
      </c>
      <c r="AV445" s="16" t="str">
        <f t="shared" ref="AV445" si="1292">IF(AU445 &lt; 0.02, "Low Volatility",
 IF(AU445 &gt; 0.1, "High Volatility", "Medium Volatility"))</f>
        <v>Low Volatility</v>
      </c>
      <c r="AW445" s="14" t="str">
        <f t="shared" si="1185"/>
        <v>Stable</v>
      </c>
    </row>
    <row r="446" spans="1:49" ht="15.75" hidden="1" thickBot="1">
      <c r="A446" s="131" t="s">
        <v>819</v>
      </c>
      <c r="B446" s="131" t="s">
        <v>1180</v>
      </c>
      <c r="C446" s="131" t="s">
        <v>1181</v>
      </c>
      <c r="D446" s="15">
        <v>46196</v>
      </c>
      <c r="E446" s="60">
        <f t="shared" si="1140"/>
        <v>6143.05</v>
      </c>
      <c r="F446" s="61">
        <f t="shared" si="1141"/>
        <v>-119.17999999999938</v>
      </c>
      <c r="G446" s="62">
        <f>((E446-MAX(E$16:E446))/MAX(E$16:E446))</f>
        <v>-0.1848015765063398</v>
      </c>
      <c r="H446" s="16">
        <f t="shared" si="1103"/>
        <v>-1.9031559045260136E-2</v>
      </c>
      <c r="I446" s="153"/>
      <c r="K446" s="16">
        <f t="shared" si="1163"/>
        <v>-4.7120833029566433E-2</v>
      </c>
      <c r="L446" s="77">
        <f t="shared" ref="L446:N446" si="1293">L445</f>
        <v>-3.0632747497563742E-2</v>
      </c>
      <c r="M446" s="16">
        <f t="shared" si="1293"/>
        <v>1.5785999986748834E-2</v>
      </c>
      <c r="N446" s="16" t="str">
        <f t="shared" si="1293"/>
        <v>Low Volatility</v>
      </c>
      <c r="O446" s="14" t="str">
        <f t="shared" si="1210"/>
        <v>Strong Downtrend</v>
      </c>
      <c r="S446" s="131" t="s">
        <v>819</v>
      </c>
      <c r="T446" s="131" t="s">
        <v>1518</v>
      </c>
      <c r="U446" s="131" t="s">
        <v>1519</v>
      </c>
      <c r="V446" s="15">
        <f t="shared" si="1099"/>
        <v>46196</v>
      </c>
      <c r="W446" s="60">
        <f t="shared" si="1215"/>
        <v>92.05</v>
      </c>
      <c r="X446" s="61">
        <f t="shared" si="1216"/>
        <v>-5.230000000000004</v>
      </c>
      <c r="Y446" s="62">
        <f>((W446-MAX(W$16:W446))/MAX(W$16:W446))</f>
        <v>-0.43385202041946003</v>
      </c>
      <c r="Z446" s="16">
        <f t="shared" si="1217"/>
        <v>-5.3762335526315833E-2</v>
      </c>
      <c r="AA446" s="153"/>
      <c r="AC446" s="16">
        <f t="shared" si="1244"/>
        <v>-0.11702637889688253</v>
      </c>
      <c r="AD446" s="16">
        <f t="shared" ref="AD446" si="1294">AD445</f>
        <v>-0.1004668881759852</v>
      </c>
      <c r="AE446" s="16">
        <f t="shared" ref="AE446:AE450" si="1295">AE445</f>
        <v>3.5657898545523689E-2</v>
      </c>
      <c r="AF446" s="16" t="str">
        <f t="shared" si="1289"/>
        <v>Medium Volatility</v>
      </c>
      <c r="AG446" s="14" t="str">
        <f t="shared" si="1039"/>
        <v>Strong Downtrend</v>
      </c>
      <c r="AI446" s="131" t="s">
        <v>819</v>
      </c>
      <c r="AJ446" s="131">
        <v>464673</v>
      </c>
      <c r="AK446" s="131">
        <v>464739</v>
      </c>
      <c r="AL446" s="15">
        <f t="shared" si="1268"/>
        <v>46196</v>
      </c>
      <c r="AM446" s="60">
        <f t="shared" si="1256"/>
        <v>46.4739</v>
      </c>
      <c r="AN446" s="61">
        <f t="shared" si="1257"/>
        <v>8.2999999999984198E-3</v>
      </c>
      <c r="AO446" s="62">
        <f>((AM446-MAX(AM$16:AM446))/MAX(AM$16:AM446))</f>
        <v>0</v>
      </c>
      <c r="AP446" s="16">
        <f t="shared" si="1258"/>
        <v>1.786267690506185E-4</v>
      </c>
      <c r="AQ446" s="153"/>
      <c r="AS446" s="16">
        <f t="shared" si="1128"/>
        <v>3.9684425645169332E-3</v>
      </c>
      <c r="AT446" s="77">
        <f t="shared" ref="AT446:AV446" si="1296">AT445</f>
        <v>3.5592306420254693E-3</v>
      </c>
      <c r="AU446" s="16">
        <f t="shared" si="1296"/>
        <v>5.5645427955340978E-4</v>
      </c>
      <c r="AV446" s="16" t="str">
        <f t="shared" si="1296"/>
        <v>Low Volatility</v>
      </c>
      <c r="AW446" s="14" t="str">
        <f t="shared" si="1185"/>
        <v>Stable</v>
      </c>
    </row>
    <row r="447" spans="1:49" ht="15.75" hidden="1" thickBot="1">
      <c r="A447" s="131" t="s">
        <v>820</v>
      </c>
      <c r="B447" s="131" t="s">
        <v>1182</v>
      </c>
      <c r="C447" s="131" t="s">
        <v>1183</v>
      </c>
      <c r="D447" s="15">
        <v>46197</v>
      </c>
      <c r="E447" s="60">
        <f t="shared" si="1140"/>
        <v>5980.23</v>
      </c>
      <c r="F447" s="61">
        <f t="shared" si="1141"/>
        <v>-162.82000000000062</v>
      </c>
      <c r="G447" s="62">
        <f>((E447-MAX(E$16:E447))/MAX(E$16:E447))</f>
        <v>-0.20640820632593077</v>
      </c>
      <c r="H447" s="16">
        <f t="shared" si="1103"/>
        <v>-2.6504749269499778E-2</v>
      </c>
      <c r="I447" s="153"/>
      <c r="K447" s="16">
        <f t="shared" si="1163"/>
        <v>-5.7495303418103022E-2</v>
      </c>
      <c r="L447" s="77">
        <f t="shared" ref="L447:N447" si="1297">L446</f>
        <v>-3.0632747497563742E-2</v>
      </c>
      <c r="M447" s="16">
        <f t="shared" si="1297"/>
        <v>1.5785999986748834E-2</v>
      </c>
      <c r="N447" s="16" t="str">
        <f t="shared" si="1297"/>
        <v>Low Volatility</v>
      </c>
      <c r="O447" s="14" t="str">
        <f t="shared" si="1210"/>
        <v>Strong Downtrend</v>
      </c>
      <c r="S447" s="131" t="s">
        <v>820</v>
      </c>
      <c r="T447" s="131" t="s">
        <v>1520</v>
      </c>
      <c r="U447" s="131" t="s">
        <v>1521</v>
      </c>
      <c r="V447" s="15">
        <f t="shared" si="1099"/>
        <v>46197</v>
      </c>
      <c r="W447" s="60">
        <f t="shared" si="1215"/>
        <v>85.87</v>
      </c>
      <c r="X447" s="61">
        <f t="shared" si="1216"/>
        <v>-6.1799999999999926</v>
      </c>
      <c r="Y447" s="62">
        <f>((W447-MAX(W$16:W447))/MAX(W$16:W447))</f>
        <v>-0.47186173811427518</v>
      </c>
      <c r="Z447" s="16">
        <f t="shared" si="1217"/>
        <v>-6.7137425312330176E-2</v>
      </c>
      <c r="AA447" s="153"/>
      <c r="AC447" s="16">
        <f t="shared" si="1244"/>
        <v>-0.15173367578780991</v>
      </c>
      <c r="AD447" s="16">
        <f t="shared" ref="AD447" si="1298">AD445</f>
        <v>-0.1004668881759852</v>
      </c>
      <c r="AE447" s="16">
        <f t="shared" si="1295"/>
        <v>3.5657898545523689E-2</v>
      </c>
      <c r="AF447" s="16" t="str">
        <f t="shared" si="1289"/>
        <v>Medium Volatility</v>
      </c>
      <c r="AG447" s="14" t="str">
        <f t="shared" si="1039"/>
        <v>Strong Downtrend</v>
      </c>
      <c r="AI447" s="131" t="s">
        <v>820</v>
      </c>
      <c r="AJ447" s="131">
        <v>464755</v>
      </c>
      <c r="AK447" s="131">
        <v>465056</v>
      </c>
      <c r="AL447" s="15">
        <f t="shared" si="1268"/>
        <v>46197</v>
      </c>
      <c r="AM447" s="60">
        <f t="shared" si="1256"/>
        <v>46.505600000000001</v>
      </c>
      <c r="AN447" s="61">
        <f t="shared" si="1257"/>
        <v>3.1700000000000728E-2</v>
      </c>
      <c r="AO447" s="62">
        <f>((AM447-MAX(AM$16:AM447))/MAX(AM$16:AM447))</f>
        <v>0</v>
      </c>
      <c r="AP447" s="16">
        <f t="shared" si="1258"/>
        <v>6.8210328808214352E-4</v>
      </c>
      <c r="AQ447" s="153"/>
      <c r="AS447" s="16">
        <f t="shared" si="1128"/>
        <v>3.1384746797353414E-3</v>
      </c>
      <c r="AT447" s="77">
        <f t="shared" ref="AT447:AV447" si="1299">AT446</f>
        <v>3.5592306420254693E-3</v>
      </c>
      <c r="AU447" s="16">
        <f t="shared" si="1299"/>
        <v>5.5645427955340978E-4</v>
      </c>
      <c r="AV447" s="16" t="str">
        <f t="shared" si="1299"/>
        <v>Low Volatility</v>
      </c>
      <c r="AW447" s="14" t="str">
        <f t="shared" si="1185"/>
        <v>Stable</v>
      </c>
    </row>
    <row r="448" spans="1:49" ht="15.75" hidden="1" thickBot="1">
      <c r="A448" s="131" t="s">
        <v>821</v>
      </c>
      <c r="B448" s="131" t="s">
        <v>1184</v>
      </c>
      <c r="C448" s="131" t="s">
        <v>1185</v>
      </c>
      <c r="D448" s="15">
        <v>46198</v>
      </c>
      <c r="E448" s="60">
        <f t="shared" si="1140"/>
        <v>6029.24</v>
      </c>
      <c r="F448" s="61">
        <f t="shared" si="1141"/>
        <v>49.010000000000218</v>
      </c>
      <c r="G448" s="62">
        <f>((E448-MAX(E$16:E448))/MAX(E$16:E448))</f>
        <v>-0.19990445416122032</v>
      </c>
      <c r="H448" s="16">
        <f t="shared" si="1103"/>
        <v>8.1953369686450558E-3</v>
      </c>
      <c r="I448" s="153"/>
      <c r="K448" s="16">
        <f t="shared" si="1163"/>
        <v>-4.1015665385208767E-2</v>
      </c>
      <c r="L448" s="77">
        <f t="shared" ref="L448:N448" si="1300">L447</f>
        <v>-3.0632747497563742E-2</v>
      </c>
      <c r="M448" s="16">
        <f t="shared" si="1300"/>
        <v>1.5785999986748834E-2</v>
      </c>
      <c r="N448" s="16" t="str">
        <f t="shared" si="1300"/>
        <v>Low Volatility</v>
      </c>
      <c r="O448" s="14" t="str">
        <f t="shared" si="1210"/>
        <v>Strong Downtrend</v>
      </c>
      <c r="S448" s="131" t="s">
        <v>821</v>
      </c>
      <c r="T448" s="131" t="s">
        <v>1522</v>
      </c>
      <c r="U448" s="131" t="s">
        <v>1523</v>
      </c>
      <c r="V448" s="15">
        <f t="shared" si="1099"/>
        <v>46198</v>
      </c>
      <c r="W448" s="60">
        <f t="shared" si="1215"/>
        <v>86.67</v>
      </c>
      <c r="X448" s="61">
        <f t="shared" si="1216"/>
        <v>0.79999999999999716</v>
      </c>
      <c r="Y448" s="62">
        <f>((W448-MAX(W$16:W448))/MAX(W$16:W448))</f>
        <v>-0.46694138630912108</v>
      </c>
      <c r="Z448" s="16">
        <f t="shared" si="1217"/>
        <v>9.3164085245137657E-3</v>
      </c>
      <c r="AA448" s="153"/>
      <c r="AC448" s="16">
        <f t="shared" si="1244"/>
        <v>-0.11714373026382806</v>
      </c>
      <c r="AD448" s="16">
        <f t="shared" ref="AD448" si="1301">AD445</f>
        <v>-0.1004668881759852</v>
      </c>
      <c r="AE448" s="16">
        <f t="shared" si="1295"/>
        <v>3.5657898545523689E-2</v>
      </c>
      <c r="AF448" s="16" t="str">
        <f t="shared" si="1289"/>
        <v>Medium Volatility</v>
      </c>
      <c r="AG448" s="14" t="str">
        <f t="shared" ref="AG448:AG493" si="1302">IF(AND(AC448 &gt; 0.01, AD448 &gt; 0.01), "Strong Uptrend",
 IF(AND(AC448 &lt; -0.01, AD448 &lt; -0.01), "Strong Downtrend",
 IF(ABS(AD448) &lt; 0.005, "Stable", "Weak/Unconfirmed")))</f>
        <v>Strong Downtrend</v>
      </c>
      <c r="AI448" s="131" t="s">
        <v>821</v>
      </c>
      <c r="AJ448" s="131">
        <v>464972</v>
      </c>
      <c r="AK448" s="131">
        <v>465673</v>
      </c>
      <c r="AL448" s="15">
        <f t="shared" si="1268"/>
        <v>46198</v>
      </c>
      <c r="AM448" s="60">
        <f t="shared" si="1256"/>
        <v>46.567300000000003</v>
      </c>
      <c r="AN448" s="61">
        <f t="shared" si="1257"/>
        <v>6.1700000000001864E-2</v>
      </c>
      <c r="AO448" s="62">
        <f>((AM448-MAX(AM$16:AM448))/MAX(AM$16:AM448))</f>
        <v>0</v>
      </c>
      <c r="AP448" s="16">
        <f t="shared" si="1258"/>
        <v>1.3267219431638741E-3</v>
      </c>
      <c r="AQ448" s="153"/>
      <c r="AS448" s="16">
        <f t="shared" si="1128"/>
        <v>2.4627095402010076E-3</v>
      </c>
      <c r="AT448" s="77">
        <f t="shared" ref="AT448:AV448" si="1303">AT447</f>
        <v>3.5592306420254693E-3</v>
      </c>
      <c r="AU448" s="16">
        <f t="shared" si="1303"/>
        <v>5.5645427955340978E-4</v>
      </c>
      <c r="AV448" s="16" t="str">
        <f t="shared" si="1303"/>
        <v>Low Volatility</v>
      </c>
      <c r="AW448" s="14" t="str">
        <f t="shared" si="1185"/>
        <v>Stable</v>
      </c>
    </row>
    <row r="449" spans="1:49" ht="15.75" hidden="1" thickBot="1">
      <c r="A449" s="131" t="s">
        <v>822</v>
      </c>
      <c r="B449" s="131" t="s">
        <v>1186</v>
      </c>
      <c r="C449" s="131" t="s">
        <v>1187</v>
      </c>
      <c r="D449" s="15">
        <v>46199</v>
      </c>
      <c r="E449" s="60">
        <f t="shared" si="1140"/>
        <v>6130.13</v>
      </c>
      <c r="F449" s="61">
        <f t="shared" si="1141"/>
        <v>100.89000000000033</v>
      </c>
      <c r="G449" s="62">
        <f>((E449-MAX(E$16:E449))/MAX(E$16:E449))</f>
        <v>-0.1865160935022194</v>
      </c>
      <c r="H449" s="16">
        <f t="shared" si="1103"/>
        <v>1.6733452309080469E-2</v>
      </c>
      <c r="I449" s="153"/>
      <c r="K449" s="16">
        <f t="shared" si="1163"/>
        <v>-1.2145677221819336E-2</v>
      </c>
      <c r="L449" s="77">
        <f t="shared" ref="L449:N449" si="1304">L448</f>
        <v>-3.0632747497563742E-2</v>
      </c>
      <c r="M449" s="16">
        <f t="shared" si="1304"/>
        <v>1.5785999986748834E-2</v>
      </c>
      <c r="N449" s="16" t="str">
        <f t="shared" si="1304"/>
        <v>Low Volatility</v>
      </c>
      <c r="O449" s="14" t="str">
        <f t="shared" si="1210"/>
        <v>Strong Downtrend</v>
      </c>
      <c r="S449" s="131" t="s">
        <v>822</v>
      </c>
      <c r="T449" s="131" t="s">
        <v>1524</v>
      </c>
      <c r="U449" s="131" t="s">
        <v>1525</v>
      </c>
      <c r="V449" s="15">
        <f t="shared" si="1099"/>
        <v>46199</v>
      </c>
      <c r="W449" s="60">
        <f t="shared" si="1215"/>
        <v>88.74</v>
      </c>
      <c r="X449" s="61">
        <f t="shared" si="1216"/>
        <v>2.0699999999999932</v>
      </c>
      <c r="Y449" s="62">
        <f>((W449-MAX(W$16:W449))/MAX(W$16:W449))</f>
        <v>-0.454209976013285</v>
      </c>
      <c r="Z449" s="16">
        <f t="shared" si="1217"/>
        <v>2.3883696780892964E-2</v>
      </c>
      <c r="AA449" s="153"/>
      <c r="AC449" s="16">
        <f t="shared" si="1244"/>
        <v>-8.3264462809917381E-2</v>
      </c>
      <c r="AD449" s="16">
        <f t="shared" ref="AD449" si="1305">AD445</f>
        <v>-0.1004668881759852</v>
      </c>
      <c r="AE449" s="16">
        <f t="shared" si="1295"/>
        <v>3.5657898545523689E-2</v>
      </c>
      <c r="AF449" s="16" t="str">
        <f t="shared" si="1289"/>
        <v>Medium Volatility</v>
      </c>
      <c r="AG449" s="14" t="str">
        <f t="shared" si="1302"/>
        <v>Strong Downtrend</v>
      </c>
      <c r="AI449" s="131" t="s">
        <v>822</v>
      </c>
      <c r="AJ449" s="131">
        <v>465729</v>
      </c>
      <c r="AK449" s="131">
        <v>466255</v>
      </c>
      <c r="AL449" s="15">
        <f t="shared" si="1268"/>
        <v>46199</v>
      </c>
      <c r="AM449" s="60">
        <f t="shared" si="1256"/>
        <v>46.625500000000002</v>
      </c>
      <c r="AN449" s="61">
        <f t="shared" si="1257"/>
        <v>5.8199999999999363E-2</v>
      </c>
      <c r="AO449" s="62">
        <f>((AM449-MAX(AM$16:AM449))/MAX(AM$16:AM449))</f>
        <v>0</v>
      </c>
      <c r="AP449" s="16">
        <f t="shared" si="1258"/>
        <v>1.2498040470458748E-3</v>
      </c>
      <c r="AQ449" s="153"/>
      <c r="AS449" s="16">
        <f t="shared" si="1128"/>
        <v>3.9122552418191297E-3</v>
      </c>
      <c r="AT449" s="77">
        <f t="shared" ref="AT449:AV449" si="1306">AT448</f>
        <v>3.5592306420254693E-3</v>
      </c>
      <c r="AU449" s="16">
        <f t="shared" si="1306"/>
        <v>5.5645427955340978E-4</v>
      </c>
      <c r="AV449" s="16" t="str">
        <f t="shared" si="1306"/>
        <v>Low Volatility</v>
      </c>
      <c r="AW449" s="14" t="str">
        <f t="shared" si="1185"/>
        <v>Stable</v>
      </c>
    </row>
    <row r="450" spans="1:49" ht="15.75" hidden="1" thickBot="1">
      <c r="A450" s="131" t="s">
        <v>823</v>
      </c>
      <c r="B450" s="131" t="s">
        <v>1186</v>
      </c>
      <c r="C450" s="131" t="s">
        <v>1187</v>
      </c>
      <c r="D450" s="15">
        <v>46200</v>
      </c>
      <c r="E450" s="60">
        <f t="shared" si="1140"/>
        <v>6130.13</v>
      </c>
      <c r="F450" s="61">
        <f t="shared" si="1141"/>
        <v>0</v>
      </c>
      <c r="G450" s="62">
        <f>((E450-MAX(E$16:E450))/MAX(E$16:E450))</f>
        <v>-0.1865160935022194</v>
      </c>
      <c r="H450" s="16">
        <f t="shared" si="1103"/>
        <v>0</v>
      </c>
      <c r="I450" s="153"/>
      <c r="K450" s="16">
        <f t="shared" si="1163"/>
        <v>-1.2145677221819336E-2</v>
      </c>
      <c r="L450" s="77">
        <f t="shared" ref="L450:N450" si="1307">L449</f>
        <v>-3.0632747497563742E-2</v>
      </c>
      <c r="M450" s="16">
        <f t="shared" si="1307"/>
        <v>1.5785999986748834E-2</v>
      </c>
      <c r="N450" s="16" t="str">
        <f t="shared" si="1307"/>
        <v>Low Volatility</v>
      </c>
      <c r="O450" s="14" t="str">
        <f t="shared" si="1210"/>
        <v>Strong Downtrend</v>
      </c>
      <c r="S450" s="131" t="s">
        <v>823</v>
      </c>
      <c r="T450" s="131" t="s">
        <v>1524</v>
      </c>
      <c r="U450" s="131" t="s">
        <v>1525</v>
      </c>
      <c r="V450" s="15">
        <f t="shared" si="1099"/>
        <v>46200</v>
      </c>
      <c r="W450" s="60">
        <f t="shared" si="1215"/>
        <v>88.74</v>
      </c>
      <c r="X450" s="61">
        <f t="shared" si="1216"/>
        <v>0</v>
      </c>
      <c r="Y450" s="62">
        <f>((W450-MAX(W$16:W450))/MAX(W$16:W450))</f>
        <v>-0.454209976013285</v>
      </c>
      <c r="Z450" s="16">
        <f t="shared" si="1217"/>
        <v>0</v>
      </c>
      <c r="AA450" s="153"/>
      <c r="AC450" s="16">
        <f t="shared" si="1244"/>
        <v>-8.3264462809917381E-2</v>
      </c>
      <c r="AD450" s="16">
        <f t="shared" ref="AD450" si="1308">AD445</f>
        <v>-0.1004668881759852</v>
      </c>
      <c r="AE450" s="16">
        <f t="shared" si="1295"/>
        <v>3.5657898545523689E-2</v>
      </c>
      <c r="AF450" s="16" t="str">
        <f t="shared" si="1289"/>
        <v>Medium Volatility</v>
      </c>
      <c r="AG450" s="14" t="str">
        <f t="shared" si="1302"/>
        <v>Strong Downtrend</v>
      </c>
      <c r="AI450" s="131" t="s">
        <v>823</v>
      </c>
      <c r="AJ450" s="131">
        <v>465729</v>
      </c>
      <c r="AK450" s="131">
        <v>466255</v>
      </c>
      <c r="AL450" s="15">
        <f t="shared" si="1268"/>
        <v>46200</v>
      </c>
      <c r="AM450" s="60">
        <f t="shared" si="1256"/>
        <v>46.625500000000002</v>
      </c>
      <c r="AN450" s="61">
        <f t="shared" si="1257"/>
        <v>0</v>
      </c>
      <c r="AO450" s="62">
        <f>((AM450-MAX(AM$16:AM450))/MAX(AM$16:AM450))</f>
        <v>0</v>
      </c>
      <c r="AP450" s="16">
        <f t="shared" si="1258"/>
        <v>0</v>
      </c>
      <c r="AQ450" s="153"/>
      <c r="AS450" s="16">
        <f t="shared" si="1128"/>
        <v>3.9122552418191297E-3</v>
      </c>
      <c r="AT450" s="77">
        <f t="shared" ref="AT450:AV450" si="1309">AT449</f>
        <v>3.5592306420254693E-3</v>
      </c>
      <c r="AU450" s="16">
        <f t="shared" si="1309"/>
        <v>5.5645427955340978E-4</v>
      </c>
      <c r="AV450" s="16" t="str">
        <f t="shared" si="1309"/>
        <v>Low Volatility</v>
      </c>
      <c r="AW450" s="14" t="str">
        <f t="shared" si="1185"/>
        <v>Stable</v>
      </c>
    </row>
    <row r="451" spans="1:49" ht="15.75" hidden="1" thickBot="1">
      <c r="A451" s="131" t="s">
        <v>824</v>
      </c>
      <c r="B451" s="131" t="s">
        <v>1186</v>
      </c>
      <c r="C451" s="131" t="s">
        <v>1187</v>
      </c>
      <c r="D451" s="15">
        <v>46201</v>
      </c>
      <c r="E451" s="60">
        <f t="shared" si="1140"/>
        <v>6130.13</v>
      </c>
      <c r="F451" s="61">
        <f t="shared" si="1141"/>
        <v>0</v>
      </c>
      <c r="G451" s="62">
        <f>((E451-MAX(E$16:E451))/MAX(E$16:E451))</f>
        <v>-0.1865160935022194</v>
      </c>
      <c r="H451" s="16">
        <f t="shared" si="1103"/>
        <v>0</v>
      </c>
      <c r="I451" s="153"/>
      <c r="K451" s="16">
        <f t="shared" si="1163"/>
        <v>-1.2145677221819336E-2</v>
      </c>
      <c r="L451" s="77">
        <f t="shared" ref="L451:N451" si="1310">L450</f>
        <v>-3.0632747497563742E-2</v>
      </c>
      <c r="M451" s="16">
        <f t="shared" si="1310"/>
        <v>1.5785999986748834E-2</v>
      </c>
      <c r="N451" s="16" t="str">
        <f t="shared" si="1310"/>
        <v>Low Volatility</v>
      </c>
      <c r="O451" s="14" t="str">
        <f t="shared" si="1210"/>
        <v>Strong Downtrend</v>
      </c>
      <c r="S451" s="131" t="s">
        <v>824</v>
      </c>
      <c r="T451" s="131" t="s">
        <v>1524</v>
      </c>
      <c r="U451" s="131" t="s">
        <v>1525</v>
      </c>
      <c r="V451" s="15">
        <f t="shared" si="1099"/>
        <v>46201</v>
      </c>
      <c r="W451" s="60">
        <f t="shared" si="1215"/>
        <v>88.74</v>
      </c>
      <c r="X451" s="61">
        <f t="shared" si="1216"/>
        <v>0</v>
      </c>
      <c r="Y451" s="62">
        <f>((W451-MAX(W$16:W451))/MAX(W$16:W451))</f>
        <v>-0.454209976013285</v>
      </c>
      <c r="Z451" s="16">
        <f t="shared" si="1217"/>
        <v>0</v>
      </c>
      <c r="AA451" s="153"/>
      <c r="AC451" s="16">
        <f t="shared" si="1244"/>
        <v>-8.3264462809917381E-2</v>
      </c>
      <c r="AD451" s="16">
        <f t="shared" ref="AD451:AE451" si="1311">AD445</f>
        <v>-0.1004668881759852</v>
      </c>
      <c r="AE451" s="16">
        <f t="shared" si="1311"/>
        <v>3.5657898545523689E-2</v>
      </c>
      <c r="AF451" s="16" t="str">
        <f t="shared" ref="AF451:AF452" si="1312">IF(AE451 &lt; 0.02, "Low Volatility",
 IF(AE451 &gt; 0.1, "High Volatility", "Medium Volatility"))</f>
        <v>Medium Volatility</v>
      </c>
      <c r="AG451" s="14" t="str">
        <f t="shared" si="1302"/>
        <v>Strong Downtrend</v>
      </c>
      <c r="AI451" s="131" t="s">
        <v>824</v>
      </c>
      <c r="AJ451" s="131">
        <v>465729</v>
      </c>
      <c r="AK451" s="131">
        <v>466255</v>
      </c>
      <c r="AL451" s="15">
        <f t="shared" si="1268"/>
        <v>46201</v>
      </c>
      <c r="AM451" s="60">
        <f t="shared" si="1256"/>
        <v>46.625500000000002</v>
      </c>
      <c r="AN451" s="61">
        <f t="shared" si="1257"/>
        <v>0</v>
      </c>
      <c r="AO451" s="62">
        <f>((AM451-MAX(AM$16:AM451))/MAX(AM$16:AM451))</f>
        <v>0</v>
      </c>
      <c r="AP451" s="16">
        <f t="shared" si="1258"/>
        <v>0</v>
      </c>
      <c r="AQ451" s="153"/>
      <c r="AS451" s="16">
        <f t="shared" si="1128"/>
        <v>3.9122552418191297E-3</v>
      </c>
      <c r="AT451" s="77">
        <f t="shared" ref="AT451:AV451" si="1313">AT450</f>
        <v>3.5592306420254693E-3</v>
      </c>
      <c r="AU451" s="16">
        <f t="shared" si="1313"/>
        <v>5.5645427955340978E-4</v>
      </c>
      <c r="AV451" s="16" t="str">
        <f t="shared" si="1313"/>
        <v>Low Volatility</v>
      </c>
      <c r="AW451" s="14" t="str">
        <f t="shared" si="1185"/>
        <v>Stable</v>
      </c>
    </row>
    <row r="452" spans="1:49" ht="15.75" hidden="1" thickBot="1">
      <c r="A452" s="131" t="s">
        <v>825</v>
      </c>
      <c r="B452" s="131" t="s">
        <v>1188</v>
      </c>
      <c r="C452" s="131" t="s">
        <v>1189</v>
      </c>
      <c r="D452" s="15">
        <v>46202</v>
      </c>
      <c r="E452" s="60">
        <f t="shared" si="1140"/>
        <v>6023.74</v>
      </c>
      <c r="F452" s="61">
        <f t="shared" si="1141"/>
        <v>-106.39000000000033</v>
      </c>
      <c r="G452" s="62">
        <f>((E452-MAX(E$16:E452))/MAX(E$16:E452))</f>
        <v>-0.20063431820745389</v>
      </c>
      <c r="H452" s="16">
        <f t="shared" si="1103"/>
        <v>-1.7355260002642738E-2</v>
      </c>
      <c r="I452" s="153">
        <f>AVERAGEIFS(E452:E459, E452:E459, "&gt;=0")</f>
        <v>6172.2512499999993</v>
      </c>
      <c r="K452" s="16">
        <f t="shared" si="1163"/>
        <v>-3.808387746856947E-2</v>
      </c>
      <c r="L452" s="77">
        <f t="shared" ref="L452" si="1314">(I452-I445)/I445</f>
        <v>1.1246008509717966E-2</v>
      </c>
      <c r="M452" s="16" cm="1">
        <f t="array" ref="M452">_xlfn.STDEV.S(_xlfn._xlws.FILTER(F452:F458, ISNUMBER(F452:F458))) / I452</f>
        <v>1.2845079572826405E-2</v>
      </c>
      <c r="N452" s="16" t="str" cm="1">
        <f t="array" ref="N452">_xlfn.LET(
  _xlpm.c, M273,
  IFERROR(
    _xlfn.IFS(_xlpm.c&lt;0.02,"Low Volatility",
        _xlpm.c&gt;0.1,"High Volatility",
        TRUE,"Medium Volatility"),
    "Insufficient data"
  )
)</f>
        <v>Low Volatility</v>
      </c>
      <c r="O452" s="14" t="str">
        <f t="shared" si="1210"/>
        <v>Weak/Unconfirmed</v>
      </c>
      <c r="S452" s="131" t="s">
        <v>825</v>
      </c>
      <c r="T452" s="131" t="s">
        <v>1526</v>
      </c>
      <c r="U452" s="131" t="s">
        <v>1527</v>
      </c>
      <c r="V452" s="15">
        <f t="shared" si="1099"/>
        <v>46202</v>
      </c>
      <c r="W452" s="60">
        <f t="shared" si="1215"/>
        <v>87.48</v>
      </c>
      <c r="X452" s="61">
        <f t="shared" si="1216"/>
        <v>-1.2599999999999909</v>
      </c>
      <c r="Y452" s="62">
        <f>((W452-MAX(W$16:W452))/MAX(W$16:W452))</f>
        <v>-0.46195953010640262</v>
      </c>
      <c r="Z452" s="16">
        <f t="shared" si="1217"/>
        <v>-1.4198782961460345E-2</v>
      </c>
      <c r="AA452" s="153">
        <f t="shared" ref="AA452" si="1315">AVERAGEIFS(W452:W458, W452:W458, "&gt;=0")</f>
        <v>91.045714285714297</v>
      </c>
      <c r="AC452" s="16">
        <f t="shared" si="1244"/>
        <v>-0.10074013157894733</v>
      </c>
      <c r="AD452" s="66">
        <f t="shared" ref="AD452" si="1316">(AA452-AA445)/AA445</f>
        <v>1.4695346208345965E-2</v>
      </c>
      <c r="AE452" s="16" cm="1">
        <f t="array" ref="AE452">_xlfn.STDEV.S(_xlfn._xlws.FILTER(X452:X458, ISNUMBER(X452:X458))) / AA452</f>
        <v>1.5630667163061492E-2</v>
      </c>
      <c r="AF452" s="16" t="str">
        <f t="shared" si="1312"/>
        <v>Low Volatility</v>
      </c>
      <c r="AG452" s="14" t="str">
        <f t="shared" si="1302"/>
        <v>Weak/Unconfirmed</v>
      </c>
      <c r="AI452" s="131" t="s">
        <v>825</v>
      </c>
      <c r="AJ452" s="131">
        <v>466205</v>
      </c>
      <c r="AK452" s="131">
        <v>466471</v>
      </c>
      <c r="AL452" s="15">
        <f t="shared" si="1268"/>
        <v>46202</v>
      </c>
      <c r="AM452" s="60">
        <f t="shared" si="1256"/>
        <v>46.647100000000002</v>
      </c>
      <c r="AN452" s="61">
        <f t="shared" si="1257"/>
        <v>2.1599999999999397E-2</v>
      </c>
      <c r="AO452" s="62">
        <f>((AM452-MAX(AM$16:AM452))/MAX(AM$16:AM452))</f>
        <v>0</v>
      </c>
      <c r="AP452" s="16">
        <f t="shared" si="1258"/>
        <v>4.6326580948192293E-4</v>
      </c>
      <c r="AQ452" s="153">
        <f t="shared" ref="AQ452" si="1317">AVERAGEIFS(AM452:AM458, AM452:AM458, "&gt;=0")</f>
        <v>46.729042857142858</v>
      </c>
      <c r="AS452" s="16">
        <f t="shared" si="1128"/>
        <v>3.9061154918907702E-3</v>
      </c>
      <c r="AT452" s="77">
        <f t="shared" ref="AT452" si="1318">(AQ452-AQ445)/AQ445</f>
        <v>3.7264233301595303E-3</v>
      </c>
      <c r="AU452" s="16" cm="1">
        <f t="array" ref="AU452">_xlfn.STDEV.S(_xlfn._xlws.FILTER(AN452:AN458, ISNUMBER(AN452:AN458))) / AQ452</f>
        <v>7.8355587690410403E-4</v>
      </c>
      <c r="AV452" s="16" t="str">
        <f t="shared" ref="AV452" si="1319">IF(AU452 &lt; 0.02, "Low Volatility",
 IF(AU452 &gt; 0.1, "High Volatility", "Medium Volatility"))</f>
        <v>Low Volatility</v>
      </c>
      <c r="AW452" s="14" t="str">
        <f t="shared" si="1185"/>
        <v>Stable</v>
      </c>
    </row>
    <row r="453" spans="1:49" ht="15.75" hidden="1" thickBot="1">
      <c r="A453" s="131" t="s">
        <v>826</v>
      </c>
      <c r="B453" s="131" t="s">
        <v>1190</v>
      </c>
      <c r="C453" s="131" t="s">
        <v>1191</v>
      </c>
      <c r="D453" s="15">
        <v>46203</v>
      </c>
      <c r="E453" s="60">
        <f t="shared" si="1140"/>
        <v>6011.41</v>
      </c>
      <c r="F453" s="61">
        <f t="shared" si="1141"/>
        <v>-12.329999999999927</v>
      </c>
      <c r="G453" s="62">
        <f>((E453-MAX(E$16:E453))/MAX(E$16:E453))</f>
        <v>-0.20227054069655567</v>
      </c>
      <c r="H453" s="16">
        <f t="shared" si="1103"/>
        <v>-2.0469010946687488E-3</v>
      </c>
      <c r="I453" s="153"/>
      <c r="K453" s="16">
        <f t="shared" si="1163"/>
        <v>-2.1429094667958153E-2</v>
      </c>
      <c r="L453" s="77">
        <f t="shared" ref="L453:N453" si="1320">L452</f>
        <v>1.1246008509717966E-2</v>
      </c>
      <c r="M453" s="16">
        <f t="shared" si="1320"/>
        <v>1.2845079572826405E-2</v>
      </c>
      <c r="N453" s="16" t="str">
        <f t="shared" si="1320"/>
        <v>Low Volatility</v>
      </c>
      <c r="O453" s="14" t="str">
        <f t="shared" si="1210"/>
        <v>Weak/Unconfirmed</v>
      </c>
      <c r="S453" s="131" t="s">
        <v>826</v>
      </c>
      <c r="T453" s="131" t="s">
        <v>1528</v>
      </c>
      <c r="U453" s="131" t="s">
        <v>1529</v>
      </c>
      <c r="V453" s="15">
        <f t="shared" si="1099"/>
        <v>46203</v>
      </c>
      <c r="W453" s="60">
        <f t="shared" si="1215"/>
        <v>87.89</v>
      </c>
      <c r="X453" s="61">
        <f t="shared" si="1216"/>
        <v>0.40999999999999659</v>
      </c>
      <c r="Y453" s="62">
        <f>((W453-MAX(W$16:W453))/MAX(W$16:W453))</f>
        <v>-0.45943784980626118</v>
      </c>
      <c r="Z453" s="16">
        <f t="shared" si="1217"/>
        <v>4.6867855509830428E-3</v>
      </c>
      <c r="AA453" s="153"/>
      <c r="AC453" s="16">
        <f t="shared" si="1244"/>
        <v>-4.5192829983704476E-2</v>
      </c>
      <c r="AD453" s="16">
        <f t="shared" ref="AD453:AF453" si="1321">AD452</f>
        <v>1.4695346208345965E-2</v>
      </c>
      <c r="AE453" s="16">
        <f t="shared" si="1321"/>
        <v>1.5630667163061492E-2</v>
      </c>
      <c r="AF453" s="16" t="str">
        <f t="shared" si="1321"/>
        <v>Low Volatility</v>
      </c>
      <c r="AG453" s="14" t="str">
        <f t="shared" si="1302"/>
        <v>Weak/Unconfirmed</v>
      </c>
      <c r="AI453" s="131" t="s">
        <v>826</v>
      </c>
      <c r="AJ453" s="131">
        <v>466340</v>
      </c>
      <c r="AK453" s="131">
        <v>466592</v>
      </c>
      <c r="AL453" s="15">
        <f t="shared" si="1268"/>
        <v>46203</v>
      </c>
      <c r="AM453" s="60">
        <f t="shared" si="1256"/>
        <v>46.659199999999998</v>
      </c>
      <c r="AN453" s="61">
        <f t="shared" si="1257"/>
        <v>1.2099999999996669E-2</v>
      </c>
      <c r="AO453" s="62">
        <f>((AM453-MAX(AM$16:AM453))/MAX(AM$16:AM453))</f>
        <v>0</v>
      </c>
      <c r="AP453" s="16">
        <f t="shared" si="1258"/>
        <v>2.5939447468324223E-4</v>
      </c>
      <c r="AQ453" s="153"/>
      <c r="AS453" s="16">
        <f t="shared" si="1128"/>
        <v>3.9871842044674113E-3</v>
      </c>
      <c r="AT453" s="77">
        <f t="shared" ref="AT453:AV453" si="1322">AT452</f>
        <v>3.7264233301595303E-3</v>
      </c>
      <c r="AU453" s="16">
        <f t="shared" si="1322"/>
        <v>7.8355587690410403E-4</v>
      </c>
      <c r="AV453" s="16" t="str">
        <f t="shared" si="1322"/>
        <v>Low Volatility</v>
      </c>
      <c r="AW453" s="14" t="str">
        <f t="shared" si="1185"/>
        <v>Stable</v>
      </c>
    </row>
    <row r="454" spans="1:49" ht="15.75" thickBot="1">
      <c r="A454" s="131" t="s">
        <v>827</v>
      </c>
      <c r="B454" s="131" t="s">
        <v>1192</v>
      </c>
      <c r="C454" s="131" t="s">
        <v>1193</v>
      </c>
      <c r="D454" s="15">
        <v>46204</v>
      </c>
      <c r="E454" s="60">
        <f t="shared" si="1140"/>
        <v>6048.16</v>
      </c>
      <c r="F454" s="61">
        <f t="shared" si="1141"/>
        <v>36.75</v>
      </c>
      <c r="G454" s="62">
        <f>((E454-MAX(E$16:E454))/MAX(E$16:E454))</f>
        <v>-0.19739372184217682</v>
      </c>
      <c r="H454" s="16">
        <f t="shared" si="1103"/>
        <v>6.1133743996832695E-3</v>
      </c>
      <c r="I454" s="153"/>
      <c r="K454" s="16">
        <f t="shared" si="1163"/>
        <v>1.1359094884310519E-2</v>
      </c>
      <c r="L454" s="77">
        <f t="shared" ref="L454:N454" si="1323">L453</f>
        <v>1.1246008509717966E-2</v>
      </c>
      <c r="M454" s="16">
        <f t="shared" si="1323"/>
        <v>1.2845079572826405E-2</v>
      </c>
      <c r="N454" s="16" t="str">
        <f t="shared" si="1323"/>
        <v>Low Volatility</v>
      </c>
      <c r="O454" s="14" t="str">
        <f t="shared" si="1210"/>
        <v>Strong Uptrend</v>
      </c>
      <c r="S454" s="131" t="s">
        <v>827</v>
      </c>
      <c r="T454" s="131" t="s">
        <v>1530</v>
      </c>
      <c r="U454" s="131" t="s">
        <v>1531</v>
      </c>
      <c r="V454" s="15">
        <f t="shared" si="1099"/>
        <v>46204</v>
      </c>
      <c r="W454" s="60">
        <f t="shared" si="1215"/>
        <v>88.72</v>
      </c>
      <c r="X454" s="61">
        <f t="shared" si="1216"/>
        <v>0.82999999999999829</v>
      </c>
      <c r="Y454" s="62">
        <f>((W454-MAX(W$16:W454))/MAX(W$16:W454))</f>
        <v>-0.45433298480841383</v>
      </c>
      <c r="Z454" s="16">
        <f t="shared" si="1217"/>
        <v>9.4436227102059206E-3</v>
      </c>
      <c r="AA454" s="153"/>
      <c r="AC454" s="16">
        <f t="shared" si="1244"/>
        <v>3.3189705368580347E-2</v>
      </c>
      <c r="AD454" s="16">
        <f t="shared" ref="AD454" si="1324">AD452</f>
        <v>1.4695346208345965E-2</v>
      </c>
      <c r="AE454" s="16">
        <f t="shared" ref="AE454:AF454" si="1325">AE453</f>
        <v>1.5630667163061492E-2</v>
      </c>
      <c r="AF454" s="16" t="str">
        <f t="shared" si="1325"/>
        <v>Low Volatility</v>
      </c>
      <c r="AG454" s="14" t="str">
        <f t="shared" si="1302"/>
        <v>Strong Uptrend</v>
      </c>
      <c r="AI454" s="131" t="s">
        <v>827</v>
      </c>
      <c r="AJ454" s="131">
        <v>466562</v>
      </c>
      <c r="AK454" s="131">
        <v>466625</v>
      </c>
      <c r="AL454" s="15">
        <f t="shared" si="1268"/>
        <v>46204</v>
      </c>
      <c r="AM454" s="60">
        <f t="shared" si="1256"/>
        <v>46.662500000000001</v>
      </c>
      <c r="AN454" s="61">
        <f t="shared" si="1257"/>
        <v>3.3000000000029672E-3</v>
      </c>
      <c r="AO454" s="62">
        <f>((AM454-MAX(AM$16:AM454))/MAX(AM$16:AM454))</f>
        <v>0</v>
      </c>
      <c r="AP454" s="16">
        <f t="shared" si="1258"/>
        <v>7.0725601810639E-5</v>
      </c>
      <c r="AQ454" s="153"/>
      <c r="AS454" s="16">
        <f t="shared" si="1128"/>
        <v>3.3737872428266759E-3</v>
      </c>
      <c r="AT454" s="77">
        <f t="shared" ref="AT454:AV454" si="1326">AT453</f>
        <v>3.7264233301595303E-3</v>
      </c>
      <c r="AU454" s="16">
        <f t="shared" si="1326"/>
        <v>7.8355587690410403E-4</v>
      </c>
      <c r="AV454" s="16" t="str">
        <f t="shared" si="1326"/>
        <v>Low Volatility</v>
      </c>
      <c r="AW454" s="14" t="str">
        <f t="shared" si="1185"/>
        <v>Stable</v>
      </c>
    </row>
    <row r="455" spans="1:49" ht="15.75" thickBot="1">
      <c r="A455" s="131" t="s">
        <v>828</v>
      </c>
      <c r="B455" s="131" t="s">
        <v>1194</v>
      </c>
      <c r="C455" s="131" t="s">
        <v>1195</v>
      </c>
      <c r="D455" s="15">
        <v>46205</v>
      </c>
      <c r="E455" s="60">
        <f t="shared" si="1140"/>
        <v>6191.65</v>
      </c>
      <c r="F455" s="61">
        <f t="shared" si="1141"/>
        <v>143.48999999999978</v>
      </c>
      <c r="G455" s="62">
        <f>((E455-MAX(E$16:E455))/MAX(E$16:E455))</f>
        <v>-0.17835223238871234</v>
      </c>
      <c r="H455" s="16">
        <f t="shared" si="1103"/>
        <v>2.3724570778550797E-2</v>
      </c>
      <c r="I455" s="153"/>
      <c r="K455" s="16">
        <f t="shared" si="1163"/>
        <v>2.6937060060637803E-2</v>
      </c>
      <c r="L455" s="77">
        <f t="shared" ref="L455:N455" si="1327">L454</f>
        <v>1.1246008509717966E-2</v>
      </c>
      <c r="M455" s="16">
        <f t="shared" si="1327"/>
        <v>1.2845079572826405E-2</v>
      </c>
      <c r="N455" s="16" t="str">
        <f t="shared" si="1327"/>
        <v>Low Volatility</v>
      </c>
      <c r="O455" s="14" t="str">
        <f t="shared" si="1210"/>
        <v>Strong Uptrend</v>
      </c>
      <c r="S455" s="131" t="s">
        <v>828</v>
      </c>
      <c r="T455" s="131" t="s">
        <v>1531</v>
      </c>
      <c r="U455" s="131" t="s">
        <v>1532</v>
      </c>
      <c r="V455" s="15">
        <v>46205</v>
      </c>
      <c r="W455" s="60">
        <f t="shared" si="1215"/>
        <v>91.59</v>
      </c>
      <c r="X455" s="61">
        <f t="shared" si="1216"/>
        <v>2.8700000000000045</v>
      </c>
      <c r="Y455" s="62">
        <f>((W455-MAX(W$16:W455))/MAX(W$16:W455))</f>
        <v>-0.43668122270742354</v>
      </c>
      <c r="Z455" s="16">
        <f t="shared" si="1217"/>
        <v>3.2348963029756587E-2</v>
      </c>
      <c r="AA455" s="153"/>
      <c r="AC455" s="16">
        <f t="shared" si="1244"/>
        <v>5.6767047421253047E-2</v>
      </c>
      <c r="AD455" s="16">
        <f t="shared" ref="AD455" si="1328">AD452</f>
        <v>1.4695346208345965E-2</v>
      </c>
      <c r="AE455" s="16">
        <f t="shared" ref="AE455:AF455" si="1329">AE454</f>
        <v>1.5630667163061492E-2</v>
      </c>
      <c r="AF455" s="16" t="str">
        <f t="shared" si="1329"/>
        <v>Low Volatility</v>
      </c>
      <c r="AG455" s="14" t="str">
        <f t="shared" si="1302"/>
        <v>Strong Uptrend</v>
      </c>
      <c r="AI455" s="131" t="s">
        <v>828</v>
      </c>
      <c r="AJ455" s="131">
        <v>466634</v>
      </c>
      <c r="AK455" s="131">
        <v>467081</v>
      </c>
      <c r="AL455" s="15">
        <v>46205</v>
      </c>
      <c r="AM455" s="60">
        <f t="shared" si="1256"/>
        <v>46.708100000000002</v>
      </c>
      <c r="AN455" s="61">
        <f t="shared" si="1257"/>
        <v>4.5600000000000307E-2</v>
      </c>
      <c r="AO455" s="62">
        <f>((AM455-MAX(AM$16:AM455))/MAX(AM$16:AM455))</f>
        <v>0</v>
      </c>
      <c r="AP455" s="16">
        <f t="shared" si="1258"/>
        <v>9.7723010983124148E-4</v>
      </c>
      <c r="AQ455" s="153"/>
      <c r="AS455" s="16">
        <f t="shared" si="1128"/>
        <v>3.0235809248120183E-3</v>
      </c>
      <c r="AT455" s="77">
        <f t="shared" ref="AT455:AV455" si="1330">AT454</f>
        <v>3.7264233301595303E-3</v>
      </c>
      <c r="AU455" s="16">
        <f t="shared" si="1330"/>
        <v>7.8355587690410403E-4</v>
      </c>
      <c r="AV455" s="16" t="str">
        <f t="shared" si="1330"/>
        <v>Low Volatility</v>
      </c>
      <c r="AW455" s="14" t="str">
        <f t="shared" si="1185"/>
        <v>Stable</v>
      </c>
    </row>
    <row r="456" spans="1:49" ht="15.75" thickBot="1">
      <c r="A456" s="131" t="s">
        <v>829</v>
      </c>
      <c r="B456" s="131" t="s">
        <v>1196</v>
      </c>
      <c r="C456" s="131" t="s">
        <v>1197</v>
      </c>
      <c r="D456" s="15">
        <v>46206</v>
      </c>
      <c r="E456" s="60">
        <f t="shared" si="1140"/>
        <v>6277.78</v>
      </c>
      <c r="F456" s="61">
        <f t="shared" si="1141"/>
        <v>86.130000000000109</v>
      </c>
      <c r="G456" s="62">
        <f>((E456-MAX(E$16:E456))/MAX(E$16:E456))</f>
        <v>-0.16692256142469461</v>
      </c>
      <c r="H456" s="16">
        <f t="shared" si="1103"/>
        <v>1.3910670015262508E-2</v>
      </c>
      <c r="I456" s="153"/>
      <c r="K456" s="16">
        <f t="shared" si="1163"/>
        <v>2.4085949237618066E-2</v>
      </c>
      <c r="L456" s="77">
        <f t="shared" ref="L456:N456" si="1331">L455</f>
        <v>1.1246008509717966E-2</v>
      </c>
      <c r="M456" s="16">
        <f t="shared" si="1331"/>
        <v>1.2845079572826405E-2</v>
      </c>
      <c r="N456" s="16" t="str">
        <f t="shared" si="1331"/>
        <v>Low Volatility</v>
      </c>
      <c r="O456" s="14" t="str">
        <f t="shared" si="1210"/>
        <v>Strong Uptrend</v>
      </c>
      <c r="S456" s="131" t="s">
        <v>829</v>
      </c>
      <c r="T456" s="131" t="s">
        <v>1533</v>
      </c>
      <c r="U456" s="131" t="s">
        <v>1534</v>
      </c>
      <c r="V456" s="15">
        <v>46206</v>
      </c>
      <c r="W456" s="60">
        <f t="shared" si="1215"/>
        <v>93.88</v>
      </c>
      <c r="X456" s="61">
        <f t="shared" si="1216"/>
        <v>2.289999999999992</v>
      </c>
      <c r="Y456" s="62">
        <f>((W456-MAX(W$16:W456))/MAX(W$16:W456))</f>
        <v>-0.4225967156651701</v>
      </c>
      <c r="Z456" s="16">
        <f t="shared" si="1217"/>
        <v>2.5002729555628257E-2</v>
      </c>
      <c r="AA456" s="153"/>
      <c r="AC456" s="16">
        <f t="shared" si="1244"/>
        <v>5.7922019382465641E-2</v>
      </c>
      <c r="AD456" s="16">
        <f t="shared" ref="AD456" si="1332">AD452</f>
        <v>1.4695346208345965E-2</v>
      </c>
      <c r="AE456" s="16">
        <f t="shared" ref="AE456:AF456" si="1333">AE455</f>
        <v>1.5630667163061492E-2</v>
      </c>
      <c r="AF456" s="16" t="str">
        <f t="shared" si="1333"/>
        <v>Low Volatility</v>
      </c>
      <c r="AG456" s="14" t="str">
        <f t="shared" si="1302"/>
        <v>Strong Uptrend</v>
      </c>
      <c r="AI456" s="131" t="s">
        <v>829</v>
      </c>
      <c r="AJ456" s="131">
        <v>467145</v>
      </c>
      <c r="AK456" s="131">
        <v>468088</v>
      </c>
      <c r="AL456" s="15">
        <v>46206</v>
      </c>
      <c r="AM456" s="60">
        <f t="shared" si="1256"/>
        <v>46.808799999999998</v>
      </c>
      <c r="AN456" s="61">
        <f t="shared" si="1257"/>
        <v>0.10069999999999624</v>
      </c>
      <c r="AO456" s="62">
        <f>((AM456-MAX(AM$16:AM456))/MAX(AM$16:AM456))</f>
        <v>0</v>
      </c>
      <c r="AP456" s="16">
        <f t="shared" si="1258"/>
        <v>2.1559429734884579E-3</v>
      </c>
      <c r="AQ456" s="153"/>
      <c r="AS456" s="16">
        <f t="shared" si="1128"/>
        <v>3.9313251332424443E-3</v>
      </c>
      <c r="AT456" s="77">
        <f t="shared" ref="AT456:AV456" si="1334">AT455</f>
        <v>3.7264233301595303E-3</v>
      </c>
      <c r="AU456" s="16">
        <f t="shared" si="1334"/>
        <v>7.8355587690410403E-4</v>
      </c>
      <c r="AV456" s="16" t="str">
        <f t="shared" si="1334"/>
        <v>Low Volatility</v>
      </c>
      <c r="AW456" s="14" t="str">
        <f t="shared" si="1185"/>
        <v>Stable</v>
      </c>
    </row>
    <row r="457" spans="1:49" ht="15.75" thickBot="1">
      <c r="A457" s="131" t="s">
        <v>830</v>
      </c>
      <c r="B457" s="131" t="s">
        <v>1196</v>
      </c>
      <c r="C457" s="131" t="s">
        <v>1197</v>
      </c>
      <c r="D457" s="15">
        <v>46207</v>
      </c>
      <c r="E457" s="60">
        <f t="shared" si="1140"/>
        <v>6277.78</v>
      </c>
      <c r="F457" s="61">
        <f t="shared" si="1141"/>
        <v>0</v>
      </c>
      <c r="G457" s="62">
        <f>((E457-MAX(E$16:E457))/MAX(E$16:E457))</f>
        <v>-0.16692256142469461</v>
      </c>
      <c r="H457" s="16">
        <f t="shared" si="1103"/>
        <v>0</v>
      </c>
      <c r="I457" s="153"/>
      <c r="K457" s="16">
        <f t="shared" si="1163"/>
        <v>2.4085949237618066E-2</v>
      </c>
      <c r="L457" s="77">
        <f t="shared" ref="L457:N457" si="1335">L456</f>
        <v>1.1246008509717966E-2</v>
      </c>
      <c r="M457" s="16">
        <f t="shared" si="1335"/>
        <v>1.2845079572826405E-2</v>
      </c>
      <c r="N457" s="16" t="str">
        <f t="shared" si="1335"/>
        <v>Low Volatility</v>
      </c>
      <c r="O457" s="14" t="str">
        <f t="shared" si="1210"/>
        <v>Strong Uptrend</v>
      </c>
      <c r="S457" s="131" t="s">
        <v>830</v>
      </c>
      <c r="T457" s="131" t="s">
        <v>1533</v>
      </c>
      <c r="U457" s="131" t="s">
        <v>1534</v>
      </c>
      <c r="V457" s="15">
        <v>46207</v>
      </c>
      <c r="W457" s="60">
        <f t="shared" si="1215"/>
        <v>93.88</v>
      </c>
      <c r="X457" s="61">
        <f t="shared" si="1216"/>
        <v>0</v>
      </c>
      <c r="Y457" s="62">
        <f>((W457-MAX(W$16:W457))/MAX(W$16:W457))</f>
        <v>-0.4225967156651701</v>
      </c>
      <c r="Z457" s="16">
        <f t="shared" si="1217"/>
        <v>0</v>
      </c>
      <c r="AA457" s="153"/>
      <c r="AC457" s="16">
        <f t="shared" si="1244"/>
        <v>5.7922019382465641E-2</v>
      </c>
      <c r="AD457" s="16">
        <f t="shared" ref="AD457" si="1336">AD452</f>
        <v>1.4695346208345965E-2</v>
      </c>
      <c r="AE457" s="16">
        <f t="shared" ref="AE457:AF457" si="1337">AE456</f>
        <v>1.5630667163061492E-2</v>
      </c>
      <c r="AF457" s="16" t="str">
        <f t="shared" si="1337"/>
        <v>Low Volatility</v>
      </c>
      <c r="AG457" s="14" t="str">
        <f t="shared" si="1302"/>
        <v>Strong Uptrend</v>
      </c>
      <c r="AI457" s="131" t="s">
        <v>830</v>
      </c>
      <c r="AJ457" s="131">
        <v>467145</v>
      </c>
      <c r="AK457" s="131">
        <v>468088</v>
      </c>
      <c r="AL457" s="15">
        <v>46207</v>
      </c>
      <c r="AM457" s="60">
        <f t="shared" si="1256"/>
        <v>46.808799999999998</v>
      </c>
      <c r="AN457" s="61">
        <f t="shared" si="1257"/>
        <v>0</v>
      </c>
      <c r="AO457" s="62">
        <f>((AM457-MAX(AM$16:AM457))/MAX(AM$16:AM457))</f>
        <v>0</v>
      </c>
      <c r="AP457" s="16">
        <f t="shared" si="1258"/>
        <v>0</v>
      </c>
      <c r="AQ457" s="153"/>
      <c r="AS457" s="16">
        <f t="shared" si="1128"/>
        <v>3.9313251332424443E-3</v>
      </c>
      <c r="AT457" s="77">
        <f t="shared" ref="AT457:AV457" si="1338">AT456</f>
        <v>3.7264233301595303E-3</v>
      </c>
      <c r="AU457" s="16">
        <f t="shared" si="1338"/>
        <v>7.8355587690410403E-4</v>
      </c>
      <c r="AV457" s="16" t="str">
        <f t="shared" si="1338"/>
        <v>Low Volatility</v>
      </c>
      <c r="AW457" s="14" t="str">
        <f t="shared" si="1185"/>
        <v>Stable</v>
      </c>
    </row>
    <row r="458" spans="1:49" ht="15.75" thickBot="1">
      <c r="A458" s="131" t="s">
        <v>831</v>
      </c>
      <c r="B458" s="131" t="s">
        <v>1196</v>
      </c>
      <c r="C458" s="131" t="s">
        <v>1197</v>
      </c>
      <c r="D458" s="15">
        <v>46208</v>
      </c>
      <c r="E458" s="60">
        <f t="shared" si="1140"/>
        <v>6277.78</v>
      </c>
      <c r="F458" s="61">
        <f t="shared" si="1141"/>
        <v>0</v>
      </c>
      <c r="G458" s="62">
        <f>((E458-MAX(E$16:E458))/MAX(E$16:E458))</f>
        <v>-0.16692256142469461</v>
      </c>
      <c r="H458" s="16">
        <f t="shared" si="1103"/>
        <v>0</v>
      </c>
      <c r="I458" s="153"/>
      <c r="K458" s="16">
        <f t="shared" si="1163"/>
        <v>2.4085949237618066E-2</v>
      </c>
      <c r="L458" s="77">
        <f t="shared" ref="L458:N458" si="1339">L457</f>
        <v>1.1246008509717966E-2</v>
      </c>
      <c r="M458" s="16">
        <f t="shared" si="1339"/>
        <v>1.2845079572826405E-2</v>
      </c>
      <c r="N458" s="16" t="str">
        <f t="shared" si="1339"/>
        <v>Low Volatility</v>
      </c>
      <c r="O458" s="14" t="str">
        <f t="shared" si="1210"/>
        <v>Strong Uptrend</v>
      </c>
      <c r="S458" s="131" t="s">
        <v>831</v>
      </c>
      <c r="T458" s="131" t="s">
        <v>1533</v>
      </c>
      <c r="U458" s="131" t="s">
        <v>1534</v>
      </c>
      <c r="V458" s="15">
        <v>46208</v>
      </c>
      <c r="W458" s="60">
        <f t="shared" si="1215"/>
        <v>93.88</v>
      </c>
      <c r="X458" s="61">
        <f t="shared" si="1216"/>
        <v>0</v>
      </c>
      <c r="Y458" s="62">
        <f>((W458-MAX(W$16:W458))/MAX(W$16:W458))</f>
        <v>-0.4225967156651701</v>
      </c>
      <c r="Z458" s="16">
        <f t="shared" si="1217"/>
        <v>0</v>
      </c>
      <c r="AA458" s="153"/>
      <c r="AC458" s="16">
        <f t="shared" si="1244"/>
        <v>5.7922019382465641E-2</v>
      </c>
      <c r="AD458" s="16">
        <f t="shared" ref="AD458:AE458" si="1340">AD452</f>
        <v>1.4695346208345965E-2</v>
      </c>
      <c r="AE458" s="16">
        <f t="shared" si="1340"/>
        <v>1.5630667163061492E-2</v>
      </c>
      <c r="AF458" s="16" t="str">
        <f t="shared" ref="AF458" si="1341">IF(AE458 &lt; 0.02, "Low Volatility",
 IF(AE458 &gt; 0.1, "High Volatility", "Medium Volatility"))</f>
        <v>Low Volatility</v>
      </c>
      <c r="AG458" s="14" t="str">
        <f t="shared" si="1302"/>
        <v>Strong Uptrend</v>
      </c>
      <c r="AI458" s="131" t="s">
        <v>831</v>
      </c>
      <c r="AJ458" s="131">
        <v>467145</v>
      </c>
      <c r="AK458" s="131">
        <v>468088</v>
      </c>
      <c r="AL458" s="15">
        <v>46208</v>
      </c>
      <c r="AM458" s="60">
        <f t="shared" si="1256"/>
        <v>46.808799999999998</v>
      </c>
      <c r="AN458" s="61">
        <f t="shared" si="1257"/>
        <v>0</v>
      </c>
      <c r="AO458" s="62">
        <f>((AM458-MAX(AM$16:AM458))/MAX(AM$16:AM458))</f>
        <v>0</v>
      </c>
      <c r="AP458" s="16">
        <f t="shared" si="1258"/>
        <v>0</v>
      </c>
      <c r="AQ458" s="153"/>
      <c r="AS458" s="16">
        <f t="shared" si="1128"/>
        <v>3.9313251332424443E-3</v>
      </c>
      <c r="AT458" s="77">
        <f t="shared" ref="AT458:AV458" si="1342">AT457</f>
        <v>3.7264233301595303E-3</v>
      </c>
      <c r="AU458" s="16">
        <f t="shared" si="1342"/>
        <v>7.8355587690410403E-4</v>
      </c>
      <c r="AV458" s="16" t="str">
        <f t="shared" si="1342"/>
        <v>Low Volatility</v>
      </c>
      <c r="AW458" s="14" t="str">
        <f t="shared" si="1185"/>
        <v>Stable</v>
      </c>
    </row>
    <row r="459" spans="1:49" ht="15.75" thickBot="1">
      <c r="A459" s="131" t="s">
        <v>832</v>
      </c>
      <c r="B459" s="131" t="s">
        <v>1198</v>
      </c>
      <c r="C459" s="131" t="s">
        <v>1199</v>
      </c>
      <c r="D459" s="15">
        <v>46209</v>
      </c>
      <c r="E459" s="60">
        <f t="shared" si="1140"/>
        <v>6269.71</v>
      </c>
      <c r="F459" s="61">
        <f t="shared" si="1141"/>
        <v>-8.069999999999709</v>
      </c>
      <c r="G459" s="62">
        <f>((E459-MAX(E$16:E459))/MAX(E$16:E459))</f>
        <v>-0.16799347103435</v>
      </c>
      <c r="H459" s="16">
        <f t="shared" si="1103"/>
        <v>-1.2854862706242827E-3</v>
      </c>
      <c r="I459" s="153">
        <f>AVERAGEIFS(E459:E466, E459:E466, "&gt;=0")</f>
        <v>6191.4750000000004</v>
      </c>
      <c r="K459" s="16">
        <f t="shared" si="1163"/>
        <v>4.0833435706056416E-2</v>
      </c>
      <c r="L459" s="77">
        <f t="shared" ref="L459" si="1343">(I459-I452)/I452</f>
        <v>3.1145443082863842E-3</v>
      </c>
      <c r="M459" s="16" cm="1">
        <f t="array" ref="M459">_xlfn.STDEV.S(_xlfn._xlws.FILTER(F459:F465, ISNUMBER(F459:F465))) / I459</f>
        <v>8.3703017397529691E-3</v>
      </c>
      <c r="N459" s="16" t="str" cm="1">
        <f t="array" ref="N459">_xlfn.LET(
  _xlpm.c, M280,
  IFERROR(
    _xlfn.IFS(_xlpm.c&lt;0.02,"Low Volatility",
        _xlpm.c&gt;0.1,"High Volatility",
        TRUE,"Medium Volatility"),
    "Insufficient data"
  )
)</f>
        <v>Low Volatility</v>
      </c>
      <c r="O459" s="14" t="str">
        <f t="shared" si="1210"/>
        <v>Stable</v>
      </c>
      <c r="S459" s="131" t="s">
        <v>832</v>
      </c>
      <c r="T459" s="131" t="s">
        <v>1535</v>
      </c>
      <c r="U459" s="131" t="s">
        <v>1536</v>
      </c>
      <c r="V459" s="15">
        <v>46209</v>
      </c>
      <c r="W459" s="60">
        <f t="shared" si="1215"/>
        <v>93.44</v>
      </c>
      <c r="X459" s="61">
        <f t="shared" si="1216"/>
        <v>-0.43999999999999773</v>
      </c>
      <c r="Y459" s="62">
        <f>((W459-MAX(W$16:W459))/MAX(W$16:W459))</f>
        <v>-0.42530290915800484</v>
      </c>
      <c r="Z459" s="16">
        <f t="shared" si="1217"/>
        <v>-4.686834256497633E-3</v>
      </c>
      <c r="AA459" s="153">
        <f t="shared" ref="AA459" si="1344">AVERAGEIFS(W459:W465, W459:W465, "&gt;=0")</f>
        <v>90.49</v>
      </c>
      <c r="AC459" s="16">
        <f t="shared" si="1244"/>
        <v>6.8129858253314968E-2</v>
      </c>
      <c r="AD459" s="66">
        <f t="shared" ref="AD459" si="1345">(AA459-AA452)/AA452</f>
        <v>-6.1036841774934313E-3</v>
      </c>
      <c r="AE459" s="16" cm="1">
        <f t="array" ref="AE459">_xlfn.STDEV.S(_xlfn._xlws.FILTER(X459:X465, ISNUMBER(X459:X465))) / AA459</f>
        <v>2.1259201098032487E-2</v>
      </c>
      <c r="AF459" s="16" t="str">
        <f t="shared" ref="AF459:AF464" si="1346">AF458</f>
        <v>Low Volatility</v>
      </c>
      <c r="AG459" s="14" t="str">
        <f t="shared" si="1302"/>
        <v>Weak/Unconfirmed</v>
      </c>
      <c r="AI459" s="131" t="s">
        <v>832</v>
      </c>
      <c r="AJ459" s="131">
        <v>468004</v>
      </c>
      <c r="AK459" s="131">
        <v>468181</v>
      </c>
      <c r="AL459" s="15">
        <v>46209</v>
      </c>
      <c r="AM459" s="60">
        <f t="shared" si="1256"/>
        <v>46.818100000000001</v>
      </c>
      <c r="AN459" s="61">
        <f t="shared" si="1257"/>
        <v>9.3000000000031946E-3</v>
      </c>
      <c r="AO459" s="62">
        <f>((AM459-MAX(AM$16:AM459))/MAX(AM$16:AM459))</f>
        <v>0</v>
      </c>
      <c r="AP459" s="16">
        <f t="shared" si="1258"/>
        <v>1.9868058997460296E-4</v>
      </c>
      <c r="AQ459" s="153">
        <f t="shared" ref="AQ459" si="1347">AVERAGEIFS(AM459:AM465, AM459:AM465, "&gt;=0")</f>
        <v>46.91095714285715</v>
      </c>
      <c r="AS459" s="16">
        <f t="shared" si="1128"/>
        <v>3.6658227413922701E-3</v>
      </c>
      <c r="AT459" s="77">
        <f t="shared" ref="AT459" si="1348">(AQ459-AQ452)/AQ452</f>
        <v>3.8929598081096856E-3</v>
      </c>
      <c r="AU459" s="16" cm="1">
        <f t="array" ref="AU459">_xlfn.STDEV.S(_xlfn._xlws.FILTER(AN459:AN465, ISNUMBER(AN459:AN465))) / AQ459</f>
        <v>8.7983457361315396E-4</v>
      </c>
      <c r="AV459" s="16" t="str">
        <f t="shared" ref="AV459" si="1349">IF(AU459 &lt; 0.02, "Low Volatility",
 IF(AU459 &gt; 0.1, "High Volatility", "Medium Volatility"))</f>
        <v>Low Volatility</v>
      </c>
      <c r="AW459" s="14" t="str">
        <f t="shared" si="1185"/>
        <v>Stable</v>
      </c>
    </row>
    <row r="460" spans="1:49" ht="15.75" thickBot="1">
      <c r="A460" s="131" t="s">
        <v>833</v>
      </c>
      <c r="B460" s="131" t="s">
        <v>1200</v>
      </c>
      <c r="C460" s="131" t="s">
        <v>1201</v>
      </c>
      <c r="D460" s="15">
        <v>46210</v>
      </c>
      <c r="E460" s="60">
        <f t="shared" si="1140"/>
        <v>6184.52</v>
      </c>
      <c r="F460" s="61">
        <f t="shared" si="1141"/>
        <v>-85.1899999999996</v>
      </c>
      <c r="G460" s="62">
        <f>((E460-MAX(E$16:E460))/MAX(E$16:E460))</f>
        <v>-0.17929840159773866</v>
      </c>
      <c r="H460" s="16">
        <f t="shared" si="1103"/>
        <v>-1.3587550301369537E-2</v>
      </c>
      <c r="I460" s="153"/>
      <c r="K460" s="16">
        <f t="shared" si="1163"/>
        <v>2.879690455317481E-2</v>
      </c>
      <c r="L460" s="77">
        <f t="shared" ref="L460:N460" si="1350">L459</f>
        <v>3.1145443082863842E-3</v>
      </c>
      <c r="M460" s="16">
        <f t="shared" si="1350"/>
        <v>8.3703017397529691E-3</v>
      </c>
      <c r="N460" s="16" t="str">
        <f t="shared" si="1350"/>
        <v>Low Volatility</v>
      </c>
      <c r="O460" s="14" t="str">
        <f t="shared" si="1210"/>
        <v>Stable</v>
      </c>
      <c r="S460" s="131" t="s">
        <v>833</v>
      </c>
      <c r="T460" s="131" t="s">
        <v>1537</v>
      </c>
      <c r="U460" s="131" t="s">
        <v>1538</v>
      </c>
      <c r="V460" s="15">
        <v>46210</v>
      </c>
      <c r="W460" s="60">
        <f t="shared" si="1215"/>
        <v>90.34</v>
      </c>
      <c r="X460" s="61">
        <f t="shared" si="1216"/>
        <v>-3.0999999999999943</v>
      </c>
      <c r="Y460" s="62">
        <f>((W460-MAX(W$16:W460))/MAX(W$16:W460))</f>
        <v>-0.4443692724029768</v>
      </c>
      <c r="Z460" s="16">
        <f t="shared" si="1217"/>
        <v>-3.3176369863013637E-2</v>
      </c>
      <c r="AA460" s="153"/>
      <c r="AC460" s="16">
        <f t="shared" si="1244"/>
        <v>2.7875753783138047E-2</v>
      </c>
      <c r="AD460" s="16">
        <f t="shared" ref="AD460" si="1351">AD459</f>
        <v>-6.1036841774934313E-3</v>
      </c>
      <c r="AE460" s="16">
        <f t="shared" ref="AE460:AE464" si="1352">AE459</f>
        <v>2.1259201098032487E-2</v>
      </c>
      <c r="AF460" s="16" t="str">
        <f t="shared" si="1346"/>
        <v>Low Volatility</v>
      </c>
      <c r="AG460" s="14" t="str">
        <f t="shared" si="1302"/>
        <v>Weak/Unconfirmed</v>
      </c>
      <c r="AI460" s="131" t="s">
        <v>833</v>
      </c>
      <c r="AJ460" s="131">
        <v>468212</v>
      </c>
      <c r="AK460" s="131">
        <v>468496</v>
      </c>
      <c r="AL460" s="15">
        <v>46210</v>
      </c>
      <c r="AM460" s="60">
        <f t="shared" si="1256"/>
        <v>46.849600000000002</v>
      </c>
      <c r="AN460" s="61">
        <f t="shared" si="1257"/>
        <v>3.1500000000001194E-2</v>
      </c>
      <c r="AO460" s="62">
        <f>((AM460-MAX(AM$16:AM460))/MAX(AM$16:AM460))</f>
        <v>0</v>
      </c>
      <c r="AP460" s="16">
        <f t="shared" si="1258"/>
        <v>6.7281670977679985E-4</v>
      </c>
      <c r="AQ460" s="153"/>
      <c r="AS460" s="16">
        <f t="shared" si="1128"/>
        <v>4.0806529044647979E-3</v>
      </c>
      <c r="AT460" s="77">
        <f t="shared" ref="AT460:AV460" si="1353">AT459</f>
        <v>3.8929598081096856E-3</v>
      </c>
      <c r="AU460" s="16">
        <f t="shared" si="1353"/>
        <v>8.7983457361315396E-4</v>
      </c>
      <c r="AV460" s="16" t="str">
        <f t="shared" si="1353"/>
        <v>Low Volatility</v>
      </c>
      <c r="AW460" s="14" t="str">
        <f t="shared" si="1185"/>
        <v>Stable</v>
      </c>
    </row>
    <row r="461" spans="1:49" ht="15.75" thickBot="1">
      <c r="A461" s="131" t="s">
        <v>834</v>
      </c>
      <c r="B461" s="131" t="s">
        <v>1202</v>
      </c>
      <c r="C461" s="131" t="s">
        <v>1203</v>
      </c>
      <c r="D461" s="15">
        <v>46211</v>
      </c>
      <c r="E461" s="60">
        <f t="shared" si="1140"/>
        <v>6136.01</v>
      </c>
      <c r="F461" s="61">
        <f t="shared" si="1141"/>
        <v>-48.510000000000218</v>
      </c>
      <c r="G461" s="62">
        <f>((E461-MAX(E$16:E461))/MAX(E$16:E461))</f>
        <v>-0.18573580248551877</v>
      </c>
      <c r="H461" s="16">
        <f t="shared" si="1103"/>
        <v>-7.8437776901037135E-3</v>
      </c>
      <c r="I461" s="153"/>
      <c r="K461" s="16">
        <f t="shared" si="1163"/>
        <v>1.4525078701621711E-2</v>
      </c>
      <c r="L461" s="77">
        <f t="shared" ref="L461:N461" si="1354">L460</f>
        <v>3.1145443082863842E-3</v>
      </c>
      <c r="M461" s="16">
        <f t="shared" si="1354"/>
        <v>8.3703017397529691E-3</v>
      </c>
      <c r="N461" s="16" t="str">
        <f t="shared" si="1354"/>
        <v>Low Volatility</v>
      </c>
      <c r="O461" s="14" t="str">
        <f t="shared" si="1210"/>
        <v>Stable</v>
      </c>
      <c r="S461" s="131" t="s">
        <v>834</v>
      </c>
      <c r="T461" s="131" t="s">
        <v>1539</v>
      </c>
      <c r="U461" s="131" t="s">
        <v>1540</v>
      </c>
      <c r="V461" s="15">
        <v>46211</v>
      </c>
      <c r="W461" s="60">
        <f t="shared" si="1215"/>
        <v>87.75</v>
      </c>
      <c r="X461" s="61">
        <f t="shared" si="1216"/>
        <v>-2.5900000000000034</v>
      </c>
      <c r="Y461" s="62">
        <f>((W461-MAX(W$16:W461))/MAX(W$16:W461))</f>
        <v>-0.46029891137216311</v>
      </c>
      <c r="Z461" s="16">
        <f t="shared" si="1217"/>
        <v>-2.8669470887757398E-2</v>
      </c>
      <c r="AA461" s="153"/>
      <c r="AC461" s="16">
        <f t="shared" si="1244"/>
        <v>-1.0933273219116309E-2</v>
      </c>
      <c r="AD461" s="16">
        <f t="shared" ref="AD461" si="1355">AD459</f>
        <v>-6.1036841774934313E-3</v>
      </c>
      <c r="AE461" s="16">
        <f t="shared" si="1352"/>
        <v>2.1259201098032487E-2</v>
      </c>
      <c r="AF461" s="16" t="str">
        <f t="shared" si="1346"/>
        <v>Low Volatility</v>
      </c>
      <c r="AG461" s="14" t="str">
        <f t="shared" si="1302"/>
        <v>Weak/Unconfirmed</v>
      </c>
      <c r="AI461" s="131" t="s">
        <v>834</v>
      </c>
      <c r="AJ461" s="131">
        <v>468433</v>
      </c>
      <c r="AK461" s="131">
        <v>468294</v>
      </c>
      <c r="AL461" s="15">
        <v>46211</v>
      </c>
      <c r="AM461" s="60">
        <f t="shared" si="1256"/>
        <v>46.8294</v>
      </c>
      <c r="AN461" s="61">
        <f t="shared" si="1257"/>
        <v>-2.020000000000266E-2</v>
      </c>
      <c r="AO461" s="62">
        <f>((AM461-MAX(AM$16:AM461))/MAX(AM$16:AM461))</f>
        <v>-4.3116696834130192E-4</v>
      </c>
      <c r="AP461" s="16">
        <f t="shared" si="1258"/>
        <v>-4.3116696834130192E-4</v>
      </c>
      <c r="AQ461" s="153"/>
      <c r="AS461" s="16">
        <f t="shared" si="1128"/>
        <v>3.5767479239217415E-3</v>
      </c>
      <c r="AT461" s="77">
        <f t="shared" ref="AT461:AV461" si="1356">AT460</f>
        <v>3.8929598081096856E-3</v>
      </c>
      <c r="AU461" s="16">
        <f t="shared" si="1356"/>
        <v>8.7983457361315396E-4</v>
      </c>
      <c r="AV461" s="16" t="str">
        <f t="shared" si="1356"/>
        <v>Low Volatility</v>
      </c>
      <c r="AW461" s="14" t="str">
        <f t="shared" si="1185"/>
        <v>Stable</v>
      </c>
    </row>
    <row r="462" spans="1:49" ht="15.75" thickBot="1">
      <c r="A462" s="131" t="s">
        <v>835</v>
      </c>
      <c r="B462" s="131" t="s">
        <v>1204</v>
      </c>
      <c r="C462" s="131" t="s">
        <v>1205</v>
      </c>
      <c r="D462" s="15">
        <v>46212</v>
      </c>
      <c r="E462" s="60">
        <f t="shared" si="1140"/>
        <v>6218.33</v>
      </c>
      <c r="F462" s="61">
        <f t="shared" si="1141"/>
        <v>82.319999999999709</v>
      </c>
      <c r="G462" s="62">
        <f>((E462-MAX(E$16:E462))/MAX(E$16:E462))</f>
        <v>-0.17481172825171018</v>
      </c>
      <c r="H462" s="16">
        <f t="shared" si="1103"/>
        <v>1.3415884263552325E-2</v>
      </c>
      <c r="I462" s="153"/>
      <c r="K462" s="16">
        <f t="shared" si="1163"/>
        <v>4.3090290956369131E-3</v>
      </c>
      <c r="L462" s="77">
        <f t="shared" ref="L462:N462" si="1357">L461</f>
        <v>3.1145443082863842E-3</v>
      </c>
      <c r="M462" s="16">
        <f t="shared" si="1357"/>
        <v>8.3703017397529691E-3</v>
      </c>
      <c r="N462" s="16" t="str">
        <f t="shared" si="1357"/>
        <v>Low Volatility</v>
      </c>
      <c r="O462" s="14" t="str">
        <f t="shared" si="1210"/>
        <v>Stable</v>
      </c>
      <c r="S462" s="131" t="s">
        <v>835</v>
      </c>
      <c r="T462" s="131" t="s">
        <v>1541</v>
      </c>
      <c r="U462" s="131" t="s">
        <v>1542</v>
      </c>
      <c r="V462" s="15">
        <v>46212</v>
      </c>
      <c r="W462" s="60">
        <f t="shared" si="1215"/>
        <v>90.46</v>
      </c>
      <c r="X462" s="61">
        <f t="shared" si="1216"/>
        <v>2.7099999999999937</v>
      </c>
      <c r="Y462" s="62">
        <f>((W462-MAX(W$16:W462))/MAX(W$16:W462))</f>
        <v>-0.44363121963220375</v>
      </c>
      <c r="Z462" s="16">
        <f t="shared" si="1217"/>
        <v>3.0883190883190813E-2</v>
      </c>
      <c r="AA462" s="153"/>
      <c r="AC462" s="16">
        <f t="shared" si="1244"/>
        <v>-1.2337591440113654E-2</v>
      </c>
      <c r="AD462" s="16">
        <f t="shared" ref="AD462" si="1358">AD459</f>
        <v>-6.1036841774934313E-3</v>
      </c>
      <c r="AE462" s="16">
        <f t="shared" si="1352"/>
        <v>2.1259201098032487E-2</v>
      </c>
      <c r="AF462" s="16" t="str">
        <f t="shared" si="1346"/>
        <v>Low Volatility</v>
      </c>
      <c r="AG462" s="14" t="str">
        <f t="shared" si="1302"/>
        <v>Weak/Unconfirmed</v>
      </c>
      <c r="AI462" s="131" t="s">
        <v>835</v>
      </c>
      <c r="AJ462" s="131">
        <v>468530</v>
      </c>
      <c r="AK462" s="131">
        <v>469009</v>
      </c>
      <c r="AL462" s="15">
        <v>46212</v>
      </c>
      <c r="AM462" s="60">
        <f t="shared" si="1256"/>
        <v>46.9009</v>
      </c>
      <c r="AN462" s="61">
        <f t="shared" si="1257"/>
        <v>7.1500000000000341E-2</v>
      </c>
      <c r="AO462" s="62">
        <f>((AM462-MAX(AM$16:AM462))/MAX(AM$16:AM462))</f>
        <v>0</v>
      </c>
      <c r="AP462" s="16">
        <f t="shared" si="1258"/>
        <v>1.5268186224892983E-3</v>
      </c>
      <c r="AQ462" s="153"/>
      <c r="AS462" s="16">
        <f>(AM462-AM455)/AM455</f>
        <v>4.1277637069373043E-3</v>
      </c>
      <c r="AT462" s="77">
        <f t="shared" ref="AT462:AV462" si="1359">AT461</f>
        <v>3.8929598081096856E-3</v>
      </c>
      <c r="AU462" s="16">
        <f t="shared" si="1359"/>
        <v>8.7983457361315396E-4</v>
      </c>
      <c r="AV462" s="16" t="str">
        <f t="shared" si="1359"/>
        <v>Low Volatility</v>
      </c>
      <c r="AW462" s="14" t="str">
        <f t="shared" si="1185"/>
        <v>Stable</v>
      </c>
    </row>
    <row r="463" spans="1:49" ht="15.75" thickBot="1">
      <c r="A463" s="131" t="s">
        <v>836</v>
      </c>
      <c r="B463" s="131" t="s">
        <v>1206</v>
      </c>
      <c r="C463" s="131" t="s">
        <v>1207</v>
      </c>
      <c r="D463" s="15">
        <v>46213</v>
      </c>
      <c r="E463" s="60">
        <f t="shared" si="1140"/>
        <v>6225.55</v>
      </c>
      <c r="F463" s="61">
        <f t="shared" si="1141"/>
        <v>7.2200000000002547</v>
      </c>
      <c r="G463" s="62">
        <f>((E463-MAX(E$16:E463))/MAX(E$16:E463))</f>
        <v>-0.17385361581283626</v>
      </c>
      <c r="H463" s="16">
        <f t="shared" si="1103"/>
        <v>1.1610834420174316E-3</v>
      </c>
      <c r="I463" s="153"/>
      <c r="K463" s="16">
        <f t="shared" si="1163"/>
        <v>-8.3198200637804396E-3</v>
      </c>
      <c r="L463" s="77">
        <f t="shared" ref="L463:N463" si="1360">L462</f>
        <v>3.1145443082863842E-3</v>
      </c>
      <c r="M463" s="16">
        <f t="shared" si="1360"/>
        <v>8.3703017397529691E-3</v>
      </c>
      <c r="N463" s="16" t="str">
        <f t="shared" si="1360"/>
        <v>Low Volatility</v>
      </c>
      <c r="O463" s="14" t="str">
        <f t="shared" si="1210"/>
        <v>Stable</v>
      </c>
      <c r="S463" s="131" t="s">
        <v>836</v>
      </c>
      <c r="T463" s="131" t="s">
        <v>1543</v>
      </c>
      <c r="U463" s="131" t="s">
        <v>1543</v>
      </c>
      <c r="V463" s="15">
        <v>46213</v>
      </c>
      <c r="W463" s="60">
        <f t="shared" si="1215"/>
        <v>90.48</v>
      </c>
      <c r="X463" s="61">
        <f t="shared" si="1216"/>
        <v>2.0000000000010232E-2</v>
      </c>
      <c r="Y463" s="62">
        <f>((W463-MAX(W$16:W463))/MAX(W$16:W463))</f>
        <v>-0.44350821083707481</v>
      </c>
      <c r="Z463" s="16">
        <f t="shared" si="1217"/>
        <v>2.2109219544561389E-4</v>
      </c>
      <c r="AA463" s="153"/>
      <c r="AC463" s="16">
        <f t="shared" si="1244"/>
        <v>-3.6216446527481801E-2</v>
      </c>
      <c r="AD463" s="16">
        <f t="shared" ref="AD463" si="1361">AD459</f>
        <v>-6.1036841774934313E-3</v>
      </c>
      <c r="AE463" s="16">
        <f t="shared" si="1352"/>
        <v>2.1259201098032487E-2</v>
      </c>
      <c r="AF463" s="16" t="str">
        <f t="shared" si="1346"/>
        <v>Low Volatility</v>
      </c>
      <c r="AG463" s="14" t="str">
        <f t="shared" si="1302"/>
        <v>Weak/Unconfirmed</v>
      </c>
      <c r="AI463" s="131" t="s">
        <v>836</v>
      </c>
      <c r="AJ463" s="131">
        <v>469129</v>
      </c>
      <c r="AK463" s="131">
        <v>469929</v>
      </c>
      <c r="AL463" s="15">
        <v>46213</v>
      </c>
      <c r="AM463" s="60">
        <f t="shared" si="1256"/>
        <v>46.992899999999999</v>
      </c>
      <c r="AN463" s="61">
        <f t="shared" si="1257"/>
        <v>9.1999999999998749E-2</v>
      </c>
      <c r="AO463" s="62">
        <f>((AM463-MAX(AM$16:AM463))/MAX(AM$16:AM463))</f>
        <v>0</v>
      </c>
      <c r="AP463" s="16">
        <f t="shared" si="1258"/>
        <v>1.9615828267687562E-3</v>
      </c>
      <c r="AQ463" s="153"/>
      <c r="AS463" s="16">
        <f t="shared" si="1128"/>
        <v>3.9330211413238711E-3</v>
      </c>
      <c r="AT463" s="77">
        <f t="shared" ref="AT463:AV463" si="1362">AT462</f>
        <v>3.8929598081096856E-3</v>
      </c>
      <c r="AU463" s="16">
        <f t="shared" si="1362"/>
        <v>8.7983457361315396E-4</v>
      </c>
      <c r="AV463" s="16" t="str">
        <f t="shared" si="1362"/>
        <v>Low Volatility</v>
      </c>
      <c r="AW463" s="14" t="str">
        <f t="shared" si="1185"/>
        <v>Stable</v>
      </c>
    </row>
    <row r="464" spans="1:49" ht="15.75" thickBot="1">
      <c r="A464" s="131" t="s">
        <v>837</v>
      </c>
      <c r="B464" s="131" t="s">
        <v>1206</v>
      </c>
      <c r="C464" s="131" t="s">
        <v>1207</v>
      </c>
      <c r="D464" s="15">
        <v>46214</v>
      </c>
      <c r="E464" s="60">
        <f t="shared" si="1140"/>
        <v>6225.55</v>
      </c>
      <c r="F464" s="61">
        <f t="shared" si="1141"/>
        <v>0</v>
      </c>
      <c r="G464" s="62">
        <f>((E464-MAX(E$16:E464))/MAX(E$16:E464))</f>
        <v>-0.17385361581283626</v>
      </c>
      <c r="H464" s="16">
        <f t="shared" si="1103"/>
        <v>0</v>
      </c>
      <c r="I464" s="153"/>
      <c r="K464" s="16">
        <f t="shared" si="1163"/>
        <v>-8.3198200637804396E-3</v>
      </c>
      <c r="L464" s="77">
        <f t="shared" ref="L464:N464" si="1363">L463</f>
        <v>3.1145443082863842E-3</v>
      </c>
      <c r="M464" s="16">
        <f t="shared" si="1363"/>
        <v>8.3703017397529691E-3</v>
      </c>
      <c r="N464" s="16" t="str">
        <f t="shared" si="1363"/>
        <v>Low Volatility</v>
      </c>
      <c r="O464" s="14" t="str">
        <f t="shared" si="1210"/>
        <v>Stable</v>
      </c>
      <c r="S464" s="131" t="s">
        <v>837</v>
      </c>
      <c r="T464" s="131" t="s">
        <v>1543</v>
      </c>
      <c r="U464" s="131" t="s">
        <v>1543</v>
      </c>
      <c r="V464" s="15">
        <v>46214</v>
      </c>
      <c r="W464" s="60">
        <f t="shared" si="1215"/>
        <v>90.48</v>
      </c>
      <c r="X464" s="61">
        <f t="shared" si="1216"/>
        <v>0</v>
      </c>
      <c r="Y464" s="62">
        <f>((W464-MAX(W$16:W464))/MAX(W$16:W464))</f>
        <v>-0.44350821083707481</v>
      </c>
      <c r="Z464" s="16">
        <f t="shared" si="1217"/>
        <v>0</v>
      </c>
      <c r="AA464" s="153"/>
      <c r="AC464" s="16">
        <f t="shared" si="1244"/>
        <v>-3.6216446527481801E-2</v>
      </c>
      <c r="AD464" s="16">
        <f t="shared" ref="AD464" si="1364">AD459</f>
        <v>-6.1036841774934313E-3</v>
      </c>
      <c r="AE464" s="16">
        <f t="shared" si="1352"/>
        <v>2.1259201098032487E-2</v>
      </c>
      <c r="AF464" s="16" t="str">
        <f t="shared" si="1346"/>
        <v>Low Volatility</v>
      </c>
      <c r="AG464" s="14" t="str">
        <f t="shared" si="1302"/>
        <v>Weak/Unconfirmed</v>
      </c>
      <c r="AI464" s="131" t="s">
        <v>837</v>
      </c>
      <c r="AJ464" s="131">
        <v>469129</v>
      </c>
      <c r="AK464" s="131">
        <v>469929</v>
      </c>
      <c r="AL464" s="15">
        <v>46214</v>
      </c>
      <c r="AM464" s="60">
        <f t="shared" si="1256"/>
        <v>46.992899999999999</v>
      </c>
      <c r="AN464" s="61">
        <f t="shared" si="1257"/>
        <v>0</v>
      </c>
      <c r="AO464" s="62">
        <f>((AM464-MAX(AM$16:AM464))/MAX(AM$16:AM464))</f>
        <v>0</v>
      </c>
      <c r="AP464" s="16">
        <f t="shared" si="1258"/>
        <v>0</v>
      </c>
      <c r="AQ464" s="153"/>
      <c r="AS464" s="16">
        <f t="shared" si="1128"/>
        <v>3.9330211413238711E-3</v>
      </c>
      <c r="AT464" s="77">
        <f t="shared" ref="AT464:AV464" si="1365">AT463</f>
        <v>3.8929598081096856E-3</v>
      </c>
      <c r="AU464" s="16">
        <f t="shared" si="1365"/>
        <v>8.7983457361315396E-4</v>
      </c>
      <c r="AV464" s="16" t="str">
        <f t="shared" si="1365"/>
        <v>Low Volatility</v>
      </c>
      <c r="AW464" s="14" t="str">
        <f t="shared" si="1185"/>
        <v>Stable</v>
      </c>
    </row>
    <row r="465" spans="1:49" ht="15.75" thickBot="1">
      <c r="A465" s="131" t="s">
        <v>838</v>
      </c>
      <c r="B465" s="131" t="s">
        <v>1206</v>
      </c>
      <c r="C465" s="131" t="s">
        <v>1207</v>
      </c>
      <c r="D465" s="15">
        <v>46215</v>
      </c>
      <c r="E465" s="60">
        <f t="shared" si="1140"/>
        <v>6225.55</v>
      </c>
      <c r="F465" s="61">
        <f t="shared" si="1141"/>
        <v>0</v>
      </c>
      <c r="G465" s="62">
        <f>((E465-MAX(E$16:E465))/MAX(E$16:E465))</f>
        <v>-0.17385361581283626</v>
      </c>
      <c r="H465" s="16">
        <f t="shared" ref="H465:H493" si="1366">F465/E464</f>
        <v>0</v>
      </c>
      <c r="I465" s="153"/>
      <c r="K465" s="16">
        <f t="shared" si="1163"/>
        <v>-8.3198200637804396E-3</v>
      </c>
      <c r="L465" s="77">
        <f t="shared" ref="L465:N465" si="1367">L464</f>
        <v>3.1145443082863842E-3</v>
      </c>
      <c r="M465" s="16">
        <f t="shared" si="1367"/>
        <v>8.3703017397529691E-3</v>
      </c>
      <c r="N465" s="16" t="str">
        <f t="shared" si="1367"/>
        <v>Low Volatility</v>
      </c>
      <c r="O465" s="14" t="str">
        <f t="shared" si="1210"/>
        <v>Stable</v>
      </c>
      <c r="S465" s="131" t="s">
        <v>838</v>
      </c>
      <c r="T465" s="131" t="s">
        <v>1543</v>
      </c>
      <c r="U465" s="131" t="s">
        <v>1543</v>
      </c>
      <c r="V465" s="15">
        <v>46215</v>
      </c>
      <c r="W465" s="60">
        <f t="shared" si="1215"/>
        <v>90.48</v>
      </c>
      <c r="X465" s="61">
        <f t="shared" si="1216"/>
        <v>0</v>
      </c>
      <c r="Y465" s="62">
        <f>((W465-MAX(W$16:W465))/MAX(W$16:W465))</f>
        <v>-0.44350821083707481</v>
      </c>
      <c r="Z465" s="16">
        <f t="shared" si="1217"/>
        <v>0</v>
      </c>
      <c r="AA465" s="153"/>
      <c r="AC465" s="16">
        <f t="shared" si="1244"/>
        <v>-3.6216446527481801E-2</v>
      </c>
      <c r="AD465" s="16">
        <f t="shared" ref="AD465:AE465" si="1368">AD459</f>
        <v>-6.1036841774934313E-3</v>
      </c>
      <c r="AE465" s="16">
        <f t="shared" si="1368"/>
        <v>2.1259201098032487E-2</v>
      </c>
      <c r="AF465" s="16" t="str">
        <f t="shared" ref="AF465:AF466" si="1369">IF(AE465 &lt; 0.02, "Low Volatility",
 IF(AE465 &gt; 0.1, "High Volatility", "Medium Volatility"))</f>
        <v>Medium Volatility</v>
      </c>
      <c r="AG465" s="14" t="str">
        <f t="shared" si="1302"/>
        <v>Weak/Unconfirmed</v>
      </c>
      <c r="AI465" s="131" t="s">
        <v>838</v>
      </c>
      <c r="AJ465" s="131">
        <v>469129</v>
      </c>
      <c r="AK465" s="131">
        <v>469929</v>
      </c>
      <c r="AL465" s="15">
        <v>46215</v>
      </c>
      <c r="AM465" s="60">
        <f t="shared" si="1256"/>
        <v>46.992899999999999</v>
      </c>
      <c r="AN465" s="61">
        <f t="shared" si="1257"/>
        <v>0</v>
      </c>
      <c r="AO465" s="62">
        <f>((AM465-MAX(AM$16:AM465))/MAX(AM$16:AM465))</f>
        <v>0</v>
      </c>
      <c r="AP465" s="16">
        <f t="shared" si="1258"/>
        <v>0</v>
      </c>
      <c r="AQ465" s="153"/>
      <c r="AS465" s="16">
        <f t="shared" si="1128"/>
        <v>3.9330211413238711E-3</v>
      </c>
      <c r="AT465" s="77">
        <f t="shared" ref="AT465:AV465" si="1370">AT464</f>
        <v>3.8929598081096856E-3</v>
      </c>
      <c r="AU465" s="16">
        <f t="shared" si="1370"/>
        <v>8.7983457361315396E-4</v>
      </c>
      <c r="AV465" s="16" t="str">
        <f t="shared" si="1370"/>
        <v>Low Volatility</v>
      </c>
      <c r="AW465" s="14" t="str">
        <f t="shared" si="1185"/>
        <v>Stable</v>
      </c>
    </row>
    <row r="466" spans="1:49" ht="15.75" thickBot="1">
      <c r="A466" s="131" t="s">
        <v>839</v>
      </c>
      <c r="B466" s="131" t="s">
        <v>1208</v>
      </c>
      <c r="C466" s="131" t="s">
        <v>1209</v>
      </c>
      <c r="D466" s="15">
        <v>46216</v>
      </c>
      <c r="E466" s="60">
        <f t="shared" si="1140"/>
        <v>6046.58</v>
      </c>
      <c r="F466" s="61">
        <f t="shared" si="1141"/>
        <v>-178.97000000000025</v>
      </c>
      <c r="G466" s="62">
        <f>((E466-MAX(E$16:E466))/MAX(E$16:E466))</f>
        <v>-0.19760339187727666</v>
      </c>
      <c r="H466" s="16">
        <f t="shared" si="1366"/>
        <v>-2.8747660849242275E-2</v>
      </c>
      <c r="I466" s="153">
        <f>AVERAGEIFS(E466:E473, E466:E473, "&gt;=0")</f>
        <v>6086.869999999999</v>
      </c>
      <c r="K466" s="16">
        <f t="shared" si="1163"/>
        <v>-3.5588567892294878E-2</v>
      </c>
      <c r="L466" s="77">
        <f t="shared" ref="L466" si="1371">(I466-I459)/I459</f>
        <v>-1.6895004825183236E-2</v>
      </c>
      <c r="M466" s="16" cm="1">
        <f t="array" ref="M466">_xlfn.STDEV.S(_xlfn._xlws.FILTER(F466:F472, ISNUMBER(F466:F472))) / I466</f>
        <v>1.5825144657957389E-2</v>
      </c>
      <c r="N466" s="16" t="str" cm="1">
        <f t="array" ref="N466">_xlfn.LET(
  _xlpm.c, M287,
  IFERROR(
    _xlfn.IFS(_xlpm.c&lt;0.02,"Low Volatility",
        _xlpm.c&gt;0.1,"High Volatility",
        TRUE,"Medium Volatility"),
    "Insufficient data"
  )
)</f>
        <v>Low Volatility</v>
      </c>
      <c r="O466" s="14" t="str">
        <f t="shared" si="1210"/>
        <v>Strong Downtrend</v>
      </c>
      <c r="S466" s="131" t="s">
        <v>839</v>
      </c>
      <c r="T466" s="131" t="s">
        <v>1544</v>
      </c>
      <c r="U466" s="131" t="s">
        <v>1545</v>
      </c>
      <c r="V466" s="15">
        <v>46216</v>
      </c>
      <c r="W466" s="60">
        <f t="shared" si="1215"/>
        <v>87.15</v>
      </c>
      <c r="X466" s="61">
        <f t="shared" si="1216"/>
        <v>-3.3299999999999983</v>
      </c>
      <c r="Y466" s="62">
        <f>((W466-MAX(W$16:W466))/MAX(W$16:W466))</f>
        <v>-0.46398917522602862</v>
      </c>
      <c r="Z466" s="16">
        <f t="shared" si="1217"/>
        <v>-3.6803713527851438E-2</v>
      </c>
      <c r="AA466" s="153">
        <f t="shared" ref="AA466" si="1372">AVERAGEIFS(W466:W472, W466:W472, "&gt;=0")</f>
        <v>86.007142857142867</v>
      </c>
      <c r="AC466" s="16">
        <f t="shared" si="1244"/>
        <v>-6.7315924657534165E-2</v>
      </c>
      <c r="AD466" s="66">
        <f t="shared" ref="AD466" si="1373">(AA466-AA459)/AA459</f>
        <v>-4.9539807082076788E-2</v>
      </c>
      <c r="AE466" s="16" cm="1">
        <f t="array" ref="AE466">_xlfn.STDEV.S(_xlfn._xlws.FILTER(X466:X472, ISNUMBER(X466:X472))) / AA466</f>
        <v>2.2595274225796963E-2</v>
      </c>
      <c r="AF466" s="16" t="str">
        <f t="shared" si="1369"/>
        <v>Medium Volatility</v>
      </c>
      <c r="AG466" s="14" t="str">
        <f t="shared" si="1302"/>
        <v>Strong Downtrend</v>
      </c>
      <c r="AI466" s="131" t="s">
        <v>839</v>
      </c>
      <c r="AJ466" s="131">
        <v>468557</v>
      </c>
      <c r="AK466" s="131">
        <v>469933</v>
      </c>
      <c r="AL466" s="15">
        <v>46216</v>
      </c>
      <c r="AM466" s="60">
        <f t="shared" si="1256"/>
        <v>46.993299999999998</v>
      </c>
      <c r="AN466" s="61">
        <f t="shared" si="1257"/>
        <v>3.9999999999906777E-4</v>
      </c>
      <c r="AO466" s="62">
        <f>((AM466-MAX(AM$16:AM466))/MAX(AM$16:AM466))</f>
        <v>0</v>
      </c>
      <c r="AP466" s="16">
        <f t="shared" si="1258"/>
        <v>8.5119241417122115E-6</v>
      </c>
      <c r="AQ466" s="153">
        <f t="shared" ref="AQ466" si="1374">AVERAGEIFS(AM466:AM472, AM466:AM472, "&gt;=0")</f>
        <v>47.093271428571434</v>
      </c>
      <c r="AS466" s="16">
        <f t="shared" si="1128"/>
        <v>3.7421424619964649E-3</v>
      </c>
      <c r="AT466" s="77">
        <f t="shared" ref="AT466" si="1375">(AQ466-AQ459)/AQ459</f>
        <v>3.8863902341426432E-3</v>
      </c>
      <c r="AU466" s="16" cm="1">
        <f t="array" ref="AU466">_xlfn.STDEV.S(_xlfn._xlws.FILTER(AN466:AN472, ISNUMBER(AN466:AN472))) / AQ466</f>
        <v>6.1411280273644653E-4</v>
      </c>
      <c r="AV466" s="16" t="str">
        <f t="shared" ref="AV466" si="1376">IF(AU466 &lt; 0.02, "Low Volatility",
 IF(AU466 &gt; 0.1, "High Volatility", "Medium Volatility"))</f>
        <v>Low Volatility</v>
      </c>
      <c r="AW466" s="14" t="str">
        <f t="shared" si="1185"/>
        <v>Stable</v>
      </c>
    </row>
    <row r="467" spans="1:49" ht="15.75" thickBot="1">
      <c r="A467" s="131" t="s">
        <v>840</v>
      </c>
      <c r="B467" s="131" t="s">
        <v>1210</v>
      </c>
      <c r="C467" s="131" t="s">
        <v>1211</v>
      </c>
      <c r="D467" s="15">
        <v>46217</v>
      </c>
      <c r="E467" s="60">
        <f t="shared" si="1140"/>
        <v>6127.33</v>
      </c>
      <c r="F467" s="61">
        <f t="shared" si="1141"/>
        <v>80.75</v>
      </c>
      <c r="G467" s="62">
        <f>((E467-MAX(E$16:E467))/MAX(E$16:E467))</f>
        <v>-0.18688766065302923</v>
      </c>
      <c r="H467" s="16">
        <f t="shared" si="1366"/>
        <v>1.3354656681959058E-2</v>
      </c>
      <c r="I467" s="153"/>
      <c r="K467" s="16">
        <f t="shared" si="1163"/>
        <v>-9.2472819232536242E-3</v>
      </c>
      <c r="L467" s="77">
        <f t="shared" ref="L467:N467" si="1377">L466</f>
        <v>-1.6895004825183236E-2</v>
      </c>
      <c r="M467" s="16">
        <f t="shared" si="1377"/>
        <v>1.5825144657957389E-2</v>
      </c>
      <c r="N467" s="16" t="str">
        <f t="shared" si="1377"/>
        <v>Low Volatility</v>
      </c>
      <c r="O467" s="14" t="str">
        <f t="shared" si="1210"/>
        <v>Weak/Unconfirmed</v>
      </c>
      <c r="S467" s="131" t="s">
        <v>840</v>
      </c>
      <c r="T467" s="131" t="s">
        <v>1546</v>
      </c>
      <c r="U467" s="131" t="s">
        <v>1547</v>
      </c>
      <c r="V467" s="15">
        <v>46217</v>
      </c>
      <c r="W467" s="60">
        <f t="shared" si="1215"/>
        <v>88.82</v>
      </c>
      <c r="X467" s="61">
        <f t="shared" si="1216"/>
        <v>1.6699999999999875</v>
      </c>
      <c r="Y467" s="62">
        <f>((W467-MAX(W$16:W467))/MAX(W$16:W467))</f>
        <v>-0.45371794083276962</v>
      </c>
      <c r="Z467" s="16">
        <f t="shared" si="1217"/>
        <v>1.9162363740676848E-2</v>
      </c>
      <c r="AA467" s="153"/>
      <c r="AC467" s="16">
        <f t="shared" si="1244"/>
        <v>-1.6825326544166595E-2</v>
      </c>
      <c r="AD467" s="16">
        <f t="shared" ref="AD467:AF471" si="1378">AD466</f>
        <v>-4.9539807082076788E-2</v>
      </c>
      <c r="AE467" s="16">
        <f t="shared" si="1378"/>
        <v>2.2595274225796963E-2</v>
      </c>
      <c r="AF467" s="16" t="str">
        <f t="shared" si="1378"/>
        <v>Medium Volatility</v>
      </c>
      <c r="AG467" s="14" t="str">
        <f t="shared" si="1302"/>
        <v>Strong Downtrend</v>
      </c>
      <c r="AI467" s="131" t="s">
        <v>840</v>
      </c>
      <c r="AJ467" s="131">
        <v>470057</v>
      </c>
      <c r="AK467" s="131">
        <v>470327</v>
      </c>
      <c r="AL467" s="15">
        <v>46217</v>
      </c>
      <c r="AM467" s="60">
        <f t="shared" si="1256"/>
        <v>47.032699999999998</v>
      </c>
      <c r="AN467" s="61">
        <f t="shared" si="1257"/>
        <v>3.9400000000000546E-2</v>
      </c>
      <c r="AO467" s="62">
        <f>((AM467-MAX(AM$16:AM467))/MAX(AM$16:AM467))</f>
        <v>0</v>
      </c>
      <c r="AP467" s="16">
        <f t="shared" si="1258"/>
        <v>8.3841739141538366E-4</v>
      </c>
      <c r="AQ467" s="153"/>
      <c r="AS467" s="16">
        <f t="shared" si="1128"/>
        <v>3.9082510843208062E-3</v>
      </c>
      <c r="AT467" s="77">
        <f t="shared" ref="AT467:AV467" si="1379">AT466</f>
        <v>3.8863902341426432E-3</v>
      </c>
      <c r="AU467" s="16">
        <f t="shared" si="1379"/>
        <v>6.1411280273644653E-4</v>
      </c>
      <c r="AV467" s="16" t="str">
        <f t="shared" si="1379"/>
        <v>Low Volatility</v>
      </c>
      <c r="AW467" s="14" t="str">
        <f t="shared" si="1185"/>
        <v>Stable</v>
      </c>
    </row>
    <row r="468" spans="1:49" ht="15.75" thickBot="1">
      <c r="A468" s="131" t="s">
        <v>841</v>
      </c>
      <c r="B468" s="131" t="s">
        <v>1212</v>
      </c>
      <c r="C468" s="131" t="s">
        <v>1213</v>
      </c>
      <c r="D468" s="15">
        <v>46218</v>
      </c>
      <c r="E468" s="60">
        <f t="shared" si="1140"/>
        <v>6141.33</v>
      </c>
      <c r="F468" s="61">
        <f t="shared" si="1141"/>
        <v>14</v>
      </c>
      <c r="G468" s="62">
        <f>((E468-MAX(E$16:E468))/MAX(E$16:E468))</f>
        <v>-0.18502982489898015</v>
      </c>
      <c r="H468" s="16">
        <f t="shared" si="1366"/>
        <v>2.284845111981891E-3</v>
      </c>
      <c r="I468" s="153"/>
      <c r="K468" s="16">
        <f t="shared" si="1163"/>
        <v>8.6701292859687465E-4</v>
      </c>
      <c r="L468" s="77">
        <f t="shared" ref="L468:N468" si="1380">L467</f>
        <v>-1.6895004825183236E-2</v>
      </c>
      <c r="M468" s="16">
        <f t="shared" si="1380"/>
        <v>1.5825144657957389E-2</v>
      </c>
      <c r="N468" s="16" t="str">
        <f t="shared" si="1380"/>
        <v>Low Volatility</v>
      </c>
      <c r="O468" s="14" t="str">
        <f t="shared" si="1210"/>
        <v>Weak/Unconfirmed</v>
      </c>
      <c r="S468" s="131" t="s">
        <v>841</v>
      </c>
      <c r="T468" s="131" t="s">
        <v>1548</v>
      </c>
      <c r="U468" s="131" t="s">
        <v>1549</v>
      </c>
      <c r="V468" s="15">
        <v>46218</v>
      </c>
      <c r="W468" s="60">
        <f t="shared" si="1215"/>
        <v>87.43</v>
      </c>
      <c r="X468" s="61">
        <f t="shared" si="1216"/>
        <v>-1.3899999999999864</v>
      </c>
      <c r="Y468" s="62">
        <f>((W468-MAX(W$16:W468))/MAX(W$16:W468))</f>
        <v>-0.4622670520942247</v>
      </c>
      <c r="Z468" s="16">
        <f t="shared" si="1217"/>
        <v>-1.5649628462057943E-2</v>
      </c>
      <c r="AA468" s="153"/>
      <c r="AC468" s="16">
        <f t="shared" si="1244"/>
        <v>-3.6467236467235689E-3</v>
      </c>
      <c r="AD468" s="16">
        <f t="shared" ref="AD468" si="1381">AD466</f>
        <v>-4.9539807082076788E-2</v>
      </c>
      <c r="AE468" s="16">
        <f t="shared" si="1378"/>
        <v>2.2595274225796963E-2</v>
      </c>
      <c r="AF468" s="16" t="str">
        <f t="shared" si="1378"/>
        <v>Medium Volatility</v>
      </c>
      <c r="AG468" s="14" t="str">
        <f t="shared" si="1302"/>
        <v>Weak/Unconfirmed</v>
      </c>
      <c r="AI468" s="131" t="s">
        <v>841</v>
      </c>
      <c r="AJ468" s="131">
        <v>470307</v>
      </c>
      <c r="AK468" s="131">
        <v>470397</v>
      </c>
      <c r="AL468" s="15">
        <v>46218</v>
      </c>
      <c r="AM468" s="60">
        <f t="shared" si="1256"/>
        <v>47.039700000000003</v>
      </c>
      <c r="AN468" s="61">
        <f t="shared" si="1257"/>
        <v>7.0000000000050022E-3</v>
      </c>
      <c r="AO468" s="62">
        <f>((AM468-MAX(AM$16:AM468))/MAX(AM$16:AM468))</f>
        <v>0</v>
      </c>
      <c r="AP468" s="16">
        <f t="shared" si="1258"/>
        <v>1.4883262070867719E-4</v>
      </c>
      <c r="AQ468" s="153"/>
      <c r="AS468" s="16">
        <f t="shared" si="1128"/>
        <v>4.4907686197133362E-3</v>
      </c>
      <c r="AT468" s="77">
        <f t="shared" ref="AT468:AV468" si="1382">AT467</f>
        <v>3.8863902341426432E-3</v>
      </c>
      <c r="AU468" s="16">
        <f t="shared" si="1382"/>
        <v>6.1411280273644653E-4</v>
      </c>
      <c r="AV468" s="16" t="str">
        <f t="shared" si="1382"/>
        <v>Low Volatility</v>
      </c>
      <c r="AW468" s="14" t="str">
        <f t="shared" si="1185"/>
        <v>Stable</v>
      </c>
    </row>
    <row r="469" spans="1:49" ht="15.75" thickBot="1">
      <c r="A469" s="131" t="s">
        <v>842</v>
      </c>
      <c r="B469" s="131" t="s">
        <v>1214</v>
      </c>
      <c r="C469" s="131" t="s">
        <v>1215</v>
      </c>
      <c r="D469" s="15">
        <v>46219</v>
      </c>
      <c r="E469" s="60">
        <f t="shared" si="1140"/>
        <v>6021.61</v>
      </c>
      <c r="F469" s="61">
        <f t="shared" si="1141"/>
        <v>-119.72000000000025</v>
      </c>
      <c r="G469" s="62">
        <f>((E469-MAX(E$16:E469))/MAX(E$16:E469))</f>
        <v>-0.20091697464717709</v>
      </c>
      <c r="H469" s="16">
        <f t="shared" si="1366"/>
        <v>-1.9494148661609173E-2</v>
      </c>
      <c r="I469" s="153"/>
      <c r="K469" s="16">
        <f t="shared" si="1163"/>
        <v>-3.1635503422944786E-2</v>
      </c>
      <c r="L469" s="77">
        <f t="shared" ref="L469:N469" si="1383">L468</f>
        <v>-1.6895004825183236E-2</v>
      </c>
      <c r="M469" s="16">
        <f t="shared" si="1383"/>
        <v>1.5825144657957389E-2</v>
      </c>
      <c r="N469" s="16" t="str">
        <f t="shared" si="1383"/>
        <v>Low Volatility</v>
      </c>
      <c r="O469" s="14" t="str">
        <f t="shared" si="1210"/>
        <v>Strong Downtrend</v>
      </c>
      <c r="S469" s="131" t="s">
        <v>842</v>
      </c>
      <c r="T469" s="131" t="s">
        <v>1549</v>
      </c>
      <c r="U469" s="131" t="s">
        <v>1550</v>
      </c>
      <c r="V469" s="15">
        <v>46219</v>
      </c>
      <c r="W469" s="60">
        <f t="shared" si="1215"/>
        <v>84.13</v>
      </c>
      <c r="X469" s="61">
        <f t="shared" si="1216"/>
        <v>-3.3000000000000114</v>
      </c>
      <c r="Y469" s="62">
        <f>((W469-MAX(W$16:W469))/MAX(W$16:W469))</f>
        <v>-0.48256350329048531</v>
      </c>
      <c r="Z469" s="16">
        <f t="shared" si="1217"/>
        <v>-3.7744481299325304E-2</v>
      </c>
      <c r="AA469" s="153"/>
      <c r="AC469" s="16">
        <f t="shared" si="1244"/>
        <v>-6.9975679858500978E-2</v>
      </c>
      <c r="AD469" s="16">
        <f t="shared" ref="AD469" si="1384">AD466</f>
        <v>-4.9539807082076788E-2</v>
      </c>
      <c r="AE469" s="16">
        <f t="shared" si="1378"/>
        <v>2.2595274225796963E-2</v>
      </c>
      <c r="AF469" s="16" t="str">
        <f t="shared" si="1378"/>
        <v>Medium Volatility</v>
      </c>
      <c r="AG469" s="14" t="str">
        <f t="shared" si="1302"/>
        <v>Strong Downtrend</v>
      </c>
      <c r="AI469" s="131" t="s">
        <v>842</v>
      </c>
      <c r="AJ469" s="131">
        <v>470397</v>
      </c>
      <c r="AK469" s="131">
        <v>471003</v>
      </c>
      <c r="AL469" s="15">
        <v>46219</v>
      </c>
      <c r="AM469" s="60">
        <f t="shared" si="1256"/>
        <v>47.100299999999997</v>
      </c>
      <c r="AN469" s="61">
        <f t="shared" si="1257"/>
        <v>6.059999999999377E-2</v>
      </c>
      <c r="AO469" s="62">
        <f>((AM469-MAX(AM$16:AM469))/MAX(AM$16:AM469))</f>
        <v>0</v>
      </c>
      <c r="AP469" s="16">
        <f t="shared" si="1258"/>
        <v>1.2882735221524321E-3</v>
      </c>
      <c r="AQ469" s="153"/>
      <c r="AS469" s="16">
        <f t="shared" si="1128"/>
        <v>4.2515175614966268E-3</v>
      </c>
      <c r="AT469" s="77">
        <f t="shared" ref="AT469:AV469" si="1385">AT468</f>
        <v>3.8863902341426432E-3</v>
      </c>
      <c r="AU469" s="16">
        <f t="shared" si="1385"/>
        <v>6.1411280273644653E-4</v>
      </c>
      <c r="AV469" s="16" t="str">
        <f t="shared" si="1385"/>
        <v>Low Volatility</v>
      </c>
      <c r="AW469" s="14" t="str">
        <f t="shared" si="1185"/>
        <v>Stable</v>
      </c>
    </row>
    <row r="470" spans="1:49" ht="15.75" thickBot="1">
      <c r="A470" s="131" t="s">
        <v>843</v>
      </c>
      <c r="B470" s="131" t="s">
        <v>1216</v>
      </c>
      <c r="C470" s="131" t="s">
        <v>1217</v>
      </c>
      <c r="D470" s="15">
        <v>46220</v>
      </c>
      <c r="E470" s="60">
        <f t="shared" si="1140"/>
        <v>6093.03</v>
      </c>
      <c r="F470" s="61">
        <f t="shared" si="1141"/>
        <v>71.420000000000073</v>
      </c>
      <c r="G470" s="62">
        <f>((E470-MAX(E$16:E470))/MAX(E$16:E470))</f>
        <v>-0.19143935825044953</v>
      </c>
      <c r="H470" s="16">
        <f t="shared" si="1366"/>
        <v>1.1860615350379728E-2</v>
      </c>
      <c r="I470" s="153"/>
      <c r="K470" s="16">
        <f t="shared" si="1163"/>
        <v>-2.1286472681128644E-2</v>
      </c>
      <c r="L470" s="77">
        <f t="shared" ref="L470:N470" si="1386">L469</f>
        <v>-1.6895004825183236E-2</v>
      </c>
      <c r="M470" s="16">
        <f t="shared" si="1386"/>
        <v>1.5825144657957389E-2</v>
      </c>
      <c r="N470" s="16" t="str">
        <f t="shared" si="1386"/>
        <v>Low Volatility</v>
      </c>
      <c r="O470" s="14" t="str">
        <f t="shared" si="1210"/>
        <v>Strong Downtrend</v>
      </c>
      <c r="S470" s="131" t="s">
        <v>843</v>
      </c>
      <c r="T470" s="131" t="s">
        <v>1551</v>
      </c>
      <c r="U470" s="131" t="s">
        <v>1552</v>
      </c>
      <c r="V470" s="15">
        <v>46220</v>
      </c>
      <c r="W470" s="60">
        <f t="shared" si="1215"/>
        <v>84.84</v>
      </c>
      <c r="X470" s="61">
        <f t="shared" si="1216"/>
        <v>0.71000000000000796</v>
      </c>
      <c r="Y470" s="62">
        <f>((W470-MAX(W$16:W470))/MAX(W$16:W470))</f>
        <v>-0.47819669106341101</v>
      </c>
      <c r="Z470" s="16">
        <f t="shared" si="1217"/>
        <v>8.4393200998455729E-3</v>
      </c>
      <c r="AA470" s="153"/>
      <c r="AC470" s="16">
        <f t="shared" si="1244"/>
        <v>-6.2334217506631304E-2</v>
      </c>
      <c r="AD470" s="16">
        <f t="shared" ref="AD470" si="1387">AD466</f>
        <v>-4.9539807082076788E-2</v>
      </c>
      <c r="AE470" s="16">
        <f t="shared" si="1378"/>
        <v>2.2595274225796963E-2</v>
      </c>
      <c r="AF470" s="16" t="str">
        <f t="shared" si="1378"/>
        <v>Medium Volatility</v>
      </c>
      <c r="AG470" s="14" t="str">
        <f t="shared" si="1302"/>
        <v>Strong Downtrend</v>
      </c>
      <c r="AI470" s="131" t="s">
        <v>843</v>
      </c>
      <c r="AJ470" s="131">
        <v>471026</v>
      </c>
      <c r="AK470" s="131">
        <v>471623</v>
      </c>
      <c r="AL470" s="15">
        <v>46220</v>
      </c>
      <c r="AM470" s="60">
        <f t="shared" si="1256"/>
        <v>47.162300000000002</v>
      </c>
      <c r="AN470" s="61">
        <f t="shared" si="1257"/>
        <v>6.2000000000004718E-2</v>
      </c>
      <c r="AO470" s="62">
        <f>((AM470-MAX(AM$16:AM470))/MAX(AM$16:AM470))</f>
        <v>0</v>
      </c>
      <c r="AP470" s="16">
        <f t="shared" si="1258"/>
        <v>1.3163398109991809E-3</v>
      </c>
      <c r="AQ470" s="153"/>
      <c r="AS470" s="16">
        <f t="shared" ref="AS470:AS493" si="1388">(AM470-AM463)/AM463</f>
        <v>3.6047998740235889E-3</v>
      </c>
      <c r="AT470" s="77">
        <f t="shared" ref="AT470:AV470" si="1389">AT469</f>
        <v>3.8863902341426432E-3</v>
      </c>
      <c r="AU470" s="16">
        <f t="shared" si="1389"/>
        <v>6.1411280273644653E-4</v>
      </c>
      <c r="AV470" s="16" t="str">
        <f t="shared" si="1389"/>
        <v>Low Volatility</v>
      </c>
      <c r="AW470" s="14" t="str">
        <f t="shared" si="1185"/>
        <v>Stable</v>
      </c>
    </row>
    <row r="471" spans="1:49" ht="15.75" thickBot="1">
      <c r="A471" s="131" t="s">
        <v>844</v>
      </c>
      <c r="B471" s="131" t="s">
        <v>1216</v>
      </c>
      <c r="C471" s="131" t="s">
        <v>1217</v>
      </c>
      <c r="D471" s="15">
        <v>46221</v>
      </c>
      <c r="E471" s="60">
        <f t="shared" si="1140"/>
        <v>6093.03</v>
      </c>
      <c r="F471" s="61">
        <f t="shared" si="1141"/>
        <v>0</v>
      </c>
      <c r="G471" s="62">
        <f>((E471-MAX(E$16:E471))/MAX(E$16:E471))</f>
        <v>-0.19143935825044953</v>
      </c>
      <c r="H471" s="16">
        <f t="shared" si="1366"/>
        <v>0</v>
      </c>
      <c r="I471" s="153"/>
      <c r="K471" s="16">
        <f t="shared" si="1163"/>
        <v>-2.1286472681128644E-2</v>
      </c>
      <c r="L471" s="77">
        <f t="shared" ref="L471:N471" si="1390">L470</f>
        <v>-1.6895004825183236E-2</v>
      </c>
      <c r="M471" s="16">
        <f t="shared" si="1390"/>
        <v>1.5825144657957389E-2</v>
      </c>
      <c r="N471" s="16" t="str">
        <f t="shared" si="1390"/>
        <v>Low Volatility</v>
      </c>
      <c r="O471" s="14" t="str">
        <f t="shared" si="1210"/>
        <v>Strong Downtrend</v>
      </c>
      <c r="S471" s="131" t="s">
        <v>844</v>
      </c>
      <c r="T471" s="131" t="s">
        <v>1551</v>
      </c>
      <c r="U471" s="131" t="s">
        <v>1552</v>
      </c>
      <c r="V471" s="15">
        <v>46221</v>
      </c>
      <c r="W471" s="60">
        <f t="shared" si="1215"/>
        <v>84.84</v>
      </c>
      <c r="X471" s="61">
        <f t="shared" si="1216"/>
        <v>0</v>
      </c>
      <c r="Y471" s="62">
        <f>((W471-MAX(W$16:W471))/MAX(W$16:W471))</f>
        <v>-0.47819669106341101</v>
      </c>
      <c r="Z471" s="16">
        <f t="shared" si="1217"/>
        <v>0</v>
      </c>
      <c r="AA471" s="153"/>
      <c r="AC471" s="16">
        <f t="shared" si="1244"/>
        <v>-6.2334217506631304E-2</v>
      </c>
      <c r="AD471" s="16">
        <f t="shared" ref="AD471" si="1391">AD466</f>
        <v>-4.9539807082076788E-2</v>
      </c>
      <c r="AE471" s="16">
        <f t="shared" si="1378"/>
        <v>2.2595274225796963E-2</v>
      </c>
      <c r="AF471" s="16" t="str">
        <f t="shared" si="1378"/>
        <v>Medium Volatility</v>
      </c>
      <c r="AG471" s="14" t="str">
        <f t="shared" si="1302"/>
        <v>Strong Downtrend</v>
      </c>
      <c r="AI471" s="131" t="s">
        <v>844</v>
      </c>
      <c r="AJ471" s="131">
        <v>471026</v>
      </c>
      <c r="AK471" s="131">
        <v>471623</v>
      </c>
      <c r="AL471" s="15">
        <v>46221</v>
      </c>
      <c r="AM471" s="60">
        <f t="shared" si="1256"/>
        <v>47.162300000000002</v>
      </c>
      <c r="AN471" s="61">
        <f t="shared" si="1257"/>
        <v>0</v>
      </c>
      <c r="AO471" s="62">
        <f>((AM471-MAX(AM$16:AM471))/MAX(AM$16:AM471))</f>
        <v>0</v>
      </c>
      <c r="AP471" s="16">
        <f t="shared" si="1258"/>
        <v>0</v>
      </c>
      <c r="AQ471" s="153"/>
      <c r="AS471" s="16">
        <f t="shared" si="1388"/>
        <v>3.6047998740235889E-3</v>
      </c>
      <c r="AT471" s="77">
        <f t="shared" ref="AT471:AV471" si="1392">AT470</f>
        <v>3.8863902341426432E-3</v>
      </c>
      <c r="AU471" s="16">
        <f t="shared" si="1392"/>
        <v>6.1411280273644653E-4</v>
      </c>
      <c r="AV471" s="16" t="str">
        <f t="shared" si="1392"/>
        <v>Low Volatility</v>
      </c>
      <c r="AW471" s="14" t="str">
        <f t="shared" si="1185"/>
        <v>Stable</v>
      </c>
    </row>
    <row r="472" spans="1:49" ht="15.75" thickBot="1">
      <c r="A472" s="131" t="s">
        <v>845</v>
      </c>
      <c r="B472" s="131" t="s">
        <v>1216</v>
      </c>
      <c r="C472" s="131" t="s">
        <v>1217</v>
      </c>
      <c r="D472" s="15">
        <v>46222</v>
      </c>
      <c r="E472" s="60">
        <f t="shared" si="1140"/>
        <v>6093.03</v>
      </c>
      <c r="F472" s="61">
        <f t="shared" si="1141"/>
        <v>0</v>
      </c>
      <c r="G472" s="62">
        <f>((E472-MAX(E$16:E472))/MAX(E$16:E472))</f>
        <v>-0.19143935825044953</v>
      </c>
      <c r="H472" s="16">
        <f t="shared" si="1366"/>
        <v>0</v>
      </c>
      <c r="I472" s="153"/>
      <c r="K472" s="16">
        <f t="shared" si="1163"/>
        <v>-2.1286472681128644E-2</v>
      </c>
      <c r="L472" s="77">
        <f t="shared" ref="L472:N472" si="1393">L471</f>
        <v>-1.6895004825183236E-2</v>
      </c>
      <c r="M472" s="16">
        <f t="shared" si="1393"/>
        <v>1.5825144657957389E-2</v>
      </c>
      <c r="N472" s="16" t="str">
        <f t="shared" si="1393"/>
        <v>Low Volatility</v>
      </c>
      <c r="O472" s="14" t="str">
        <f t="shared" si="1210"/>
        <v>Strong Downtrend</v>
      </c>
      <c r="S472" s="131" t="s">
        <v>845</v>
      </c>
      <c r="T472" s="131" t="s">
        <v>1551</v>
      </c>
      <c r="U472" s="131" t="s">
        <v>1552</v>
      </c>
      <c r="V472" s="15">
        <v>46222</v>
      </c>
      <c r="W472" s="60">
        <f t="shared" si="1215"/>
        <v>84.84</v>
      </c>
      <c r="X472" s="61">
        <f t="shared" si="1216"/>
        <v>0</v>
      </c>
      <c r="Y472" s="62">
        <f>((W472-MAX(W$16:W472))/MAX(W$16:W472))</f>
        <v>-0.47819669106341101</v>
      </c>
      <c r="Z472" s="16">
        <f t="shared" si="1217"/>
        <v>0</v>
      </c>
      <c r="AA472" s="153"/>
      <c r="AC472" s="16">
        <f t="shared" si="1244"/>
        <v>-6.2334217506631304E-2</v>
      </c>
      <c r="AD472" s="16">
        <f t="shared" ref="AD472:AE472" si="1394">AD466</f>
        <v>-4.9539807082076788E-2</v>
      </c>
      <c r="AE472" s="16">
        <f t="shared" si="1394"/>
        <v>2.2595274225796963E-2</v>
      </c>
      <c r="AF472" s="16" t="str">
        <f t="shared" ref="AF472" si="1395">IF(AE472 &lt; 0.02, "Low Volatility",
 IF(AE472 &gt; 0.1, "High Volatility", "Medium Volatility"))</f>
        <v>Medium Volatility</v>
      </c>
      <c r="AG472" s="14" t="str">
        <f t="shared" si="1302"/>
        <v>Strong Downtrend</v>
      </c>
      <c r="AI472" s="131" t="s">
        <v>845</v>
      </c>
      <c r="AJ472" s="131">
        <v>471026</v>
      </c>
      <c r="AK472" s="131">
        <v>471623</v>
      </c>
      <c r="AL472" s="15">
        <v>46222</v>
      </c>
      <c r="AM472" s="60">
        <f t="shared" si="1256"/>
        <v>47.162300000000002</v>
      </c>
      <c r="AN472" s="61">
        <f t="shared" si="1257"/>
        <v>0</v>
      </c>
      <c r="AO472" s="62">
        <f>((AM472-MAX(AM$16:AM472))/MAX(AM$16:AM472))</f>
        <v>0</v>
      </c>
      <c r="AP472" s="16">
        <f t="shared" si="1258"/>
        <v>0</v>
      </c>
      <c r="AQ472" s="153"/>
      <c r="AS472" s="16">
        <f t="shared" si="1388"/>
        <v>3.6047998740235889E-3</v>
      </c>
      <c r="AT472" s="77">
        <f t="shared" ref="AT472:AV472" si="1396">AT471</f>
        <v>3.8863902341426432E-3</v>
      </c>
      <c r="AU472" s="16">
        <f t="shared" si="1396"/>
        <v>6.1411280273644653E-4</v>
      </c>
      <c r="AV472" s="16" t="str">
        <f t="shared" si="1396"/>
        <v>Low Volatility</v>
      </c>
      <c r="AW472" s="14" t="str">
        <f t="shared" si="1185"/>
        <v>Stable</v>
      </c>
    </row>
    <row r="473" spans="1:49" ht="15.75" thickBot="1">
      <c r="A473" s="131" t="s">
        <v>846</v>
      </c>
      <c r="B473" s="131" t="s">
        <v>1218</v>
      </c>
      <c r="C473" s="131" t="s">
        <v>1219</v>
      </c>
      <c r="D473" s="15">
        <v>46223</v>
      </c>
      <c r="E473" s="60">
        <f t="shared" si="1140"/>
        <v>6079.02</v>
      </c>
      <c r="F473" s="61">
        <f t="shared" si="1141"/>
        <v>-14.009999999999309</v>
      </c>
      <c r="G473" s="62">
        <f>((E473-MAX(E$16:E473))/MAX(E$16:E473))</f>
        <v>-0.19329852103003711</v>
      </c>
      <c r="H473" s="16">
        <f t="shared" si="1366"/>
        <v>-2.2993485999575434E-3</v>
      </c>
      <c r="I473" s="153">
        <f>AVERAGEIFS(E473:E480, E473:E480, "&gt;=0")</f>
        <v>6175.0625</v>
      </c>
      <c r="K473" s="16">
        <f t="shared" si="1163"/>
        <v>5.3650162571239456E-3</v>
      </c>
      <c r="L473" s="77">
        <f t="shared" ref="L473" si="1397">(I473-I466)/I466</f>
        <v>1.4488973807556434E-2</v>
      </c>
      <c r="M473" s="16" cm="1">
        <f t="array" ref="M473">_xlfn.STDEV.S(_xlfn._xlws.FILTER(F473:F479, ISNUMBER(F473:F479))) / I473</f>
        <v>1.1743863730462302E-2</v>
      </c>
      <c r="N473" s="16" t="str" cm="1">
        <f t="array" ref="N473">_xlfn.LET(
  _xlpm.c, M294,
  IFERROR(
    _xlfn.IFS(_xlpm.c&lt;0.02,"Low Volatility",
        _xlpm.c&gt;0.1,"High Volatility",
        TRUE,"Medium Volatility"),
    "Insufficient data"
  )
)</f>
        <v>Low Volatility</v>
      </c>
      <c r="O473" s="14" t="str">
        <f t="shared" si="1210"/>
        <v>Weak/Unconfirmed</v>
      </c>
      <c r="S473" s="131" t="s">
        <v>846</v>
      </c>
      <c r="T473" s="131" t="s">
        <v>1552</v>
      </c>
      <c r="U473" s="131" t="s">
        <v>1553</v>
      </c>
      <c r="V473" s="15">
        <v>46223</v>
      </c>
      <c r="W473" s="60">
        <f t="shared" si="1215"/>
        <v>85.56</v>
      </c>
      <c r="X473" s="61">
        <f t="shared" si="1216"/>
        <v>0.71999999999999886</v>
      </c>
      <c r="Y473" s="62">
        <f>((W473-MAX(W$16:W473))/MAX(W$16:W473))</f>
        <v>-0.47376837443877234</v>
      </c>
      <c r="Z473" s="16">
        <f t="shared" si="1217"/>
        <v>8.4865629420084725E-3</v>
      </c>
      <c r="AA473" s="153">
        <f t="shared" ref="AA473" si="1398">AVERAGEIFS(W473:W479, W473:W479, "&gt;=0")</f>
        <v>88.422857142857154</v>
      </c>
      <c r="AC473" s="16">
        <f t="shared" si="1244"/>
        <v>-1.8244406196213463E-2</v>
      </c>
      <c r="AD473" s="66">
        <f t="shared" ref="AD473" si="1399">(AA473-AA466)/AA466</f>
        <v>2.8087368158790812E-2</v>
      </c>
      <c r="AE473" s="16" cm="1">
        <f t="array" ref="AE473">_xlfn.STDEV.S(_xlfn._xlws.FILTER(X473:X479, ISNUMBER(X473:X479))) / AA473</f>
        <v>2.2816734710726049E-2</v>
      </c>
      <c r="AF473" s="16" t="str">
        <f t="shared" ref="AF473:AF478" si="1400">AF472</f>
        <v>Medium Volatility</v>
      </c>
      <c r="AG473" s="14" t="str">
        <f t="shared" si="1302"/>
        <v>Weak/Unconfirmed</v>
      </c>
      <c r="AI473" s="131" t="s">
        <v>846</v>
      </c>
      <c r="AJ473" s="131">
        <v>471632</v>
      </c>
      <c r="AK473" s="131">
        <v>471697</v>
      </c>
      <c r="AL473" s="15">
        <v>46223</v>
      </c>
      <c r="AM473" s="60">
        <f t="shared" si="1256"/>
        <v>47.169699999999999</v>
      </c>
      <c r="AN473" s="61">
        <f t="shared" si="1257"/>
        <v>7.3999999999969646E-3</v>
      </c>
      <c r="AO473" s="62">
        <f>((AM473-MAX(AM$16:AM473))/MAX(AM$16:AM473))</f>
        <v>0</v>
      </c>
      <c r="AP473" s="16">
        <f t="shared" si="1258"/>
        <v>1.5690498554983459E-4</v>
      </c>
      <c r="AQ473" s="153">
        <f t="shared" ref="AQ473" si="1401">AVERAGEIFS(AM473:AM479, AM473:AM479, "&gt;=0")</f>
        <v>47.262371428571427</v>
      </c>
      <c r="AS473" s="16">
        <f t="shared" si="1388"/>
        <v>3.753726595067829E-3</v>
      </c>
      <c r="AT473" s="77">
        <f t="shared" ref="AT473" si="1402">(AQ473-AQ466)/AQ466</f>
        <v>3.5907465094344743E-3</v>
      </c>
      <c r="AU473" s="16" cm="1">
        <f t="array" ref="AU473">_xlfn.STDEV.S(_xlfn._xlws.FILTER(AN473:AN479, ISNUMBER(AN473:AN479))) / AQ473</f>
        <v>5.4163015974406366E-4</v>
      </c>
      <c r="AV473" s="16" t="str">
        <f t="shared" ref="AV473" si="1403">IF(AU473 &lt; 0.02, "Low Volatility",
 IF(AU473 &gt; 0.1, "High Volatility", "Medium Volatility"))</f>
        <v>Low Volatility</v>
      </c>
      <c r="AW473" s="14" t="str">
        <f t="shared" si="1185"/>
        <v>Stable</v>
      </c>
    </row>
    <row r="474" spans="1:49" ht="15.75" thickBot="1">
      <c r="A474" s="131" t="s">
        <v>847</v>
      </c>
      <c r="B474" s="131" t="s">
        <v>1220</v>
      </c>
      <c r="C474" s="131" t="s">
        <v>1221</v>
      </c>
      <c r="D474" s="15">
        <v>46224</v>
      </c>
      <c r="E474" s="60">
        <f t="shared" ref="E474:E493" si="1404">VALUE(SUBSTITUTE(SUBSTITUTE(C474, ".", ""), ",", "."))</f>
        <v>6186.44</v>
      </c>
      <c r="F474" s="61">
        <f t="shared" ref="F474:F493" si="1405">E474-E473</f>
        <v>107.41999999999916</v>
      </c>
      <c r="G474" s="62">
        <f>((E474-MAX(E$16:E474))/MAX(E$16:E474))</f>
        <v>-0.17904361269432631</v>
      </c>
      <c r="H474" s="16">
        <f t="shared" si="1366"/>
        <v>1.7670611381439633E-2</v>
      </c>
      <c r="I474" s="153"/>
      <c r="K474" s="16">
        <f t="shared" si="1163"/>
        <v>9.6469424692320598E-3</v>
      </c>
      <c r="L474" s="77">
        <f t="shared" ref="L474:N474" si="1406">L473</f>
        <v>1.4488973807556434E-2</v>
      </c>
      <c r="M474" s="16">
        <f t="shared" si="1406"/>
        <v>1.1743863730462302E-2</v>
      </c>
      <c r="N474" s="16" t="str">
        <f t="shared" si="1406"/>
        <v>Low Volatility</v>
      </c>
      <c r="O474" s="14" t="str">
        <f t="shared" si="1210"/>
        <v>Weak/Unconfirmed</v>
      </c>
      <c r="S474" s="131" t="s">
        <v>847</v>
      </c>
      <c r="T474" s="131" t="s">
        <v>1554</v>
      </c>
      <c r="U474" s="131" t="s">
        <v>1554</v>
      </c>
      <c r="V474" s="15">
        <v>46224</v>
      </c>
      <c r="W474" s="60">
        <f t="shared" si="1215"/>
        <v>89.25</v>
      </c>
      <c r="X474" s="61">
        <f t="shared" si="1216"/>
        <v>3.6899999999999977</v>
      </c>
      <c r="Y474" s="62">
        <f>((W474-MAX(W$16:W474))/MAX(W$16:W474))</f>
        <v>-0.45107325173749924</v>
      </c>
      <c r="Z474" s="16">
        <f t="shared" si="1217"/>
        <v>4.3127629733520308E-2</v>
      </c>
      <c r="AA474" s="153"/>
      <c r="AC474" s="16">
        <f t="shared" si="1244"/>
        <v>4.8412519702770414E-3</v>
      </c>
      <c r="AD474" s="16">
        <f t="shared" ref="AD474" si="1407">AD473</f>
        <v>2.8087368158790812E-2</v>
      </c>
      <c r="AE474" s="16">
        <f t="shared" ref="AE474:AE478" si="1408">AE473</f>
        <v>2.2816734710726049E-2</v>
      </c>
      <c r="AF474" s="16" t="str">
        <f t="shared" si="1400"/>
        <v>Medium Volatility</v>
      </c>
      <c r="AG474" s="14" t="str">
        <f t="shared" si="1302"/>
        <v>Weak/Unconfirmed</v>
      </c>
      <c r="AI474" s="131" t="s">
        <v>847</v>
      </c>
      <c r="AJ474" s="131">
        <v>471668</v>
      </c>
      <c r="AK474" s="131">
        <v>471865</v>
      </c>
      <c r="AL474" s="15">
        <v>46224</v>
      </c>
      <c r="AM474" s="60">
        <f t="shared" si="1256"/>
        <v>47.186500000000002</v>
      </c>
      <c r="AN474" s="61">
        <f t="shared" si="1257"/>
        <v>1.6800000000003479E-2</v>
      </c>
      <c r="AO474" s="62">
        <f>((AM474-MAX(AM$16:AM474))/MAX(AM$16:AM474))</f>
        <v>0</v>
      </c>
      <c r="AP474" s="16">
        <f t="shared" si="1258"/>
        <v>3.5616084053965741E-4</v>
      </c>
      <c r="AQ474" s="153"/>
      <c r="AS474" s="16">
        <f t="shared" si="1388"/>
        <v>3.2700652949969691E-3</v>
      </c>
      <c r="AT474" s="77">
        <f t="shared" ref="AT474:AV474" si="1409">AT473</f>
        <v>3.5907465094344743E-3</v>
      </c>
      <c r="AU474" s="16">
        <f t="shared" si="1409"/>
        <v>5.4163015974406366E-4</v>
      </c>
      <c r="AV474" s="16" t="str">
        <f t="shared" si="1409"/>
        <v>Low Volatility</v>
      </c>
      <c r="AW474" s="14" t="str">
        <f t="shared" si="1185"/>
        <v>Stable</v>
      </c>
    </row>
    <row r="475" spans="1:49" ht="15.75" thickBot="1">
      <c r="A475" s="131" t="s">
        <v>848</v>
      </c>
      <c r="B475" s="131" t="s">
        <v>1222</v>
      </c>
      <c r="C475" s="131" t="s">
        <v>1223</v>
      </c>
      <c r="D475" s="15">
        <v>46225</v>
      </c>
      <c r="E475" s="60">
        <f t="shared" si="1404"/>
        <v>6270.48</v>
      </c>
      <c r="F475" s="61">
        <f t="shared" si="1405"/>
        <v>84.039999999999964</v>
      </c>
      <c r="G475" s="62">
        <f>((E475-MAX(E$16:E475))/MAX(E$16:E475))</f>
        <v>-0.16789129006787737</v>
      </c>
      <c r="H475" s="16">
        <f t="shared" si="1366"/>
        <v>1.358454943392322E-2</v>
      </c>
      <c r="I475" s="153"/>
      <c r="K475" s="16">
        <f t="shared" si="1163"/>
        <v>2.1029646672626228E-2</v>
      </c>
      <c r="L475" s="77">
        <f t="shared" ref="L475:N475" si="1410">L474</f>
        <v>1.4488973807556434E-2</v>
      </c>
      <c r="M475" s="16">
        <f t="shared" si="1410"/>
        <v>1.1743863730462302E-2</v>
      </c>
      <c r="N475" s="16" t="str">
        <f t="shared" si="1410"/>
        <v>Low Volatility</v>
      </c>
      <c r="O475" s="14" t="str">
        <f t="shared" si="1210"/>
        <v>Strong Uptrend</v>
      </c>
      <c r="S475" s="131" t="s">
        <v>848</v>
      </c>
      <c r="T475" s="131" t="s">
        <v>1554</v>
      </c>
      <c r="U475" s="131" t="s">
        <v>1555</v>
      </c>
      <c r="V475" s="15">
        <v>46225</v>
      </c>
      <c r="W475" s="60">
        <f t="shared" si="1215"/>
        <v>90.7</v>
      </c>
      <c r="X475" s="61">
        <f t="shared" si="1216"/>
        <v>1.4500000000000028</v>
      </c>
      <c r="Y475" s="62">
        <f>((W475-MAX(W$16:W475))/MAX(W$16:W475))</f>
        <v>-0.4421551140906575</v>
      </c>
      <c r="Z475" s="16">
        <f t="shared" si="1217"/>
        <v>1.6246498599439808E-2</v>
      </c>
      <c r="AA475" s="153"/>
      <c r="AC475" s="16">
        <f t="shared" si="1244"/>
        <v>3.740134965114944E-2</v>
      </c>
      <c r="AD475" s="16">
        <f t="shared" ref="AD475" si="1411">AD473</f>
        <v>2.8087368158790812E-2</v>
      </c>
      <c r="AE475" s="16">
        <f t="shared" si="1408"/>
        <v>2.2816734710726049E-2</v>
      </c>
      <c r="AF475" s="16" t="str">
        <f t="shared" si="1400"/>
        <v>Medium Volatility</v>
      </c>
      <c r="AG475" s="14" t="str">
        <f t="shared" si="1302"/>
        <v>Strong Uptrend</v>
      </c>
      <c r="AI475" s="131" t="s">
        <v>848</v>
      </c>
      <c r="AJ475" s="131">
        <v>471885</v>
      </c>
      <c r="AK475" s="131">
        <v>472159</v>
      </c>
      <c r="AL475" s="15">
        <v>46225</v>
      </c>
      <c r="AM475" s="60">
        <f t="shared" si="1256"/>
        <v>47.215899999999998</v>
      </c>
      <c r="AN475" s="61">
        <f t="shared" si="1257"/>
        <v>2.939999999999543E-2</v>
      </c>
      <c r="AO475" s="62">
        <f>((AM475-MAX(AM$16:AM475))/MAX(AM$16:AM475))</f>
        <v>0</v>
      </c>
      <c r="AP475" s="16">
        <f t="shared" si="1258"/>
        <v>6.2305956152703486E-4</v>
      </c>
      <c r="AQ475" s="153"/>
      <c r="AS475" s="16">
        <f t="shared" si="1388"/>
        <v>3.7457721881728485E-3</v>
      </c>
      <c r="AT475" s="77">
        <f t="shared" ref="AT475:AV475" si="1412">AT474</f>
        <v>3.5907465094344743E-3</v>
      </c>
      <c r="AU475" s="16">
        <f t="shared" si="1412"/>
        <v>5.4163015974406366E-4</v>
      </c>
      <c r="AV475" s="16" t="str">
        <f t="shared" si="1412"/>
        <v>Low Volatility</v>
      </c>
      <c r="AW475" s="14" t="str">
        <f t="shared" si="1185"/>
        <v>Stable</v>
      </c>
    </row>
    <row r="476" spans="1:49" ht="15.75" thickBot="1">
      <c r="A476" s="131" t="s">
        <v>849</v>
      </c>
      <c r="B476" s="131" t="s">
        <v>1223</v>
      </c>
      <c r="C476" s="131" t="s">
        <v>1224</v>
      </c>
      <c r="D476" s="15">
        <v>46226</v>
      </c>
      <c r="E476" s="60">
        <f t="shared" si="1404"/>
        <v>6154.79</v>
      </c>
      <c r="F476" s="61">
        <f t="shared" si="1405"/>
        <v>-115.6899999999996</v>
      </c>
      <c r="G476" s="62">
        <f>((E476-MAX(E$16:E476))/MAX(E$16:E476))</f>
        <v>-0.18324364852401581</v>
      </c>
      <c r="H476" s="16">
        <f t="shared" si="1366"/>
        <v>-1.8449943226036859E-2</v>
      </c>
      <c r="I476" s="153"/>
      <c r="K476" s="16">
        <f t="shared" si="1163"/>
        <v>2.211700857411893E-2</v>
      </c>
      <c r="L476" s="77">
        <f t="shared" ref="L476:N476" si="1413">L475</f>
        <v>1.4488973807556434E-2</v>
      </c>
      <c r="M476" s="16">
        <f t="shared" si="1413"/>
        <v>1.1743863730462302E-2</v>
      </c>
      <c r="N476" s="16" t="str">
        <f t="shared" si="1413"/>
        <v>Low Volatility</v>
      </c>
      <c r="O476" s="14" t="str">
        <f t="shared" si="1210"/>
        <v>Strong Uptrend</v>
      </c>
      <c r="S476" s="131" t="s">
        <v>849</v>
      </c>
      <c r="T476" s="131" t="s">
        <v>1555</v>
      </c>
      <c r="U476" s="131" t="s">
        <v>1556</v>
      </c>
      <c r="V476" s="15">
        <v>46226</v>
      </c>
      <c r="W476" s="60">
        <f t="shared" si="1215"/>
        <v>87.65</v>
      </c>
      <c r="X476" s="61">
        <f t="shared" si="1216"/>
        <v>-3.0499999999999972</v>
      </c>
      <c r="Y476" s="62">
        <f>((W476-MAX(W$16:W476))/MAX(W$16:W476))</f>
        <v>-0.46091395534780732</v>
      </c>
      <c r="Z476" s="16">
        <f t="shared" si="1217"/>
        <v>-3.3627342888643851E-2</v>
      </c>
      <c r="AA476" s="153"/>
      <c r="AC476" s="16">
        <f t="shared" si="1244"/>
        <v>4.1840009509093196E-2</v>
      </c>
      <c r="AD476" s="16">
        <f t="shared" ref="AD476" si="1414">AD473</f>
        <v>2.8087368158790812E-2</v>
      </c>
      <c r="AE476" s="16">
        <f t="shared" si="1408"/>
        <v>2.2816734710726049E-2</v>
      </c>
      <c r="AF476" s="16" t="str">
        <f t="shared" si="1400"/>
        <v>Medium Volatility</v>
      </c>
      <c r="AG476" s="14" t="str">
        <f t="shared" si="1302"/>
        <v>Strong Uptrend</v>
      </c>
      <c r="AI476" s="131" t="s">
        <v>849</v>
      </c>
      <c r="AJ476" s="131">
        <v>472159</v>
      </c>
      <c r="AK476" s="131">
        <v>472676</v>
      </c>
      <c r="AL476" s="15">
        <v>46226</v>
      </c>
      <c r="AM476" s="60">
        <f t="shared" si="1256"/>
        <v>47.267600000000002</v>
      </c>
      <c r="AN476" s="61">
        <f t="shared" si="1257"/>
        <v>5.1700000000003854E-2</v>
      </c>
      <c r="AO476" s="62">
        <f>((AM476-MAX(AM$16:AM476))/MAX(AM$16:AM476))</f>
        <v>0</v>
      </c>
      <c r="AP476" s="16">
        <f t="shared" si="1258"/>
        <v>1.0949701265887944E-3</v>
      </c>
      <c r="AQ476" s="153"/>
      <c r="AS476" s="16">
        <f t="shared" si="1388"/>
        <v>3.5519943609701944E-3</v>
      </c>
      <c r="AT476" s="77">
        <f t="shared" ref="AT476:AV476" si="1415">AT475</f>
        <v>3.5907465094344743E-3</v>
      </c>
      <c r="AU476" s="16">
        <f t="shared" si="1415"/>
        <v>5.4163015974406366E-4</v>
      </c>
      <c r="AV476" s="16" t="str">
        <f t="shared" si="1415"/>
        <v>Low Volatility</v>
      </c>
      <c r="AW476" s="14" t="str">
        <f t="shared" si="1185"/>
        <v>Stable</v>
      </c>
    </row>
    <row r="477" spans="1:49" ht="15.75" thickBot="1">
      <c r="A477" s="131" t="s">
        <v>850</v>
      </c>
      <c r="B477" s="131" t="s">
        <v>1225</v>
      </c>
      <c r="C477" s="131" t="s">
        <v>1226</v>
      </c>
      <c r="D477" s="15">
        <v>46227</v>
      </c>
      <c r="E477" s="60">
        <f t="shared" si="1404"/>
        <v>6168.06</v>
      </c>
      <c r="F477" s="61">
        <f t="shared" si="1405"/>
        <v>13.270000000000437</v>
      </c>
      <c r="G477" s="62">
        <f>((E477-MAX(E$16:E477))/MAX(E$16:E477))</f>
        <v>-0.18148268563428493</v>
      </c>
      <c r="H477" s="16">
        <f t="shared" si="1366"/>
        <v>2.1560443167029965E-3</v>
      </c>
      <c r="I477" s="153"/>
      <c r="K477" s="16">
        <f t="shared" si="1163"/>
        <v>1.23140703393879E-2</v>
      </c>
      <c r="L477" s="77">
        <f t="shared" ref="L477:N477" si="1416">L476</f>
        <v>1.4488973807556434E-2</v>
      </c>
      <c r="M477" s="16">
        <f t="shared" si="1416"/>
        <v>1.1743863730462302E-2</v>
      </c>
      <c r="N477" s="16" t="str">
        <f t="shared" si="1416"/>
        <v>Low Volatility</v>
      </c>
      <c r="O477" s="14" t="str">
        <f t="shared" si="1210"/>
        <v>Strong Uptrend</v>
      </c>
      <c r="S477" s="131" t="s">
        <v>850</v>
      </c>
      <c r="T477" s="131" t="s">
        <v>1556</v>
      </c>
      <c r="U477" s="131" t="s">
        <v>1557</v>
      </c>
      <c r="V477" s="15">
        <v>46227</v>
      </c>
      <c r="W477" s="60">
        <f t="shared" si="1215"/>
        <v>88.6</v>
      </c>
      <c r="X477" s="61">
        <f t="shared" si="1216"/>
        <v>0.94999999999998863</v>
      </c>
      <c r="Y477" s="62">
        <f>((W477-MAX(W$16:W477))/MAX(W$16:W477))</f>
        <v>-0.45507103757918693</v>
      </c>
      <c r="Z477" s="16">
        <f t="shared" si="1217"/>
        <v>1.0838562464346703E-2</v>
      </c>
      <c r="AA477" s="153"/>
      <c r="AC477" s="16">
        <f t="shared" si="1244"/>
        <v>4.4318717586044207E-2</v>
      </c>
      <c r="AD477" s="16">
        <f t="shared" ref="AD477" si="1417">AD473</f>
        <v>2.8087368158790812E-2</v>
      </c>
      <c r="AE477" s="16">
        <f t="shared" si="1408"/>
        <v>2.2816734710726049E-2</v>
      </c>
      <c r="AF477" s="16" t="str">
        <f t="shared" si="1400"/>
        <v>Medium Volatility</v>
      </c>
      <c r="AG477" s="14" t="str">
        <f t="shared" si="1302"/>
        <v>Strong Uptrend</v>
      </c>
      <c r="AI477" s="131" t="s">
        <v>850</v>
      </c>
      <c r="AJ477" s="131">
        <v>472653</v>
      </c>
      <c r="AK477" s="131">
        <v>473323</v>
      </c>
      <c r="AL477" s="15">
        <v>46227</v>
      </c>
      <c r="AM477" s="60">
        <f t="shared" si="1256"/>
        <v>47.332299999999996</v>
      </c>
      <c r="AN477" s="61">
        <f t="shared" si="1257"/>
        <v>6.4699999999994873E-2</v>
      </c>
      <c r="AO477" s="62">
        <f>((AM477-MAX(AM$16:AM477))/MAX(AM$16:AM477))</f>
        <v>0</v>
      </c>
      <c r="AP477" s="16">
        <f t="shared" si="1258"/>
        <v>1.3688023085579736E-3</v>
      </c>
      <c r="AQ477" s="153"/>
      <c r="AS477" s="16">
        <f t="shared" si="1388"/>
        <v>3.604573992362429E-3</v>
      </c>
      <c r="AT477" s="77">
        <f t="shared" ref="AT477:AV477" si="1418">AT476</f>
        <v>3.5907465094344743E-3</v>
      </c>
      <c r="AU477" s="16">
        <f t="shared" si="1418"/>
        <v>5.4163015974406366E-4</v>
      </c>
      <c r="AV477" s="16" t="str">
        <f t="shared" si="1418"/>
        <v>Low Volatility</v>
      </c>
      <c r="AW477" s="14" t="str">
        <f t="shared" si="1185"/>
        <v>Stable</v>
      </c>
    </row>
    <row r="478" spans="1:49" ht="15.75" thickBot="1">
      <c r="A478" s="131" t="s">
        <v>851</v>
      </c>
      <c r="B478" s="131" t="s">
        <v>1225</v>
      </c>
      <c r="C478" s="131" t="s">
        <v>1226</v>
      </c>
      <c r="D478" s="15">
        <v>46228</v>
      </c>
      <c r="E478" s="60">
        <f t="shared" si="1404"/>
        <v>6168.06</v>
      </c>
      <c r="F478" s="61">
        <f t="shared" si="1405"/>
        <v>0</v>
      </c>
      <c r="G478" s="62">
        <f>((E478-MAX(E$16:E478))/MAX(E$16:E478))</f>
        <v>-0.18148268563428493</v>
      </c>
      <c r="H478" s="16">
        <f t="shared" si="1366"/>
        <v>0</v>
      </c>
      <c r="I478" s="153"/>
      <c r="K478" s="16">
        <f t="shared" si="1163"/>
        <v>1.23140703393879E-2</v>
      </c>
      <c r="L478" s="77">
        <f t="shared" ref="L478:N478" si="1419">L477</f>
        <v>1.4488973807556434E-2</v>
      </c>
      <c r="M478" s="16">
        <f t="shared" si="1419"/>
        <v>1.1743863730462302E-2</v>
      </c>
      <c r="N478" s="16" t="str">
        <f t="shared" si="1419"/>
        <v>Low Volatility</v>
      </c>
      <c r="O478" s="14" t="str">
        <f t="shared" si="1210"/>
        <v>Strong Uptrend</v>
      </c>
      <c r="S478" s="131" t="s">
        <v>851</v>
      </c>
      <c r="T478" s="131" t="s">
        <v>1556</v>
      </c>
      <c r="U478" s="131" t="s">
        <v>1557</v>
      </c>
      <c r="V478" s="15">
        <v>46228</v>
      </c>
      <c r="W478" s="60">
        <f t="shared" si="1215"/>
        <v>88.6</v>
      </c>
      <c r="X478" s="61">
        <f t="shared" si="1216"/>
        <v>0</v>
      </c>
      <c r="Y478" s="62">
        <f>((W478-MAX(W$16:W478))/MAX(W$16:W478))</f>
        <v>-0.45507103757918693</v>
      </c>
      <c r="Z478" s="16">
        <f t="shared" si="1217"/>
        <v>0</v>
      </c>
      <c r="AA478" s="153"/>
      <c r="AC478" s="16">
        <f t="shared" si="1244"/>
        <v>4.4318717586044207E-2</v>
      </c>
      <c r="AD478" s="16">
        <f t="shared" ref="AD478" si="1420">AD473</f>
        <v>2.8087368158790812E-2</v>
      </c>
      <c r="AE478" s="16">
        <f t="shared" si="1408"/>
        <v>2.2816734710726049E-2</v>
      </c>
      <c r="AF478" s="16" t="str">
        <f t="shared" si="1400"/>
        <v>Medium Volatility</v>
      </c>
      <c r="AG478" s="14" t="str">
        <f t="shared" si="1302"/>
        <v>Strong Uptrend</v>
      </c>
      <c r="AI478" s="131" t="s">
        <v>851</v>
      </c>
      <c r="AJ478" s="131">
        <v>472653</v>
      </c>
      <c r="AK478" s="131">
        <v>473323</v>
      </c>
      <c r="AL478" s="15">
        <v>46228</v>
      </c>
      <c r="AM478" s="60">
        <f t="shared" si="1256"/>
        <v>47.332299999999996</v>
      </c>
      <c r="AN478" s="61">
        <f t="shared" si="1257"/>
        <v>0</v>
      </c>
      <c r="AO478" s="62">
        <f>((AM478-MAX(AM$16:AM478))/MAX(AM$16:AM478))</f>
        <v>0</v>
      </c>
      <c r="AP478" s="16">
        <f t="shared" si="1258"/>
        <v>0</v>
      </c>
      <c r="AQ478" s="153"/>
      <c r="AS478" s="16">
        <f t="shared" si="1388"/>
        <v>3.604573992362429E-3</v>
      </c>
      <c r="AT478" s="77">
        <f t="shared" ref="AT478:AV478" si="1421">AT477</f>
        <v>3.5907465094344743E-3</v>
      </c>
      <c r="AU478" s="16">
        <f t="shared" si="1421"/>
        <v>5.4163015974406366E-4</v>
      </c>
      <c r="AV478" s="16" t="str">
        <f t="shared" si="1421"/>
        <v>Low Volatility</v>
      </c>
      <c r="AW478" s="14" t="str">
        <f t="shared" si="1185"/>
        <v>Stable</v>
      </c>
    </row>
    <row r="479" spans="1:49" ht="15.75" thickBot="1">
      <c r="A479" s="131" t="s">
        <v>852</v>
      </c>
      <c r="B479" s="131" t="s">
        <v>1225</v>
      </c>
      <c r="C479" s="131" t="s">
        <v>1226</v>
      </c>
      <c r="D479" s="15">
        <v>46229</v>
      </c>
      <c r="E479" s="60">
        <f t="shared" si="1404"/>
        <v>6168.06</v>
      </c>
      <c r="F479" s="61">
        <f t="shared" si="1405"/>
        <v>0</v>
      </c>
      <c r="G479" s="62">
        <f>((E479-MAX(E$16:E479))/MAX(E$16:E479))</f>
        <v>-0.18148268563428493</v>
      </c>
      <c r="H479" s="16">
        <f t="shared" si="1366"/>
        <v>0</v>
      </c>
      <c r="I479" s="153"/>
      <c r="K479" s="16">
        <f t="shared" si="1163"/>
        <v>1.23140703393879E-2</v>
      </c>
      <c r="L479" s="77">
        <f t="shared" ref="L479:N479" si="1422">L478</f>
        <v>1.4488973807556434E-2</v>
      </c>
      <c r="M479" s="16">
        <f t="shared" si="1422"/>
        <v>1.1743863730462302E-2</v>
      </c>
      <c r="N479" s="16" t="str">
        <f t="shared" si="1422"/>
        <v>Low Volatility</v>
      </c>
      <c r="O479" s="14" t="str">
        <f t="shared" si="1210"/>
        <v>Strong Uptrend</v>
      </c>
      <c r="S479" s="131" t="s">
        <v>852</v>
      </c>
      <c r="T479" s="131" t="s">
        <v>1556</v>
      </c>
      <c r="U479" s="131" t="s">
        <v>1557</v>
      </c>
      <c r="V479" s="15">
        <v>46229</v>
      </c>
      <c r="W479" s="60">
        <f t="shared" si="1215"/>
        <v>88.6</v>
      </c>
      <c r="X479" s="61">
        <f t="shared" si="1216"/>
        <v>0</v>
      </c>
      <c r="Y479" s="62">
        <f>((W479-MAX(W$16:W479))/MAX(W$16:W479))</f>
        <v>-0.45507103757918693</v>
      </c>
      <c r="Z479" s="16">
        <f t="shared" si="1217"/>
        <v>0</v>
      </c>
      <c r="AA479" s="153"/>
      <c r="AC479" s="16">
        <f t="shared" si="1244"/>
        <v>4.4318717586044207E-2</v>
      </c>
      <c r="AD479" s="16">
        <f t="shared" ref="AD479:AE479" si="1423">AD473</f>
        <v>2.8087368158790812E-2</v>
      </c>
      <c r="AE479" s="16">
        <f t="shared" si="1423"/>
        <v>2.2816734710726049E-2</v>
      </c>
      <c r="AF479" s="16" t="str">
        <f t="shared" ref="AF479:AF480" si="1424">IF(AE479 &lt; 0.02, "Low Volatility",
 IF(AE479 &gt; 0.1, "High Volatility", "Medium Volatility"))</f>
        <v>Medium Volatility</v>
      </c>
      <c r="AG479" s="14" t="str">
        <f t="shared" si="1302"/>
        <v>Strong Uptrend</v>
      </c>
      <c r="AI479" s="131" t="s">
        <v>852</v>
      </c>
      <c r="AJ479" s="131">
        <v>472653</v>
      </c>
      <c r="AK479" s="131">
        <v>473323</v>
      </c>
      <c r="AL479" s="15">
        <v>46229</v>
      </c>
      <c r="AM479" s="60">
        <f t="shared" si="1256"/>
        <v>47.332299999999996</v>
      </c>
      <c r="AN479" s="61">
        <f t="shared" si="1257"/>
        <v>0</v>
      </c>
      <c r="AO479" s="62">
        <f>((AM479-MAX(AM$16:AM479))/MAX(AM$16:AM479))</f>
        <v>0</v>
      </c>
      <c r="AP479" s="16">
        <f t="shared" si="1258"/>
        <v>0</v>
      </c>
      <c r="AQ479" s="153"/>
      <c r="AS479" s="16">
        <f t="shared" si="1388"/>
        <v>3.604573992362429E-3</v>
      </c>
      <c r="AT479" s="77">
        <f t="shared" ref="AT479:AV479" si="1425">AT478</f>
        <v>3.5907465094344743E-3</v>
      </c>
      <c r="AU479" s="16">
        <f t="shared" si="1425"/>
        <v>5.4163015974406366E-4</v>
      </c>
      <c r="AV479" s="16" t="str">
        <f t="shared" si="1425"/>
        <v>Low Volatility</v>
      </c>
      <c r="AW479" s="14" t="str">
        <f t="shared" si="1185"/>
        <v>Stable</v>
      </c>
    </row>
    <row r="480" spans="1:49" ht="15.75" thickBot="1">
      <c r="A480" s="131" t="s">
        <v>853</v>
      </c>
      <c r="B480" s="131" t="s">
        <v>1227</v>
      </c>
      <c r="C480" s="131" t="s">
        <v>1228</v>
      </c>
      <c r="D480" s="15">
        <v>46230</v>
      </c>
      <c r="E480" s="60">
        <f t="shared" si="1404"/>
        <v>6205.59</v>
      </c>
      <c r="F480" s="61">
        <f t="shared" si="1405"/>
        <v>37.529999999999745</v>
      </c>
      <c r="G480" s="62">
        <f>((E480-MAX(E$16:E480))/MAX(E$16:E480))</f>
        <v>-0.1765023587878948</v>
      </c>
      <c r="H480" s="16">
        <f t="shared" si="1366"/>
        <v>6.0845711617590848E-3</v>
      </c>
      <c r="I480" s="153">
        <f>AVERAGEIFS(E480:E487, E480:E487, "&gt;=0")</f>
        <v>6190.1712500000003</v>
      </c>
      <c r="K480" s="16">
        <f t="shared" ref="K480:K493" si="1426">(E480-E473)/E473</f>
        <v>2.0820790193156084E-2</v>
      </c>
      <c r="L480" s="77">
        <f t="shared" ref="L480" si="1427">(I480-I473)/I473</f>
        <v>2.4467363690651436E-3</v>
      </c>
      <c r="M480" s="16" cm="1">
        <f t="array" ref="M480">_xlfn.STDEV.S(_xlfn._xlws.FILTER(F480:F486, ISNUMBER(F480:F486))) / I480</f>
        <v>9.3519530862270633E-3</v>
      </c>
      <c r="N480" s="16" t="str" cm="1">
        <f t="array" ref="N480">_xlfn.LET(
  _xlpm.c, M301,
  IFERROR(
    _xlfn.IFS(_xlpm.c&lt;0.02,"Low Volatility",
        _xlpm.c&gt;0.1,"High Volatility",
        TRUE,"Medium Volatility"),
    "Insufficient data"
  )
)</f>
        <v>Medium Volatility</v>
      </c>
      <c r="O480" s="14" t="str">
        <f t="shared" si="1210"/>
        <v>Stable</v>
      </c>
      <c r="S480" s="131" t="s">
        <v>853</v>
      </c>
      <c r="T480" s="131" t="s">
        <v>1558</v>
      </c>
      <c r="U480" s="131" t="s">
        <v>1559</v>
      </c>
      <c r="V480" s="15">
        <v>46230</v>
      </c>
      <c r="W480" s="60">
        <f t="shared" si="1215"/>
        <v>88.95</v>
      </c>
      <c r="X480" s="61">
        <f t="shared" si="1216"/>
        <v>0.35000000000000853</v>
      </c>
      <c r="Y480" s="62">
        <f>((W480-MAX(W$16:W480))/MAX(W$16:W480))</f>
        <v>-0.45291838366443199</v>
      </c>
      <c r="Z480" s="16">
        <f t="shared" si="1217"/>
        <v>3.9503386004515638E-3</v>
      </c>
      <c r="AA480" s="153">
        <f t="shared" ref="AA480" si="1428">AVERAGEIFS(W480:W486, W480:W486, "&gt;=0")</f>
        <v>88.27</v>
      </c>
      <c r="AC480" s="16">
        <f t="shared" si="1244"/>
        <v>3.9621318373071535E-2</v>
      </c>
      <c r="AD480" s="66">
        <f t="shared" ref="AD480" si="1429">(AA480-AA473)/AA473</f>
        <v>-1.7287062168801E-3</v>
      </c>
      <c r="AE480" s="16" cm="1">
        <f t="array" ref="AE480">_xlfn.STDEV.S(_xlfn._xlws.FILTER(X480:X486, ISNUMBER(X480:X486))) / AA480</f>
        <v>1.6738355749221171E-2</v>
      </c>
      <c r="AF480" s="16" t="str">
        <f t="shared" si="1424"/>
        <v>Low Volatility</v>
      </c>
      <c r="AG480" s="14" t="str">
        <f t="shared" si="1302"/>
        <v>Stable</v>
      </c>
      <c r="AI480" s="131" t="s">
        <v>853</v>
      </c>
      <c r="AJ480" s="131">
        <v>473319</v>
      </c>
      <c r="AK480" s="131">
        <v>473448</v>
      </c>
      <c r="AL480" s="15">
        <v>46230</v>
      </c>
      <c r="AM480" s="60">
        <f t="shared" si="1256"/>
        <v>47.344799999999999</v>
      </c>
      <c r="AN480" s="61">
        <f t="shared" si="1257"/>
        <v>1.2500000000002842E-2</v>
      </c>
      <c r="AO480" s="62">
        <f>((AM480-MAX(AM$16:AM480))/MAX(AM$16:AM480))</f>
        <v>0</v>
      </c>
      <c r="AP480" s="16">
        <f t="shared" si="1258"/>
        <v>2.6409027239333063E-4</v>
      </c>
      <c r="AQ480" s="153">
        <f t="shared" ref="AQ480" si="1430">AVERAGEIFS(AM480:AM486, AM480:AM486, "&gt;=0")</f>
        <v>47.439900000000002</v>
      </c>
      <c r="AS480" s="16">
        <f t="shared" si="1388"/>
        <v>3.7121287606238854E-3</v>
      </c>
      <c r="AT480" s="77">
        <f t="shared" ref="AT480" si="1431">(AQ480-AQ473)/AQ473</f>
        <v>3.7562349510302686E-3</v>
      </c>
      <c r="AU480" s="16" cm="1">
        <f t="array" ref="AU480">_xlfn.STDEV.S(_xlfn._xlws.FILTER(AN480:AN486, ISNUMBER(AN480:AN486))) / AQ480</f>
        <v>6.2246162225112751E-4</v>
      </c>
      <c r="AV480" s="16" t="str">
        <f t="shared" ref="AV480" si="1432">IF(AU480 &lt; 0.02, "Low Volatility",
 IF(AU480 &gt; 0.1, "High Volatility", "Medium Volatility"))</f>
        <v>Low Volatility</v>
      </c>
      <c r="AW480" s="14" t="str">
        <f t="shared" si="1185"/>
        <v>Stable</v>
      </c>
    </row>
    <row r="481" spans="1:49" ht="15.75" thickBot="1">
      <c r="A481" s="131" t="s">
        <v>854</v>
      </c>
      <c r="B481" s="131" t="s">
        <v>1229</v>
      </c>
      <c r="C481" s="131" t="s">
        <v>1230</v>
      </c>
      <c r="D481" s="15">
        <v>46231</v>
      </c>
      <c r="E481" s="60">
        <f t="shared" si="1404"/>
        <v>6137.05</v>
      </c>
      <c r="F481" s="61">
        <f t="shared" si="1405"/>
        <v>-68.539999999999964</v>
      </c>
      <c r="G481" s="62">
        <f>((E481-MAX(E$16:E481))/MAX(E$16:E481))</f>
        <v>-0.1855977918295037</v>
      </c>
      <c r="H481" s="16">
        <f t="shared" si="1366"/>
        <v>-1.104488050290141E-2</v>
      </c>
      <c r="I481" s="153"/>
      <c r="K481" s="16">
        <f t="shared" si="1426"/>
        <v>-7.9835899160097604E-3</v>
      </c>
      <c r="L481" s="77">
        <f t="shared" ref="L481:N481" si="1433">L480</f>
        <v>2.4467363690651436E-3</v>
      </c>
      <c r="M481" s="16">
        <f t="shared" si="1433"/>
        <v>9.3519530862270633E-3</v>
      </c>
      <c r="N481" s="16" t="str">
        <f t="shared" si="1433"/>
        <v>Medium Volatility</v>
      </c>
      <c r="O481" s="14" t="str">
        <f t="shared" si="1210"/>
        <v>Stable</v>
      </c>
      <c r="S481" s="131" t="s">
        <v>854</v>
      </c>
      <c r="T481" s="131" t="s">
        <v>1560</v>
      </c>
      <c r="U481" s="131" t="s">
        <v>1561</v>
      </c>
      <c r="V481" s="15">
        <v>46231</v>
      </c>
      <c r="W481" s="60">
        <f t="shared" si="1215"/>
        <v>87.06</v>
      </c>
      <c r="X481" s="61">
        <f t="shared" si="1216"/>
        <v>-1.8900000000000006</v>
      </c>
      <c r="Y481" s="62">
        <f>((W481-MAX(W$16:W481))/MAX(W$16:W481))</f>
        <v>-0.46454271480410847</v>
      </c>
      <c r="Z481" s="16">
        <f t="shared" si="1217"/>
        <v>-2.1247892074198995E-2</v>
      </c>
      <c r="AA481" s="153"/>
      <c r="AC481" s="16">
        <f t="shared" si="1244"/>
        <v>-2.4537815126050393E-2</v>
      </c>
      <c r="AD481" s="16">
        <f t="shared" ref="AD481:AF481" si="1434">AD480</f>
        <v>-1.7287062168801E-3</v>
      </c>
      <c r="AE481" s="16">
        <f t="shared" si="1434"/>
        <v>1.6738355749221171E-2</v>
      </c>
      <c r="AF481" s="16" t="str">
        <f t="shared" si="1434"/>
        <v>Low Volatility</v>
      </c>
      <c r="AG481" s="14" t="str">
        <f t="shared" si="1302"/>
        <v>Stable</v>
      </c>
      <c r="AI481" s="131" t="s">
        <v>854</v>
      </c>
      <c r="AJ481" s="131">
        <v>473467</v>
      </c>
      <c r="AK481" s="131">
        <v>473771</v>
      </c>
      <c r="AL481" s="15">
        <v>46231</v>
      </c>
      <c r="AM481" s="60">
        <f t="shared" si="1256"/>
        <v>47.377099999999999</v>
      </c>
      <c r="AN481" s="61">
        <f t="shared" si="1257"/>
        <v>3.2299999999999329E-2</v>
      </c>
      <c r="AO481" s="62">
        <f>((AM481-MAX(AM$16:AM481))/MAX(AM$16:AM481))</f>
        <v>0</v>
      </c>
      <c r="AP481" s="16">
        <f t="shared" si="1258"/>
        <v>6.8222909379698148E-4</v>
      </c>
      <c r="AQ481" s="153"/>
      <c r="AS481" s="16">
        <f t="shared" si="1388"/>
        <v>4.0392908988798985E-3</v>
      </c>
      <c r="AT481" s="77">
        <f t="shared" ref="AT481:AV481" si="1435">AT480</f>
        <v>3.7562349510302686E-3</v>
      </c>
      <c r="AU481" s="16">
        <f t="shared" si="1435"/>
        <v>6.2246162225112751E-4</v>
      </c>
      <c r="AV481" s="16" t="str">
        <f t="shared" si="1435"/>
        <v>Low Volatility</v>
      </c>
      <c r="AW481" s="14" t="str">
        <f t="shared" si="1185"/>
        <v>Stable</v>
      </c>
    </row>
    <row r="482" spans="1:49" ht="15.75" thickBot="1">
      <c r="A482" s="131" t="s">
        <v>855</v>
      </c>
      <c r="B482" s="131" t="s">
        <v>1231</v>
      </c>
      <c r="C482" s="131" t="s">
        <v>1232</v>
      </c>
      <c r="D482" s="15">
        <v>46232</v>
      </c>
      <c r="E482" s="60">
        <f t="shared" si="1404"/>
        <v>6198.02</v>
      </c>
      <c r="F482" s="61">
        <f t="shared" si="1405"/>
        <v>60.970000000000255</v>
      </c>
      <c r="G482" s="62">
        <f>((E482-MAX(E$16:E482))/MAX(E$16:E482))</f>
        <v>-0.17750691712061989</v>
      </c>
      <c r="H482" s="16">
        <f t="shared" si="1366"/>
        <v>9.9347406327144564E-3</v>
      </c>
      <c r="I482" s="153"/>
      <c r="K482" s="16">
        <f t="shared" si="1426"/>
        <v>-1.1555734170270717E-2</v>
      </c>
      <c r="L482" s="77">
        <f t="shared" ref="L482:N482" si="1436">L481</f>
        <v>2.4467363690651436E-3</v>
      </c>
      <c r="M482" s="16">
        <f t="shared" si="1436"/>
        <v>9.3519530862270633E-3</v>
      </c>
      <c r="N482" s="16" t="str">
        <f t="shared" si="1436"/>
        <v>Medium Volatility</v>
      </c>
      <c r="O482" s="14" t="str">
        <f t="shared" si="1210"/>
        <v>Stable</v>
      </c>
      <c r="S482" s="131" t="s">
        <v>855</v>
      </c>
      <c r="T482" s="131" t="s">
        <v>1287</v>
      </c>
      <c r="U482" s="131" t="s">
        <v>1562</v>
      </c>
      <c r="V482" s="15">
        <v>46232</v>
      </c>
      <c r="W482" s="60">
        <f t="shared" si="1215"/>
        <v>87.88</v>
      </c>
      <c r="X482" s="61">
        <f t="shared" si="1216"/>
        <v>0.81999999999999318</v>
      </c>
      <c r="Y482" s="62">
        <f>((W482-MAX(W$16:W482))/MAX(W$16:W482))</f>
        <v>-0.45949935420382559</v>
      </c>
      <c r="Z482" s="16">
        <f t="shared" si="1217"/>
        <v>9.4187916379507592E-3</v>
      </c>
      <c r="AA482" s="153"/>
      <c r="AC482" s="16">
        <f t="shared" si="1244"/>
        <v>-3.1091510474090488E-2</v>
      </c>
      <c r="AD482" s="16">
        <f t="shared" ref="AD482" si="1437">AD480</f>
        <v>-1.7287062168801E-3</v>
      </c>
      <c r="AE482" s="16">
        <f t="shared" ref="AE482:AF482" si="1438">AE481</f>
        <v>1.6738355749221171E-2</v>
      </c>
      <c r="AF482" s="16" t="str">
        <f t="shared" si="1438"/>
        <v>Low Volatility</v>
      </c>
      <c r="AG482" s="14" t="str">
        <f t="shared" si="1302"/>
        <v>Stable</v>
      </c>
      <c r="AI482" s="131" t="s">
        <v>855</v>
      </c>
      <c r="AJ482" s="131">
        <v>473777</v>
      </c>
      <c r="AK482" s="131">
        <v>473904</v>
      </c>
      <c r="AL482" s="15">
        <v>46232</v>
      </c>
      <c r="AM482" s="60">
        <f t="shared" si="1256"/>
        <v>47.3904</v>
      </c>
      <c r="AN482" s="61">
        <f t="shared" si="1257"/>
        <v>1.3300000000000978E-2</v>
      </c>
      <c r="AO482" s="62">
        <f>((AM482-MAX(AM$16:AM482))/MAX(AM$16:AM482))</f>
        <v>0</v>
      </c>
      <c r="AP482" s="16">
        <f t="shared" si="1258"/>
        <v>2.8072634247349414E-4</v>
      </c>
      <c r="AQ482" s="153"/>
      <c r="AS482" s="16">
        <f t="shared" si="1388"/>
        <v>3.6957889185634898E-3</v>
      </c>
      <c r="AT482" s="77">
        <f t="shared" ref="AT482:AV482" si="1439">AT481</f>
        <v>3.7562349510302686E-3</v>
      </c>
      <c r="AU482" s="16">
        <f t="shared" si="1439"/>
        <v>6.2246162225112751E-4</v>
      </c>
      <c r="AV482" s="16" t="str">
        <f t="shared" si="1439"/>
        <v>Low Volatility</v>
      </c>
      <c r="AW482" s="14" t="str">
        <f t="shared" si="1185"/>
        <v>Stable</v>
      </c>
    </row>
    <row r="483" spans="1:49" ht="15.75" thickBot="1">
      <c r="A483" s="131" t="s">
        <v>856</v>
      </c>
      <c r="B483" s="131" t="s">
        <v>1233</v>
      </c>
      <c r="C483" s="131" t="s">
        <v>1234</v>
      </c>
      <c r="D483" s="15">
        <v>46233</v>
      </c>
      <c r="E483" s="60">
        <f t="shared" si="1404"/>
        <v>6257.53</v>
      </c>
      <c r="F483" s="61">
        <f t="shared" si="1405"/>
        <v>59.509999999999309</v>
      </c>
      <c r="G483" s="62">
        <f>((E483-MAX(E$16:E483))/MAX(E$16:E483))</f>
        <v>-0.16960978814037275</v>
      </c>
      <c r="H483" s="16">
        <f t="shared" si="1366"/>
        <v>9.6014533673655957E-3</v>
      </c>
      <c r="I483" s="153"/>
      <c r="K483" s="16">
        <f t="shared" si="1426"/>
        <v>1.6692689758708221E-2</v>
      </c>
      <c r="L483" s="77">
        <f t="shared" ref="L483:N483" si="1440">L482</f>
        <v>2.4467363690651436E-3</v>
      </c>
      <c r="M483" s="16">
        <f t="shared" si="1440"/>
        <v>9.3519530862270633E-3</v>
      </c>
      <c r="N483" s="16" t="str">
        <f t="shared" si="1440"/>
        <v>Medium Volatility</v>
      </c>
      <c r="O483" s="14" t="str">
        <f t="shared" si="1210"/>
        <v>Stable</v>
      </c>
      <c r="S483" s="131" t="s">
        <v>856</v>
      </c>
      <c r="T483" s="131" t="s">
        <v>1563</v>
      </c>
      <c r="U483" s="131" t="s">
        <v>1564</v>
      </c>
      <c r="V483" s="15">
        <v>46233</v>
      </c>
      <c r="W483" s="60">
        <f t="shared" si="1215"/>
        <v>90.03</v>
      </c>
      <c r="X483" s="61">
        <f t="shared" si="1216"/>
        <v>2.1500000000000057</v>
      </c>
      <c r="Y483" s="62">
        <f>((W483-MAX(W$16:W483))/MAX(W$16:W483))</f>
        <v>-0.44627590872747402</v>
      </c>
      <c r="Z483" s="16">
        <f t="shared" si="1217"/>
        <v>2.4465179790623643E-2</v>
      </c>
      <c r="AA483" s="153"/>
      <c r="AC483" s="16">
        <f t="shared" si="1244"/>
        <v>2.7153451226468856E-2</v>
      </c>
      <c r="AD483" s="16">
        <f t="shared" ref="AD483" si="1441">AD480</f>
        <v>-1.7287062168801E-3</v>
      </c>
      <c r="AE483" s="16">
        <f t="shared" ref="AE483:AF483" si="1442">AE482</f>
        <v>1.6738355749221171E-2</v>
      </c>
      <c r="AF483" s="16" t="str">
        <f t="shared" si="1442"/>
        <v>Low Volatility</v>
      </c>
      <c r="AG483" s="14" t="str">
        <f t="shared" si="1302"/>
        <v>Stable</v>
      </c>
      <c r="AI483" s="131" t="s">
        <v>856</v>
      </c>
      <c r="AJ483" s="131">
        <v>473884</v>
      </c>
      <c r="AK483" s="131">
        <v>474289</v>
      </c>
      <c r="AL483" s="15">
        <v>46233</v>
      </c>
      <c r="AM483" s="60">
        <f t="shared" si="1256"/>
        <v>47.428899999999999</v>
      </c>
      <c r="AN483" s="61">
        <f t="shared" si="1257"/>
        <v>3.8499999999999091E-2</v>
      </c>
      <c r="AO483" s="62">
        <f>((AM483-MAX(AM$16:AM483))/MAX(AM$16:AM483))</f>
        <v>0</v>
      </c>
      <c r="AP483" s="16">
        <f t="shared" si="1258"/>
        <v>8.1240082379551749E-4</v>
      </c>
      <c r="AQ483" s="153"/>
      <c r="AS483" s="16">
        <f t="shared" si="1388"/>
        <v>3.4124855080435034E-3</v>
      </c>
      <c r="AT483" s="77">
        <f t="shared" ref="AT483:AV483" si="1443">AT482</f>
        <v>3.7562349510302686E-3</v>
      </c>
      <c r="AU483" s="16">
        <f t="shared" si="1443"/>
        <v>6.2246162225112751E-4</v>
      </c>
      <c r="AV483" s="16" t="str">
        <f t="shared" si="1443"/>
        <v>Low Volatility</v>
      </c>
      <c r="AW483" s="14" t="str">
        <f t="shared" si="1185"/>
        <v>Stable</v>
      </c>
    </row>
    <row r="484" spans="1:49" ht="15.75" thickBot="1">
      <c r="A484" s="131" t="s">
        <v>857</v>
      </c>
      <c r="B484" s="131" t="s">
        <v>1235</v>
      </c>
      <c r="C484" s="131" t="s">
        <v>1236</v>
      </c>
      <c r="D484" s="15">
        <v>46234</v>
      </c>
      <c r="E484" s="60">
        <f t="shared" si="1404"/>
        <v>6175.37</v>
      </c>
      <c r="F484" s="61">
        <f t="shared" si="1405"/>
        <v>-82.159999999999854</v>
      </c>
      <c r="G484" s="62">
        <f>((E484-MAX(E$16:E484))/MAX(E$16:E484))</f>
        <v>-0.18051262996556366</v>
      </c>
      <c r="H484" s="16">
        <f t="shared" si="1366"/>
        <v>-1.3129781239562552E-2</v>
      </c>
      <c r="I484" s="153"/>
      <c r="K484" s="16">
        <f t="shared" si="1426"/>
        <v>1.1851376283628062E-3</v>
      </c>
      <c r="L484" s="77">
        <f t="shared" ref="L484:N484" si="1444">L483</f>
        <v>2.4467363690651436E-3</v>
      </c>
      <c r="M484" s="16">
        <f t="shared" si="1444"/>
        <v>9.3519530862270633E-3</v>
      </c>
      <c r="N484" s="16" t="str">
        <f t="shared" si="1444"/>
        <v>Medium Volatility</v>
      </c>
      <c r="O484" s="14" t="str">
        <f t="shared" si="1210"/>
        <v>Stable</v>
      </c>
      <c r="S484" s="131" t="s">
        <v>857</v>
      </c>
      <c r="T484" s="131" t="s">
        <v>1565</v>
      </c>
      <c r="U484" s="131" t="s">
        <v>1566</v>
      </c>
      <c r="V484" s="15">
        <v>46234</v>
      </c>
      <c r="W484" s="60">
        <f t="shared" si="1215"/>
        <v>87.99</v>
      </c>
      <c r="X484" s="61">
        <f t="shared" si="1216"/>
        <v>-2.0400000000000063</v>
      </c>
      <c r="Y484" s="62">
        <f>((W484-MAX(W$16:W484))/MAX(W$16:W484))</f>
        <v>-0.45882280583061691</v>
      </c>
      <c r="Z484" s="16">
        <f t="shared" si="1217"/>
        <v>-2.2659113628790473E-2</v>
      </c>
      <c r="AA484" s="153"/>
      <c r="AC484" s="16">
        <f t="shared" si="1244"/>
        <v>-6.884875846501123E-3</v>
      </c>
      <c r="AD484" s="16">
        <f t="shared" ref="AD484" si="1445">AD480</f>
        <v>-1.7287062168801E-3</v>
      </c>
      <c r="AE484" s="16">
        <f t="shared" ref="AE484:AF484" si="1446">AE483</f>
        <v>1.6738355749221171E-2</v>
      </c>
      <c r="AF484" s="16" t="str">
        <f t="shared" si="1446"/>
        <v>Low Volatility</v>
      </c>
      <c r="AG484" s="14" t="str">
        <f t="shared" si="1302"/>
        <v>Stable</v>
      </c>
      <c r="AI484" s="131" t="s">
        <v>857</v>
      </c>
      <c r="AJ484" s="131">
        <v>474433</v>
      </c>
      <c r="AK484" s="131">
        <v>475127</v>
      </c>
      <c r="AL484" s="15">
        <v>46234</v>
      </c>
      <c r="AM484" s="60">
        <f t="shared" si="1256"/>
        <v>47.512700000000002</v>
      </c>
      <c r="AN484" s="61">
        <f t="shared" si="1257"/>
        <v>8.3800000000003649E-2</v>
      </c>
      <c r="AO484" s="62">
        <f>((AM484-MAX(AM$16:AM484))/MAX(AM$16:AM484))</f>
        <v>0</v>
      </c>
      <c r="AP484" s="16">
        <f t="shared" si="1258"/>
        <v>1.7668552296174621E-3</v>
      </c>
      <c r="AQ484" s="153"/>
      <c r="AS484" s="16">
        <f t="shared" si="1388"/>
        <v>3.8113508111798054E-3</v>
      </c>
      <c r="AT484" s="77">
        <f t="shared" ref="AT484:AV484" si="1447">AT483</f>
        <v>3.7562349510302686E-3</v>
      </c>
      <c r="AU484" s="16">
        <f t="shared" si="1447"/>
        <v>6.2246162225112751E-4</v>
      </c>
      <c r="AV484" s="16" t="str">
        <f t="shared" si="1447"/>
        <v>Low Volatility</v>
      </c>
      <c r="AW484" s="14" t="str">
        <f t="shared" ref="AW484:AW493" si="1448">IF(AND(AS484 &gt; 0.01, AT484 &gt; 0.01), "Strong Uptrend",
 IF(AND(AS484 &lt; -0.01, AT484 &lt; -0.01), "Strong Downtrend",
 IF(ABS(AT484) &lt; 0.005, "Stable", "Weak/Unconfirmed")))</f>
        <v>Stable</v>
      </c>
    </row>
    <row r="485" spans="1:49" ht="15.75" thickBot="1">
      <c r="A485" s="131" t="s">
        <v>858</v>
      </c>
      <c r="B485" s="131" t="s">
        <v>1235</v>
      </c>
      <c r="C485" s="131" t="s">
        <v>1236</v>
      </c>
      <c r="D485" s="15">
        <v>46235</v>
      </c>
      <c r="E485" s="60">
        <f t="shared" si="1404"/>
        <v>6175.37</v>
      </c>
      <c r="F485" s="61">
        <f t="shared" si="1405"/>
        <v>0</v>
      </c>
      <c r="G485" s="62">
        <f>((E485-MAX(E$16:E485))/MAX(E$16:E485))</f>
        <v>-0.18051262996556366</v>
      </c>
      <c r="H485" s="16">
        <f t="shared" si="1366"/>
        <v>0</v>
      </c>
      <c r="I485" s="153"/>
      <c r="K485" s="16">
        <f t="shared" si="1426"/>
        <v>1.1851376283628062E-3</v>
      </c>
      <c r="L485" s="77">
        <f t="shared" ref="L485:N485" si="1449">L484</f>
        <v>2.4467363690651436E-3</v>
      </c>
      <c r="M485" s="16">
        <f t="shared" si="1449"/>
        <v>9.3519530862270633E-3</v>
      </c>
      <c r="N485" s="16" t="str">
        <f t="shared" si="1449"/>
        <v>Medium Volatility</v>
      </c>
      <c r="O485" s="14" t="str">
        <f t="shared" si="1210"/>
        <v>Stable</v>
      </c>
      <c r="S485" s="131" t="s">
        <v>858</v>
      </c>
      <c r="T485" s="131" t="s">
        <v>1565</v>
      </c>
      <c r="U485" s="131" t="s">
        <v>1566</v>
      </c>
      <c r="V485" s="15">
        <v>46235</v>
      </c>
      <c r="W485" s="60">
        <f t="shared" si="1215"/>
        <v>87.99</v>
      </c>
      <c r="X485" s="61">
        <f t="shared" si="1216"/>
        <v>0</v>
      </c>
      <c r="Y485" s="62">
        <f>((W485-MAX(W$16:W485))/MAX(W$16:W485))</f>
        <v>-0.45882280583061691</v>
      </c>
      <c r="Z485" s="16">
        <f t="shared" si="1217"/>
        <v>0</v>
      </c>
      <c r="AA485" s="153"/>
      <c r="AC485" s="16">
        <f t="shared" si="1244"/>
        <v>-6.884875846501123E-3</v>
      </c>
      <c r="AD485" s="16">
        <f t="shared" ref="AD485" si="1450">AD480</f>
        <v>-1.7287062168801E-3</v>
      </c>
      <c r="AE485" s="16">
        <f t="shared" ref="AE485:AF485" si="1451">AE484</f>
        <v>1.6738355749221171E-2</v>
      </c>
      <c r="AF485" s="16" t="str">
        <f t="shared" si="1451"/>
        <v>Low Volatility</v>
      </c>
      <c r="AG485" s="14" t="str">
        <f t="shared" si="1302"/>
        <v>Stable</v>
      </c>
      <c r="AI485" s="131" t="s">
        <v>858</v>
      </c>
      <c r="AJ485" s="131">
        <v>474433</v>
      </c>
      <c r="AK485" s="131">
        <v>475127</v>
      </c>
      <c r="AL485" s="15">
        <v>46235</v>
      </c>
      <c r="AM485" s="60">
        <f t="shared" si="1256"/>
        <v>47.512700000000002</v>
      </c>
      <c r="AN485" s="61">
        <f t="shared" si="1257"/>
        <v>0</v>
      </c>
      <c r="AO485" s="62">
        <f>((AM485-MAX(AM$16:AM485))/MAX(AM$16:AM485))</f>
        <v>0</v>
      </c>
      <c r="AP485" s="16">
        <f t="shared" si="1258"/>
        <v>0</v>
      </c>
      <c r="AQ485" s="153"/>
      <c r="AS485" s="16">
        <f t="shared" si="1388"/>
        <v>3.8113508111798054E-3</v>
      </c>
      <c r="AT485" s="77">
        <f t="shared" ref="AT485:AV485" si="1452">AT484</f>
        <v>3.7562349510302686E-3</v>
      </c>
      <c r="AU485" s="16">
        <f t="shared" si="1452"/>
        <v>6.2246162225112751E-4</v>
      </c>
      <c r="AV485" s="16" t="str">
        <f t="shared" si="1452"/>
        <v>Low Volatility</v>
      </c>
      <c r="AW485" s="14" t="str">
        <f t="shared" si="1448"/>
        <v>Stable</v>
      </c>
    </row>
    <row r="486" spans="1:49" ht="15.75" thickBot="1">
      <c r="A486" s="131" t="s">
        <v>859</v>
      </c>
      <c r="B486" s="131" t="s">
        <v>1235</v>
      </c>
      <c r="C486" s="131" t="s">
        <v>1236</v>
      </c>
      <c r="D486" s="15">
        <v>46236</v>
      </c>
      <c r="E486" s="60">
        <f t="shared" si="1404"/>
        <v>6175.37</v>
      </c>
      <c r="F486" s="61">
        <f t="shared" si="1405"/>
        <v>0</v>
      </c>
      <c r="G486" s="62">
        <f>((E486-MAX(E$16:E486))/MAX(E$16:E486))</f>
        <v>-0.18051262996556366</v>
      </c>
      <c r="H486" s="16">
        <f t="shared" si="1366"/>
        <v>0</v>
      </c>
      <c r="I486" s="153"/>
      <c r="K486" s="16">
        <f t="shared" si="1426"/>
        <v>1.1851376283628062E-3</v>
      </c>
      <c r="L486" s="77">
        <f t="shared" ref="L486:N486" si="1453">L485</f>
        <v>2.4467363690651436E-3</v>
      </c>
      <c r="M486" s="16">
        <f t="shared" si="1453"/>
        <v>9.3519530862270633E-3</v>
      </c>
      <c r="N486" s="16" t="str">
        <f t="shared" si="1453"/>
        <v>Medium Volatility</v>
      </c>
      <c r="O486" s="14" t="str">
        <f t="shared" si="1210"/>
        <v>Stable</v>
      </c>
      <c r="S486" s="131" t="s">
        <v>859</v>
      </c>
      <c r="T486" s="131" t="s">
        <v>1565</v>
      </c>
      <c r="U486" s="131" t="s">
        <v>1566</v>
      </c>
      <c r="V486" s="15">
        <v>46236</v>
      </c>
      <c r="W486" s="60">
        <f t="shared" si="1215"/>
        <v>87.99</v>
      </c>
      <c r="X486" s="61">
        <f t="shared" si="1216"/>
        <v>0</v>
      </c>
      <c r="Y486" s="62">
        <f>((W486-MAX(W$16:W486))/MAX(W$16:W486))</f>
        <v>-0.45882280583061691</v>
      </c>
      <c r="Z486" s="16">
        <f t="shared" si="1217"/>
        <v>0</v>
      </c>
      <c r="AA486" s="153"/>
      <c r="AC486" s="16">
        <f t="shared" si="1244"/>
        <v>-6.884875846501123E-3</v>
      </c>
      <c r="AD486" s="16">
        <f t="shared" ref="AD486:AE486" si="1454">AD480</f>
        <v>-1.7287062168801E-3</v>
      </c>
      <c r="AE486" s="16">
        <f t="shared" si="1454"/>
        <v>1.6738355749221171E-2</v>
      </c>
      <c r="AF486" s="16" t="str">
        <f t="shared" ref="AF486" si="1455">IF(AE486 &lt; 0.02, "Low Volatility",
 IF(AE486 &gt; 0.1, "High Volatility", "Medium Volatility"))</f>
        <v>Low Volatility</v>
      </c>
      <c r="AG486" s="14" t="str">
        <f t="shared" si="1302"/>
        <v>Stable</v>
      </c>
      <c r="AI486" s="131" t="s">
        <v>859</v>
      </c>
      <c r="AJ486" s="131">
        <v>474433</v>
      </c>
      <c r="AK486" s="131">
        <v>475127</v>
      </c>
      <c r="AL486" s="15">
        <v>46236</v>
      </c>
      <c r="AM486" s="60">
        <f t="shared" si="1256"/>
        <v>47.512700000000002</v>
      </c>
      <c r="AN486" s="61">
        <f t="shared" si="1257"/>
        <v>0</v>
      </c>
      <c r="AO486" s="62">
        <f>((AM486-MAX(AM$16:AM486))/MAX(AM$16:AM486))</f>
        <v>0</v>
      </c>
      <c r="AP486" s="16">
        <f t="shared" si="1258"/>
        <v>0</v>
      </c>
      <c r="AQ486" s="153"/>
      <c r="AS486" s="16">
        <f t="shared" si="1388"/>
        <v>3.8113508111798054E-3</v>
      </c>
      <c r="AT486" s="77">
        <f t="shared" ref="AT486:AV486" si="1456">AT485</f>
        <v>3.7562349510302686E-3</v>
      </c>
      <c r="AU486" s="16">
        <f t="shared" si="1456"/>
        <v>6.2246162225112751E-4</v>
      </c>
      <c r="AV486" s="16" t="str">
        <f t="shared" si="1456"/>
        <v>Low Volatility</v>
      </c>
      <c r="AW486" s="14" t="str">
        <f t="shared" si="1448"/>
        <v>Stable</v>
      </c>
    </row>
    <row r="487" spans="1:49" ht="15.75" thickBot="1">
      <c r="A487" s="131" t="s">
        <v>860</v>
      </c>
      <c r="B487" s="131" t="s">
        <v>1237</v>
      </c>
      <c r="C487" s="131" t="s">
        <v>1238</v>
      </c>
      <c r="D487" s="15">
        <v>46237</v>
      </c>
      <c r="E487" s="60">
        <f t="shared" si="1404"/>
        <v>6197.07</v>
      </c>
      <c r="F487" s="61">
        <f t="shared" si="1405"/>
        <v>21.699999999999818</v>
      </c>
      <c r="G487" s="62">
        <f>((E487-MAX(E$16:E487))/MAX(E$16:E487))</f>
        <v>-0.17763298454678761</v>
      </c>
      <c r="H487" s="16">
        <f t="shared" si="1366"/>
        <v>3.5139594874476865E-3</v>
      </c>
      <c r="I487" s="153">
        <f>AVERAGEIFS(E487:E494, E487:E494, "&gt;=0")</f>
        <v>6485.6371428571429</v>
      </c>
      <c r="K487" s="16">
        <f t="shared" si="1426"/>
        <v>-1.3729556738360795E-3</v>
      </c>
      <c r="L487" s="77">
        <f t="shared" ref="L487" si="1457">(I487-I480)/I480</f>
        <v>4.7731457002444404E-2</v>
      </c>
      <c r="M487" s="16" cm="1">
        <f t="array" ref="M487">_xlfn.STDEV.S(_xlfn._xlws.FILTER(F487:F493, ISNUMBER(F487:F493))) / I487</f>
        <v>1.6223338859402175E-2</v>
      </c>
      <c r="N487" s="16" t="str" cm="1">
        <f t="array" ref="N487">_xlfn.LET(
  _xlpm.c, M308,
  IFERROR(
    _xlfn.IFS(_xlpm.c&lt;0.02,"Low Volatility",
        _xlpm.c&gt;0.1,"High Volatility",
        TRUE,"Medium Volatility"),
    "Insufficient data"
  )
)</f>
        <v>Medium Volatility</v>
      </c>
      <c r="O487" s="14" t="str">
        <f t="shared" si="1210"/>
        <v>Weak/Unconfirmed</v>
      </c>
      <c r="S487" s="131" t="s">
        <v>860</v>
      </c>
      <c r="T487" s="131" t="s">
        <v>1290</v>
      </c>
      <c r="U487" s="131" t="s">
        <v>1567</v>
      </c>
      <c r="V487" s="15">
        <v>46237</v>
      </c>
      <c r="W487" s="60">
        <f t="shared" si="1215"/>
        <v>88.97</v>
      </c>
      <c r="X487" s="61">
        <f t="shared" si="1216"/>
        <v>0.98000000000000398</v>
      </c>
      <c r="Y487" s="62">
        <f>((W487-MAX(W$16:W487))/MAX(W$16:W487))</f>
        <v>-0.45279537486930316</v>
      </c>
      <c r="Z487" s="16">
        <f t="shared" si="1217"/>
        <v>1.1137629276054143E-2</v>
      </c>
      <c r="AA487" s="153">
        <f t="shared" ref="AA487" si="1458">AVERAGEIFS(W487:W493, W487:W493, "&gt;=0")</f>
        <v>94.447142857142879</v>
      </c>
      <c r="AC487" s="16">
        <f t="shared" si="1244"/>
        <v>2.2484541877454772E-4</v>
      </c>
      <c r="AD487" s="66">
        <f t="shared" ref="AD487" si="1459">(AA487-AA480)/AA480</f>
        <v>6.9980093544158642E-2</v>
      </c>
      <c r="AE487" s="16" cm="1">
        <f t="array" ref="AE487">_xlfn.STDEV.S(_xlfn._xlws.FILTER(X487:X493, ISNUMBER(X487:X493))) / AA487</f>
        <v>1.8643769001842708E-2</v>
      </c>
      <c r="AF487" s="16" t="str">
        <f t="shared" ref="AF487:AF492" si="1460">AF486</f>
        <v>Low Volatility</v>
      </c>
      <c r="AG487" s="14" t="str">
        <f t="shared" si="1302"/>
        <v>Weak/Unconfirmed</v>
      </c>
      <c r="AI487" s="131" t="s">
        <v>860</v>
      </c>
      <c r="AJ487" s="131">
        <v>475038</v>
      </c>
      <c r="AK487" s="131">
        <v>475316</v>
      </c>
      <c r="AL487" s="15">
        <v>46237</v>
      </c>
      <c r="AM487" s="60">
        <f t="shared" si="1256"/>
        <v>47.531599999999997</v>
      </c>
      <c r="AN487" s="61">
        <f t="shared" si="1257"/>
        <v>1.8899999999995032E-2</v>
      </c>
      <c r="AO487" s="62">
        <f>((AM487-MAX(AM$16:AM487))/MAX(AM$16:AM487))</f>
        <v>0</v>
      </c>
      <c r="AP487" s="16">
        <f t="shared" si="1258"/>
        <v>3.9778838079071558E-4</v>
      </c>
      <c r="AQ487" s="153">
        <f t="shared" ref="AQ487" si="1461">AVERAGEIFS(AM487:AM493, AM487:AM493, "&gt;=0")</f>
        <v>47.623371428571431</v>
      </c>
      <c r="AS487" s="16">
        <f t="shared" si="1388"/>
        <v>3.9455230563862995E-3</v>
      </c>
      <c r="AT487" s="77">
        <f t="shared" ref="AT487" si="1462">(AQ487-AQ480)/AQ480</f>
        <v>3.8674497326391883E-3</v>
      </c>
      <c r="AU487" s="16" cm="1">
        <f t="array" ref="AU487">_xlfn.STDEV.S(_xlfn._xlws.FILTER(AN487:AN493, ISNUMBER(AN487:AN493))) / AQ487</f>
        <v>6.8118977548939201E-4</v>
      </c>
      <c r="AV487" s="16" t="str">
        <f t="shared" ref="AV487" si="1463">IF(AU487 &lt; 0.02, "Low Volatility",
 IF(AU487 &gt; 0.1, "High Volatility", "Medium Volatility"))</f>
        <v>Low Volatility</v>
      </c>
      <c r="AW487" s="14" t="str">
        <f t="shared" si="1448"/>
        <v>Stable</v>
      </c>
    </row>
    <row r="488" spans="1:49" ht="15.75" thickBot="1">
      <c r="A488" s="131" t="s">
        <v>861</v>
      </c>
      <c r="B488" s="131" t="s">
        <v>1239</v>
      </c>
      <c r="C488" s="131" t="s">
        <v>1240</v>
      </c>
      <c r="D488" s="15">
        <v>46238</v>
      </c>
      <c r="E488" s="60">
        <f t="shared" si="1404"/>
        <v>6231.26</v>
      </c>
      <c r="F488" s="61">
        <f t="shared" si="1405"/>
        <v>34.190000000000509</v>
      </c>
      <c r="G488" s="62">
        <f>((E488-MAX(E$16:E488))/MAX(E$16:E488))</f>
        <v>-0.17309588423029193</v>
      </c>
      <c r="H488" s="16">
        <f t="shared" si="1366"/>
        <v>5.5171234147751297E-3</v>
      </c>
      <c r="I488" s="153"/>
      <c r="K488" s="16">
        <f t="shared" si="1426"/>
        <v>1.5351023700312045E-2</v>
      </c>
      <c r="L488" s="77">
        <f t="shared" ref="L488:N488" si="1464">L487</f>
        <v>4.7731457002444404E-2</v>
      </c>
      <c r="M488" s="16">
        <f t="shared" si="1464"/>
        <v>1.6223338859402175E-2</v>
      </c>
      <c r="N488" s="16" t="str">
        <f t="shared" si="1464"/>
        <v>Medium Volatility</v>
      </c>
      <c r="O488" s="14" t="str">
        <f t="shared" si="1210"/>
        <v>Strong Uptrend</v>
      </c>
      <c r="S488" s="131" t="s">
        <v>861</v>
      </c>
      <c r="T488" s="131" t="s">
        <v>1567</v>
      </c>
      <c r="U488" s="131" t="s">
        <v>1568</v>
      </c>
      <c r="V488" s="15">
        <v>46238</v>
      </c>
      <c r="W488" s="60">
        <f t="shared" si="1215"/>
        <v>91.02</v>
      </c>
      <c r="X488" s="61">
        <f t="shared" si="1216"/>
        <v>2.0499999999999972</v>
      </c>
      <c r="Y488" s="62">
        <f>((W488-MAX(W$16:W488))/MAX(W$16:W488))</f>
        <v>-0.44018697336859591</v>
      </c>
      <c r="Z488" s="16">
        <f t="shared" si="1217"/>
        <v>2.304147465437785E-2</v>
      </c>
      <c r="AA488" s="153"/>
      <c r="AC488" s="16">
        <f t="shared" si="1244"/>
        <v>4.5485871812543002E-2</v>
      </c>
      <c r="AD488" s="16">
        <f t="shared" ref="AD488" si="1465">AD487</f>
        <v>6.9980093544158642E-2</v>
      </c>
      <c r="AE488" s="16">
        <f t="shared" ref="AE488:AE492" si="1466">AE487</f>
        <v>1.8643769001842708E-2</v>
      </c>
      <c r="AF488" s="16" t="str">
        <f t="shared" si="1460"/>
        <v>Low Volatility</v>
      </c>
      <c r="AG488" s="14" t="str">
        <f t="shared" si="1302"/>
        <v>Strong Uptrend</v>
      </c>
      <c r="AI488" s="131" t="s">
        <v>861</v>
      </c>
      <c r="AJ488" s="131">
        <v>475321</v>
      </c>
      <c r="AK488" s="131">
        <v>475280</v>
      </c>
      <c r="AL488" s="15">
        <v>46238</v>
      </c>
      <c r="AM488" s="60">
        <f t="shared" si="1256"/>
        <v>47.527999999999999</v>
      </c>
      <c r="AN488" s="61">
        <f t="shared" si="1257"/>
        <v>-3.5999999999987153E-3</v>
      </c>
      <c r="AO488" s="62">
        <f>((AM488-MAX(AM$16:AM488))/MAX(AM$16:AM488))</f>
        <v>-7.5739087259816954E-5</v>
      </c>
      <c r="AP488" s="16">
        <f t="shared" si="1258"/>
        <v>-7.5739087259816954E-5</v>
      </c>
      <c r="AQ488" s="153"/>
      <c r="AS488" s="16">
        <f t="shared" si="1388"/>
        <v>3.1850830886651998E-3</v>
      </c>
      <c r="AT488" s="77">
        <f t="shared" ref="AT488:AV488" si="1467">AT487</f>
        <v>3.8674497326391883E-3</v>
      </c>
      <c r="AU488" s="16">
        <f t="shared" si="1467"/>
        <v>6.8118977548939201E-4</v>
      </c>
      <c r="AV488" s="16" t="str">
        <f t="shared" si="1467"/>
        <v>Low Volatility</v>
      </c>
      <c r="AW488" s="14" t="str">
        <f t="shared" si="1448"/>
        <v>Stable</v>
      </c>
    </row>
    <row r="489" spans="1:49" ht="15.75" thickBot="1">
      <c r="A489" s="131" t="s">
        <v>862</v>
      </c>
      <c r="B489" s="131" t="s">
        <v>1241</v>
      </c>
      <c r="C489" s="131" t="s">
        <v>1242</v>
      </c>
      <c r="D489" s="15">
        <v>46239</v>
      </c>
      <c r="E489" s="60">
        <f t="shared" si="1404"/>
        <v>6496.09</v>
      </c>
      <c r="F489" s="61">
        <f t="shared" si="1405"/>
        <v>264.82999999999993</v>
      </c>
      <c r="G489" s="62">
        <f>((E489-MAX(E$16:E489))/MAX(E$16:E489))</f>
        <v>-0.13795226689137627</v>
      </c>
      <c r="H489" s="16">
        <f t="shared" si="1366"/>
        <v>4.2500232697720831E-2</v>
      </c>
      <c r="I489" s="153"/>
      <c r="K489" s="16">
        <f t="shared" si="1426"/>
        <v>4.8091164597726319E-2</v>
      </c>
      <c r="L489" s="77">
        <f t="shared" ref="L489:N489" si="1468">L488</f>
        <v>4.7731457002444404E-2</v>
      </c>
      <c r="M489" s="16">
        <f t="shared" si="1468"/>
        <v>1.6223338859402175E-2</v>
      </c>
      <c r="N489" s="16" t="str">
        <f t="shared" si="1468"/>
        <v>Medium Volatility</v>
      </c>
      <c r="O489" s="14" t="str">
        <f t="shared" si="1210"/>
        <v>Strong Uptrend</v>
      </c>
      <c r="S489" s="131" t="s">
        <v>862</v>
      </c>
      <c r="T489" s="131" t="s">
        <v>1568</v>
      </c>
      <c r="U489" s="131" t="s">
        <v>1569</v>
      </c>
      <c r="V489" s="15">
        <v>46239</v>
      </c>
      <c r="W489" s="60">
        <f t="shared" si="1215"/>
        <v>94.94</v>
      </c>
      <c r="X489" s="61">
        <f t="shared" si="1216"/>
        <v>3.9200000000000017</v>
      </c>
      <c r="Y489" s="62">
        <f>((W489-MAX(W$16:W489))/MAX(W$16:W489))</f>
        <v>-0.41607724952334096</v>
      </c>
      <c r="Z489" s="16">
        <f t="shared" si="1217"/>
        <v>4.3067457701604063E-2</v>
      </c>
      <c r="AA489" s="153"/>
      <c r="AC489" s="16">
        <f t="shared" si="1244"/>
        <v>8.0336822940373268E-2</v>
      </c>
      <c r="AD489" s="16">
        <f t="shared" ref="AD489" si="1469">AD487</f>
        <v>6.9980093544158642E-2</v>
      </c>
      <c r="AE489" s="16">
        <f t="shared" si="1466"/>
        <v>1.8643769001842708E-2</v>
      </c>
      <c r="AF489" s="16" t="str">
        <f t="shared" si="1460"/>
        <v>Low Volatility</v>
      </c>
      <c r="AG489" s="14" t="str">
        <f t="shared" si="1302"/>
        <v>Strong Uptrend</v>
      </c>
      <c r="AI489" s="131" t="s">
        <v>862</v>
      </c>
      <c r="AJ489" s="131">
        <v>475263</v>
      </c>
      <c r="AK489" s="131">
        <v>475669</v>
      </c>
      <c r="AL489" s="15">
        <v>46239</v>
      </c>
      <c r="AM489" s="60">
        <f t="shared" si="1256"/>
        <v>47.566899999999997</v>
      </c>
      <c r="AN489" s="61">
        <f t="shared" si="1257"/>
        <v>3.8899999999998158E-2</v>
      </c>
      <c r="AO489" s="62">
        <f>((AM489-MAX(AM$16:AM489))/MAX(AM$16:AM489))</f>
        <v>0</v>
      </c>
      <c r="AP489" s="16">
        <f t="shared" si="1258"/>
        <v>8.1846490489812657E-4</v>
      </c>
      <c r="AQ489" s="153"/>
      <c r="AS489" s="16">
        <f t="shared" si="1388"/>
        <v>3.7243829974002588E-3</v>
      </c>
      <c r="AT489" s="77">
        <f t="shared" ref="AT489:AV489" si="1470">AT488</f>
        <v>3.8674497326391883E-3</v>
      </c>
      <c r="AU489" s="16">
        <f t="shared" si="1470"/>
        <v>6.8118977548939201E-4</v>
      </c>
      <c r="AV489" s="16" t="str">
        <f t="shared" si="1470"/>
        <v>Low Volatility</v>
      </c>
      <c r="AW489" s="14" t="str">
        <f t="shared" si="1448"/>
        <v>Stable</v>
      </c>
    </row>
    <row r="490" spans="1:49" ht="15.75" thickBot="1">
      <c r="A490" s="131" t="s">
        <v>863</v>
      </c>
      <c r="B490" s="131" t="s">
        <v>1243</v>
      </c>
      <c r="C490" s="131" t="s">
        <v>1244</v>
      </c>
      <c r="D490" s="15">
        <v>46240</v>
      </c>
      <c r="E490" s="60">
        <f t="shared" si="1404"/>
        <v>6492.58</v>
      </c>
      <c r="F490" s="61">
        <f t="shared" si="1405"/>
        <v>-3.5100000000002183</v>
      </c>
      <c r="G490" s="62">
        <f>((E490-MAX(E$16:E490))/MAX(E$16:E490))</f>
        <v>-0.13841805285542716</v>
      </c>
      <c r="H490" s="16">
        <f t="shared" si="1366"/>
        <v>-5.4032502628507582E-4</v>
      </c>
      <c r="I490" s="153"/>
      <c r="K490" s="16">
        <f t="shared" si="1426"/>
        <v>3.7562744405540235E-2</v>
      </c>
      <c r="L490" s="77">
        <f t="shared" ref="L490:N490" si="1471">L489</f>
        <v>4.7731457002444404E-2</v>
      </c>
      <c r="M490" s="16">
        <f t="shared" si="1471"/>
        <v>1.6223338859402175E-2</v>
      </c>
      <c r="N490" s="16" t="str">
        <f t="shared" si="1471"/>
        <v>Medium Volatility</v>
      </c>
      <c r="O490" s="14" t="str">
        <f t="shared" si="1210"/>
        <v>Strong Uptrend</v>
      </c>
      <c r="S490" s="131" t="s">
        <v>863</v>
      </c>
      <c r="T490" s="131" t="s">
        <v>1569</v>
      </c>
      <c r="U490" s="131" t="s">
        <v>1570</v>
      </c>
      <c r="V490" s="15">
        <v>46240</v>
      </c>
      <c r="W490" s="60">
        <f t="shared" si="1215"/>
        <v>94.18</v>
      </c>
      <c r="X490" s="61">
        <f t="shared" si="1216"/>
        <v>-0.75999999999999091</v>
      </c>
      <c r="Y490" s="62">
        <f>((W490-MAX(W$16:W490))/MAX(W$16:W490))</f>
        <v>-0.42075158373823723</v>
      </c>
      <c r="Z490" s="16">
        <f t="shared" si="1217"/>
        <v>-8.0050558247313133E-3</v>
      </c>
      <c r="AA490" s="153"/>
      <c r="AC490" s="16">
        <f t="shared" si="1244"/>
        <v>4.6095745862490344E-2</v>
      </c>
      <c r="AD490" s="16">
        <f t="shared" ref="AD490" si="1472">AD487</f>
        <v>6.9980093544158642E-2</v>
      </c>
      <c r="AE490" s="16">
        <f t="shared" si="1466"/>
        <v>1.8643769001842708E-2</v>
      </c>
      <c r="AF490" s="16" t="str">
        <f t="shared" si="1460"/>
        <v>Low Volatility</v>
      </c>
      <c r="AG490" s="14" t="str">
        <f t="shared" si="1302"/>
        <v>Strong Uptrend</v>
      </c>
      <c r="AI490" s="131" t="s">
        <v>863</v>
      </c>
      <c r="AJ490" s="131">
        <v>475688</v>
      </c>
      <c r="AK490" s="131">
        <v>476245</v>
      </c>
      <c r="AL490" s="15">
        <v>46240</v>
      </c>
      <c r="AM490" s="60">
        <f t="shared" si="1256"/>
        <v>47.624499999999998</v>
      </c>
      <c r="AN490" s="61">
        <f t="shared" si="1257"/>
        <v>5.7600000000000762E-2</v>
      </c>
      <c r="AO490" s="62">
        <f>((AM490-MAX(AM$16:AM490))/MAX(AM$16:AM490))</f>
        <v>0</v>
      </c>
      <c r="AP490" s="16">
        <f t="shared" si="1258"/>
        <v>1.2109260851558702E-3</v>
      </c>
      <c r="AQ490" s="153"/>
      <c r="AS490" s="16">
        <f t="shared" si="1388"/>
        <v>4.1240678151928233E-3</v>
      </c>
      <c r="AT490" s="77">
        <f t="shared" ref="AT490:AV490" si="1473">AT489</f>
        <v>3.8674497326391883E-3</v>
      </c>
      <c r="AU490" s="16">
        <f t="shared" si="1473"/>
        <v>6.8118977548939201E-4</v>
      </c>
      <c r="AV490" s="16" t="str">
        <f t="shared" si="1473"/>
        <v>Low Volatility</v>
      </c>
      <c r="AW490" s="14" t="str">
        <f t="shared" si="1448"/>
        <v>Stable</v>
      </c>
    </row>
    <row r="491" spans="1:49" ht="15.75" thickBot="1">
      <c r="A491" s="131" t="s">
        <v>864</v>
      </c>
      <c r="B491" s="131" t="s">
        <v>1245</v>
      </c>
      <c r="C491" s="131" t="s">
        <v>1246</v>
      </c>
      <c r="D491" s="15">
        <v>46241</v>
      </c>
      <c r="E491" s="60">
        <f t="shared" si="1404"/>
        <v>6660.82</v>
      </c>
      <c r="F491" s="61">
        <f t="shared" si="1405"/>
        <v>168.23999999999978</v>
      </c>
      <c r="G491" s="62">
        <f>((E491-MAX(E$16:E491))/MAX(E$16:E491))</f>
        <v>-0.1160921751939116</v>
      </c>
      <c r="H491" s="16">
        <f t="shared" si="1366"/>
        <v>2.5912657217931821E-2</v>
      </c>
      <c r="I491" s="153"/>
      <c r="K491" s="16">
        <f t="shared" si="1426"/>
        <v>7.861067434016096E-2</v>
      </c>
      <c r="L491" s="77">
        <f t="shared" ref="L491:N491" si="1474">L490</f>
        <v>4.7731457002444404E-2</v>
      </c>
      <c r="M491" s="16">
        <f t="shared" si="1474"/>
        <v>1.6223338859402175E-2</v>
      </c>
      <c r="N491" s="16" t="str">
        <f t="shared" si="1474"/>
        <v>Medium Volatility</v>
      </c>
      <c r="O491" s="14" t="str">
        <f t="shared" ref="O491:O493" si="1475">IF(AND(K491 &gt; 0.01, L491 &gt; 0.01), "Strong Uptrend",
 IF(AND(K491 &lt; -0.01, L491 &lt; -0.01), "Strong Downtrend",
 IF(ABS(L491) &lt; 0.005, "Stable", "Weak/Unconfirmed")))</f>
        <v>Strong Uptrend</v>
      </c>
      <c r="S491" s="131" t="s">
        <v>864</v>
      </c>
      <c r="T491" s="131" t="s">
        <v>1571</v>
      </c>
      <c r="U491" s="131" t="s">
        <v>1572</v>
      </c>
      <c r="V491" s="15">
        <v>46241</v>
      </c>
      <c r="W491" s="60">
        <f t="shared" si="1215"/>
        <v>97.34</v>
      </c>
      <c r="X491" s="61">
        <f t="shared" si="1216"/>
        <v>3.1599999999999966</v>
      </c>
      <c r="Y491" s="62">
        <f>((W491-MAX(W$16:W491))/MAX(W$16:W491))</f>
        <v>-0.40131619410787872</v>
      </c>
      <c r="Z491" s="16">
        <f t="shared" si="1217"/>
        <v>3.3552771289020983E-2</v>
      </c>
      <c r="AA491" s="153"/>
      <c r="AC491" s="16">
        <f t="shared" si="1244"/>
        <v>0.10626207523582236</v>
      </c>
      <c r="AD491" s="16">
        <f t="shared" ref="AD491" si="1476">AD487</f>
        <v>6.9980093544158642E-2</v>
      </c>
      <c r="AE491" s="16">
        <f t="shared" si="1466"/>
        <v>1.8643769001842708E-2</v>
      </c>
      <c r="AF491" s="16" t="str">
        <f t="shared" si="1460"/>
        <v>Low Volatility</v>
      </c>
      <c r="AG491" s="14" t="str">
        <f t="shared" si="1302"/>
        <v>Strong Uptrend</v>
      </c>
      <c r="AI491" s="131" t="s">
        <v>864</v>
      </c>
      <c r="AJ491" s="131">
        <v>476200</v>
      </c>
      <c r="AK491" s="131">
        <v>477042</v>
      </c>
      <c r="AL491" s="15">
        <v>46241</v>
      </c>
      <c r="AM491" s="60">
        <f t="shared" si="1256"/>
        <v>47.7042</v>
      </c>
      <c r="AN491" s="61">
        <f t="shared" si="1257"/>
        <v>7.9700000000002547E-2</v>
      </c>
      <c r="AO491" s="62">
        <f>((AM491-MAX(AM$16:AM491))/MAX(AM$16:AM491))</f>
        <v>0</v>
      </c>
      <c r="AP491" s="16">
        <f t="shared" si="1258"/>
        <v>1.6735083832901667E-3</v>
      </c>
      <c r="AQ491" s="153"/>
      <c r="AS491" s="16">
        <f t="shared" si="1388"/>
        <v>4.0305013185947709E-3</v>
      </c>
      <c r="AT491" s="77">
        <f t="shared" ref="AT491:AV491" si="1477">AT490</f>
        <v>3.8674497326391883E-3</v>
      </c>
      <c r="AU491" s="16">
        <f t="shared" si="1477"/>
        <v>6.8118977548939201E-4</v>
      </c>
      <c r="AV491" s="16" t="str">
        <f t="shared" si="1477"/>
        <v>Low Volatility</v>
      </c>
      <c r="AW491" s="14" t="str">
        <f t="shared" si="1448"/>
        <v>Stable</v>
      </c>
    </row>
    <row r="492" spans="1:49" ht="15.75" thickBot="1">
      <c r="A492" s="131" t="s">
        <v>865</v>
      </c>
      <c r="B492" s="131" t="s">
        <v>1245</v>
      </c>
      <c r="C492" s="131" t="s">
        <v>1246</v>
      </c>
      <c r="D492" s="15">
        <v>46242</v>
      </c>
      <c r="E492" s="60">
        <f t="shared" si="1404"/>
        <v>6660.82</v>
      </c>
      <c r="F492" s="61">
        <f t="shared" si="1405"/>
        <v>0</v>
      </c>
      <c r="G492" s="62">
        <f>((E492-MAX(E$16:E492))/MAX(E$16:E492))</f>
        <v>-0.1160921751939116</v>
      </c>
      <c r="H492" s="16">
        <f t="shared" si="1366"/>
        <v>0</v>
      </c>
      <c r="I492" s="153"/>
      <c r="K492" s="16">
        <f t="shared" si="1426"/>
        <v>7.861067434016096E-2</v>
      </c>
      <c r="L492" s="77">
        <f t="shared" ref="L492:N492" si="1478">L491</f>
        <v>4.7731457002444404E-2</v>
      </c>
      <c r="M492" s="16">
        <f t="shared" si="1478"/>
        <v>1.6223338859402175E-2</v>
      </c>
      <c r="N492" s="16" t="str">
        <f t="shared" si="1478"/>
        <v>Medium Volatility</v>
      </c>
      <c r="O492" s="14" t="str">
        <f t="shared" si="1475"/>
        <v>Strong Uptrend</v>
      </c>
      <c r="S492" s="131" t="s">
        <v>865</v>
      </c>
      <c r="T492" s="131" t="s">
        <v>1571</v>
      </c>
      <c r="U492" s="131" t="s">
        <v>1572</v>
      </c>
      <c r="V492" s="15">
        <v>46242</v>
      </c>
      <c r="W492" s="60">
        <f t="shared" ref="W492" si="1479">VALUE(SUBSTITUTE(SUBSTITUTE(U492, ".", ""), ",", "."))</f>
        <v>97.34</v>
      </c>
      <c r="X492" s="61">
        <f t="shared" ref="X492" si="1480">W492-W491</f>
        <v>0</v>
      </c>
      <c r="Y492" s="62">
        <f>((W492-MAX(W$16:W492))/MAX(W$16:W492))</f>
        <v>-0.40131619410787872</v>
      </c>
      <c r="Z492" s="16">
        <f t="shared" ref="Z492" si="1481">(W492-W491)/W491</f>
        <v>0</v>
      </c>
      <c r="AA492" s="153"/>
      <c r="AC492" s="16">
        <f t="shared" si="1244"/>
        <v>0.10626207523582236</v>
      </c>
      <c r="AD492" s="16">
        <f t="shared" ref="AD492" si="1482">AD487</f>
        <v>6.9980093544158642E-2</v>
      </c>
      <c r="AE492" s="16">
        <f t="shared" si="1466"/>
        <v>1.8643769001842708E-2</v>
      </c>
      <c r="AF492" s="16" t="str">
        <f t="shared" si="1460"/>
        <v>Low Volatility</v>
      </c>
      <c r="AG492" s="14" t="str">
        <f t="shared" si="1302"/>
        <v>Strong Uptrend</v>
      </c>
      <c r="AI492" s="131" t="s">
        <v>865</v>
      </c>
      <c r="AJ492" s="131">
        <v>476200</v>
      </c>
      <c r="AK492" s="131">
        <v>477042</v>
      </c>
      <c r="AL492" s="15">
        <v>46242</v>
      </c>
      <c r="AM492" s="60">
        <f t="shared" ref="AM492" si="1483">VALUE(SUBSTITUTE(SUBSTITUTE(AK492, ".", ""), ",", "."))/10000</f>
        <v>47.7042</v>
      </c>
      <c r="AN492" s="61">
        <f t="shared" ref="AN492" si="1484">AM492-AM491</f>
        <v>0</v>
      </c>
      <c r="AO492" s="62">
        <f>((AM492-MAX(AM$16:AM492))/MAX(AM$16:AM492))</f>
        <v>0</v>
      </c>
      <c r="AP492" s="16">
        <f t="shared" ref="AP492" si="1485">(AM492-AM491)/AM491</f>
        <v>0</v>
      </c>
      <c r="AQ492" s="153"/>
      <c r="AS492" s="16">
        <f t="shared" si="1388"/>
        <v>4.0305013185947709E-3</v>
      </c>
      <c r="AT492" s="77">
        <f t="shared" ref="AT492:AV492" si="1486">AT491</f>
        <v>3.8674497326391883E-3</v>
      </c>
      <c r="AU492" s="16">
        <f t="shared" si="1486"/>
        <v>6.8118977548939201E-4</v>
      </c>
      <c r="AV492" s="16" t="str">
        <f t="shared" si="1486"/>
        <v>Low Volatility</v>
      </c>
      <c r="AW492" s="14" t="str">
        <f t="shared" si="1448"/>
        <v>Stable</v>
      </c>
    </row>
    <row r="493" spans="1:49" ht="15.75" thickBot="1">
      <c r="A493" s="131" t="s">
        <v>866</v>
      </c>
      <c r="B493" s="131" t="s">
        <v>1245</v>
      </c>
      <c r="C493" s="131" t="s">
        <v>1246</v>
      </c>
      <c r="D493" s="15">
        <v>46243</v>
      </c>
      <c r="E493" s="60">
        <f t="shared" si="1404"/>
        <v>6660.82</v>
      </c>
      <c r="F493" s="61">
        <f t="shared" si="1405"/>
        <v>0</v>
      </c>
      <c r="G493" s="62">
        <f>((E493-MAX(E$16:E493))/MAX(E$16:E493))</f>
        <v>-0.1160921751939116</v>
      </c>
      <c r="H493" s="16">
        <f t="shared" si="1366"/>
        <v>0</v>
      </c>
      <c r="I493" s="153"/>
      <c r="K493" s="16">
        <f t="shared" si="1426"/>
        <v>7.861067434016096E-2</v>
      </c>
      <c r="L493" s="77">
        <f t="shared" ref="L493:N493" si="1487">L492</f>
        <v>4.7731457002444404E-2</v>
      </c>
      <c r="M493" s="16">
        <f t="shared" si="1487"/>
        <v>1.6223338859402175E-2</v>
      </c>
      <c r="N493" s="16" t="str">
        <f t="shared" si="1487"/>
        <v>Medium Volatility</v>
      </c>
      <c r="O493" s="14" t="str">
        <f t="shared" si="1475"/>
        <v>Strong Uptrend</v>
      </c>
      <c r="S493" s="131" t="s">
        <v>866</v>
      </c>
      <c r="T493" s="131" t="s">
        <v>1571</v>
      </c>
      <c r="U493" s="131" t="s">
        <v>1572</v>
      </c>
      <c r="V493" s="15">
        <v>46243</v>
      </c>
      <c r="W493" s="60">
        <f t="shared" ref="W493" si="1488">VALUE(SUBSTITUTE(SUBSTITUTE(U493, ".", ""), ",", "."))</f>
        <v>97.34</v>
      </c>
      <c r="X493" s="61">
        <f t="shared" ref="X493" si="1489">W493-W492</f>
        <v>0</v>
      </c>
      <c r="Y493" s="62">
        <f>((W493-MAX(W$16:W493))/MAX(W$16:W493))</f>
        <v>-0.40131619410787872</v>
      </c>
      <c r="Z493" s="16">
        <f t="shared" ref="Z493" si="1490">(W493-W492)/W492</f>
        <v>0</v>
      </c>
      <c r="AA493" s="153"/>
      <c r="AC493" s="16">
        <f t="shared" si="1244"/>
        <v>0.10626207523582236</v>
      </c>
      <c r="AD493" s="16">
        <f t="shared" ref="AD493:AE493" si="1491">AD487</f>
        <v>6.9980093544158642E-2</v>
      </c>
      <c r="AE493" s="16">
        <f t="shared" si="1491"/>
        <v>1.8643769001842708E-2</v>
      </c>
      <c r="AF493" s="16" t="str">
        <f t="shared" ref="AF493" si="1492">IF(AE493 &lt; 0.02, "Low Volatility",
 IF(AE493 &gt; 0.1, "High Volatility", "Medium Volatility"))</f>
        <v>Low Volatility</v>
      </c>
      <c r="AG493" s="14" t="str">
        <f t="shared" si="1302"/>
        <v>Strong Uptrend</v>
      </c>
      <c r="AI493" s="131" t="s">
        <v>866</v>
      </c>
      <c r="AJ493" s="131">
        <v>476200</v>
      </c>
      <c r="AK493" s="131">
        <v>477042</v>
      </c>
      <c r="AL493" s="15">
        <v>46243</v>
      </c>
      <c r="AM493" s="60">
        <f t="shared" si="1256"/>
        <v>47.7042</v>
      </c>
      <c r="AN493" s="61">
        <f t="shared" si="1257"/>
        <v>0</v>
      </c>
      <c r="AO493" s="62">
        <f>((AM493-MAX(AM$16:AM493))/MAX(AM$16:AM493))</f>
        <v>0</v>
      </c>
      <c r="AP493" s="16">
        <f t="shared" si="1258"/>
        <v>0</v>
      </c>
      <c r="AQ493" s="153"/>
      <c r="AS493" s="16">
        <f t="shared" si="1388"/>
        <v>4.0305013185947709E-3</v>
      </c>
      <c r="AT493" s="77">
        <f t="shared" ref="AT493:AV493" si="1493">AT492</f>
        <v>3.8674497326391883E-3</v>
      </c>
      <c r="AU493" s="16">
        <f t="shared" si="1493"/>
        <v>6.8118977548939201E-4</v>
      </c>
      <c r="AV493" s="16" t="str">
        <f t="shared" si="1493"/>
        <v>Low Volatility</v>
      </c>
      <c r="AW493" s="14" t="str">
        <f t="shared" si="1448"/>
        <v>Stable</v>
      </c>
    </row>
    <row r="494" spans="1:49">
      <c r="D494" s="15">
        <v>46244</v>
      </c>
      <c r="V494" s="15">
        <v>46244</v>
      </c>
      <c r="AL494" s="15">
        <v>46244</v>
      </c>
      <c r="AM494" s="60"/>
    </row>
    <row r="495" spans="1:49">
      <c r="D495" s="15">
        <v>46245</v>
      </c>
      <c r="V495" s="15">
        <v>46245</v>
      </c>
      <c r="AL495" s="15">
        <v>46245</v>
      </c>
    </row>
    <row r="496" spans="1:49">
      <c r="D496" s="15">
        <v>46246</v>
      </c>
      <c r="V496" s="15">
        <v>46246</v>
      </c>
      <c r="AL496" s="15">
        <v>46246</v>
      </c>
    </row>
    <row r="497" spans="4:38">
      <c r="D497" s="15">
        <v>46247</v>
      </c>
      <c r="V497" s="15">
        <v>46247</v>
      </c>
      <c r="AL497" s="15">
        <v>46247</v>
      </c>
    </row>
    <row r="498" spans="4:38">
      <c r="D498" s="15">
        <v>46248</v>
      </c>
      <c r="V498" s="15">
        <v>46248</v>
      </c>
      <c r="AL498" s="15">
        <v>46248</v>
      </c>
    </row>
    <row r="499" spans="4:38">
      <c r="D499" s="15">
        <v>46249</v>
      </c>
      <c r="V499" s="15">
        <v>46249</v>
      </c>
      <c r="AL499" s="15">
        <v>46249</v>
      </c>
    </row>
    <row r="500" spans="4:38">
      <c r="D500" s="15">
        <v>46250</v>
      </c>
      <c r="V500" s="15">
        <v>46250</v>
      </c>
      <c r="AL500" s="15">
        <v>46250</v>
      </c>
    </row>
    <row r="501" spans="4:38">
      <c r="D501" s="15">
        <v>46251</v>
      </c>
      <c r="V501" s="15">
        <v>46251</v>
      </c>
      <c r="AL501" s="15">
        <v>46251</v>
      </c>
    </row>
    <row r="502" spans="4:38">
      <c r="D502" s="15">
        <v>46252</v>
      </c>
      <c r="V502" s="15">
        <v>46252</v>
      </c>
      <c r="AL502" s="15">
        <v>46252</v>
      </c>
    </row>
    <row r="503" spans="4:38">
      <c r="D503" s="15">
        <v>46253</v>
      </c>
      <c r="V503" s="15">
        <v>46253</v>
      </c>
      <c r="AL503" s="15">
        <v>46253</v>
      </c>
    </row>
    <row r="504" spans="4:38">
      <c r="D504" s="15">
        <v>46254</v>
      </c>
      <c r="V504" s="15">
        <v>46254</v>
      </c>
      <c r="AL504" s="15">
        <v>46254</v>
      </c>
    </row>
    <row r="505" spans="4:38">
      <c r="D505" s="15">
        <v>46255</v>
      </c>
      <c r="V505" s="15">
        <v>46255</v>
      </c>
      <c r="AL505" s="15">
        <v>46255</v>
      </c>
    </row>
    <row r="506" spans="4:38">
      <c r="D506" s="15">
        <v>46256</v>
      </c>
      <c r="V506" s="15">
        <v>46256</v>
      </c>
      <c r="AL506" s="15">
        <v>46256</v>
      </c>
    </row>
    <row r="507" spans="4:38">
      <c r="D507" s="15">
        <v>46257</v>
      </c>
      <c r="V507" s="15">
        <v>46257</v>
      </c>
      <c r="AL507" s="15">
        <v>46257</v>
      </c>
    </row>
    <row r="508" spans="4:38">
      <c r="D508" s="15">
        <v>46258</v>
      </c>
      <c r="V508" s="15">
        <v>46258</v>
      </c>
      <c r="AL508" s="15">
        <v>46258</v>
      </c>
    </row>
    <row r="509" spans="4:38">
      <c r="D509" s="15">
        <v>46259</v>
      </c>
      <c r="V509" s="15">
        <v>46259</v>
      </c>
      <c r="AL509" s="15">
        <v>46259</v>
      </c>
    </row>
    <row r="510" spans="4:38">
      <c r="D510" s="15">
        <v>46260</v>
      </c>
      <c r="V510" s="15">
        <v>46260</v>
      </c>
      <c r="AL510" s="15">
        <v>46260</v>
      </c>
    </row>
    <row r="511" spans="4:38">
      <c r="D511" s="15">
        <v>46261</v>
      </c>
      <c r="V511" s="15">
        <v>46261</v>
      </c>
      <c r="AL511" s="15">
        <v>46261</v>
      </c>
    </row>
    <row r="512" spans="4:38">
      <c r="D512" s="15">
        <v>46262</v>
      </c>
      <c r="V512" s="15">
        <v>46262</v>
      </c>
      <c r="AL512" s="15">
        <v>46262</v>
      </c>
    </row>
    <row r="513" spans="4:38">
      <c r="D513" s="15">
        <v>46263</v>
      </c>
      <c r="V513" s="15">
        <v>46263</v>
      </c>
      <c r="AL513" s="15">
        <v>46263</v>
      </c>
    </row>
    <row r="514" spans="4:38">
      <c r="D514" s="15">
        <v>46264</v>
      </c>
      <c r="V514" s="15">
        <v>46264</v>
      </c>
      <c r="AL514" s="15">
        <v>46264</v>
      </c>
    </row>
    <row r="515" spans="4:38">
      <c r="D515" s="15">
        <v>46265</v>
      </c>
      <c r="V515" s="15">
        <v>46265</v>
      </c>
      <c r="AL515" s="15">
        <v>46265</v>
      </c>
    </row>
    <row r="516" spans="4:38">
      <c r="D516" s="15">
        <v>46266</v>
      </c>
      <c r="V516" s="15">
        <v>46266</v>
      </c>
      <c r="AL516" s="15">
        <v>46266</v>
      </c>
    </row>
    <row r="517" spans="4:38">
      <c r="D517" s="15">
        <v>46267</v>
      </c>
      <c r="V517" s="15">
        <v>46267</v>
      </c>
      <c r="AL517" s="15">
        <v>46267</v>
      </c>
    </row>
    <row r="518" spans="4:38">
      <c r="D518" s="15">
        <v>46268</v>
      </c>
      <c r="V518" s="15">
        <v>46268</v>
      </c>
      <c r="AL518" s="15">
        <v>46268</v>
      </c>
    </row>
    <row r="519" spans="4:38">
      <c r="D519" s="15">
        <v>46269</v>
      </c>
      <c r="V519" s="15">
        <v>46269</v>
      </c>
      <c r="AL519" s="15">
        <v>46269</v>
      </c>
    </row>
    <row r="520" spans="4:38">
      <c r="D520" s="15">
        <v>46270</v>
      </c>
      <c r="V520" s="15">
        <v>46270</v>
      </c>
      <c r="AL520" s="15">
        <v>46270</v>
      </c>
    </row>
    <row r="521" spans="4:38">
      <c r="D521" s="15">
        <v>46271</v>
      </c>
      <c r="V521" s="15">
        <v>46271</v>
      </c>
      <c r="AL521" s="15">
        <v>46271</v>
      </c>
    </row>
    <row r="522" spans="4:38">
      <c r="D522" s="15">
        <v>46272</v>
      </c>
      <c r="V522" s="15">
        <v>46272</v>
      </c>
      <c r="AL522" s="15">
        <v>46272</v>
      </c>
    </row>
    <row r="523" spans="4:38">
      <c r="D523" s="15">
        <v>46273</v>
      </c>
      <c r="V523" s="15">
        <v>46273</v>
      </c>
      <c r="AL523" s="15">
        <v>46273</v>
      </c>
    </row>
    <row r="524" spans="4:38">
      <c r="D524" s="15">
        <v>46274</v>
      </c>
      <c r="V524" s="15">
        <v>46274</v>
      </c>
      <c r="AL524" s="15">
        <v>46274</v>
      </c>
    </row>
    <row r="525" spans="4:38">
      <c r="D525" s="15">
        <v>46275</v>
      </c>
      <c r="V525" s="15">
        <v>46275</v>
      </c>
      <c r="AL525" s="15">
        <v>46275</v>
      </c>
    </row>
    <row r="526" spans="4:38">
      <c r="D526" s="15">
        <v>46276</v>
      </c>
      <c r="V526" s="15">
        <v>46276</v>
      </c>
      <c r="AL526" s="15">
        <v>46276</v>
      </c>
    </row>
    <row r="527" spans="4:38">
      <c r="D527" s="15">
        <v>46277</v>
      </c>
      <c r="V527" s="15">
        <v>46277</v>
      </c>
      <c r="AL527" s="15">
        <v>46277</v>
      </c>
    </row>
    <row r="528" spans="4:38">
      <c r="D528" s="15">
        <v>46278</v>
      </c>
      <c r="V528" s="15">
        <v>46278</v>
      </c>
      <c r="AL528" s="15">
        <v>46278</v>
      </c>
    </row>
    <row r="529" spans="4:38">
      <c r="D529" s="15">
        <v>46279</v>
      </c>
      <c r="V529" s="15">
        <v>46279</v>
      </c>
      <c r="AL529" s="15">
        <v>46279</v>
      </c>
    </row>
    <row r="530" spans="4:38">
      <c r="D530" s="15">
        <v>46280</v>
      </c>
      <c r="V530" s="15">
        <v>46280</v>
      </c>
      <c r="AL530" s="15">
        <v>46280</v>
      </c>
    </row>
    <row r="531" spans="4:38">
      <c r="D531" s="15">
        <v>46281</v>
      </c>
      <c r="V531" s="15">
        <v>46281</v>
      </c>
      <c r="AL531" s="15">
        <v>46281</v>
      </c>
    </row>
    <row r="532" spans="4:38">
      <c r="D532" s="15">
        <v>46282</v>
      </c>
      <c r="V532" s="15">
        <v>46282</v>
      </c>
      <c r="AL532" s="15">
        <v>46282</v>
      </c>
    </row>
    <row r="533" spans="4:38">
      <c r="D533" s="15">
        <v>46283</v>
      </c>
      <c r="V533" s="15">
        <v>46283</v>
      </c>
      <c r="AL533" s="15">
        <v>46283</v>
      </c>
    </row>
    <row r="534" spans="4:38">
      <c r="D534" s="15">
        <v>46284</v>
      </c>
      <c r="V534" s="15">
        <v>46284</v>
      </c>
      <c r="AL534" s="15">
        <v>46284</v>
      </c>
    </row>
    <row r="535" spans="4:38">
      <c r="D535" s="15">
        <v>46285</v>
      </c>
      <c r="V535" s="15">
        <v>46285</v>
      </c>
      <c r="AL535" s="15">
        <v>46285</v>
      </c>
    </row>
    <row r="536" spans="4:38">
      <c r="D536" s="15">
        <v>46286</v>
      </c>
      <c r="V536" s="15">
        <v>46286</v>
      </c>
      <c r="AL536" s="15">
        <v>46286</v>
      </c>
    </row>
    <row r="537" spans="4:38">
      <c r="D537" s="15">
        <v>46287</v>
      </c>
      <c r="V537" s="15">
        <v>46287</v>
      </c>
      <c r="AL537" s="15">
        <v>46287</v>
      </c>
    </row>
    <row r="538" spans="4:38">
      <c r="D538" s="15">
        <v>46288</v>
      </c>
      <c r="V538" s="15">
        <v>46288</v>
      </c>
      <c r="AL538" s="15">
        <v>46288</v>
      </c>
    </row>
    <row r="539" spans="4:38">
      <c r="D539" s="15">
        <v>46289</v>
      </c>
      <c r="V539" s="15">
        <v>46289</v>
      </c>
      <c r="AL539" s="15">
        <v>46289</v>
      </c>
    </row>
    <row r="540" spans="4:38">
      <c r="D540" s="15">
        <v>46290</v>
      </c>
      <c r="V540" s="15">
        <v>46290</v>
      </c>
      <c r="AL540" s="15">
        <v>46290</v>
      </c>
    </row>
    <row r="541" spans="4:38">
      <c r="D541" s="15">
        <v>46291</v>
      </c>
      <c r="V541" s="15">
        <v>46291</v>
      </c>
      <c r="AL541" s="15">
        <v>46291</v>
      </c>
    </row>
    <row r="542" spans="4:38">
      <c r="D542" s="15">
        <v>46292</v>
      </c>
      <c r="V542" s="15">
        <v>46292</v>
      </c>
      <c r="AL542" s="15">
        <v>46292</v>
      </c>
    </row>
    <row r="543" spans="4:38">
      <c r="D543" s="15">
        <v>46293</v>
      </c>
      <c r="V543" s="15">
        <v>46293</v>
      </c>
      <c r="AL543" s="15">
        <v>46293</v>
      </c>
    </row>
    <row r="544" spans="4:38">
      <c r="D544" s="15">
        <v>46294</v>
      </c>
      <c r="V544" s="15">
        <v>46294</v>
      </c>
      <c r="AL544" s="15">
        <v>46294</v>
      </c>
    </row>
    <row r="545" spans="4:38">
      <c r="D545" s="15">
        <v>46295</v>
      </c>
      <c r="V545" s="15">
        <v>46295</v>
      </c>
      <c r="AL545" s="15">
        <v>46295</v>
      </c>
    </row>
    <row r="546" spans="4:38">
      <c r="D546" s="15">
        <v>46296</v>
      </c>
      <c r="V546" s="15">
        <v>46296</v>
      </c>
      <c r="AL546" s="15">
        <v>46296</v>
      </c>
    </row>
    <row r="547" spans="4:38">
      <c r="D547" s="15">
        <v>46297</v>
      </c>
      <c r="V547" s="15">
        <v>46297</v>
      </c>
      <c r="AL547" s="15">
        <v>46297</v>
      </c>
    </row>
    <row r="548" spans="4:38">
      <c r="D548" s="15">
        <v>46298</v>
      </c>
      <c r="V548" s="15">
        <v>46298</v>
      </c>
      <c r="AL548" s="15">
        <v>46298</v>
      </c>
    </row>
    <row r="549" spans="4:38">
      <c r="D549" s="15">
        <v>46299</v>
      </c>
      <c r="V549" s="15">
        <v>46299</v>
      </c>
      <c r="AL549" s="15">
        <v>46299</v>
      </c>
    </row>
    <row r="550" spans="4:38">
      <c r="D550" s="15">
        <v>46300</v>
      </c>
      <c r="V550" s="15">
        <v>46300</v>
      </c>
      <c r="AL550" s="15">
        <v>46300</v>
      </c>
    </row>
    <row r="551" spans="4:38">
      <c r="D551" s="15">
        <v>46301</v>
      </c>
      <c r="V551" s="15">
        <v>46301</v>
      </c>
      <c r="AL551" s="15">
        <v>46301</v>
      </c>
    </row>
    <row r="552" spans="4:38">
      <c r="D552" s="15">
        <v>46302</v>
      </c>
      <c r="V552" s="15">
        <v>46302</v>
      </c>
      <c r="AL552" s="15">
        <v>46302</v>
      </c>
    </row>
    <row r="553" spans="4:38">
      <c r="D553" s="15">
        <v>46303</v>
      </c>
      <c r="V553" s="15">
        <v>46303</v>
      </c>
      <c r="AL553" s="15">
        <v>46303</v>
      </c>
    </row>
    <row r="554" spans="4:38">
      <c r="D554" s="15">
        <v>46304</v>
      </c>
      <c r="V554" s="15">
        <v>46304</v>
      </c>
      <c r="AL554" s="15">
        <v>46304</v>
      </c>
    </row>
    <row r="555" spans="4:38">
      <c r="D555" s="15">
        <v>46305</v>
      </c>
      <c r="V555" s="15">
        <v>46305</v>
      </c>
      <c r="AL555" s="15">
        <v>46305</v>
      </c>
    </row>
    <row r="556" spans="4:38">
      <c r="D556" s="15">
        <v>46306</v>
      </c>
      <c r="V556" s="15">
        <v>46306</v>
      </c>
      <c r="AL556" s="15">
        <v>46306</v>
      </c>
    </row>
    <row r="557" spans="4:38">
      <c r="D557" s="15">
        <v>46307</v>
      </c>
      <c r="V557" s="15">
        <v>46307</v>
      </c>
      <c r="AL557" s="15">
        <v>46307</v>
      </c>
    </row>
    <row r="558" spans="4:38">
      <c r="D558" s="15">
        <v>46308</v>
      </c>
      <c r="V558" s="15">
        <v>46308</v>
      </c>
      <c r="AL558" s="15">
        <v>46308</v>
      </c>
    </row>
    <row r="559" spans="4:38">
      <c r="D559" s="15">
        <v>46309</v>
      </c>
      <c r="V559" s="15">
        <v>46309</v>
      </c>
      <c r="AL559" s="15">
        <v>46309</v>
      </c>
    </row>
    <row r="560" spans="4:38">
      <c r="D560" s="15">
        <v>46310</v>
      </c>
      <c r="V560" s="15">
        <v>46310</v>
      </c>
      <c r="AL560" s="15">
        <v>46310</v>
      </c>
    </row>
    <row r="561" spans="4:38">
      <c r="D561" s="15">
        <v>46311</v>
      </c>
      <c r="V561" s="15">
        <v>46311</v>
      </c>
      <c r="AL561" s="15">
        <v>46311</v>
      </c>
    </row>
    <row r="562" spans="4:38">
      <c r="D562" s="15">
        <v>46312</v>
      </c>
      <c r="V562" s="15">
        <v>46312</v>
      </c>
      <c r="AL562" s="15">
        <v>46312</v>
      </c>
    </row>
    <row r="563" spans="4:38">
      <c r="D563" s="15">
        <v>46313</v>
      </c>
      <c r="V563" s="15">
        <v>46313</v>
      </c>
      <c r="AL563" s="15">
        <v>46313</v>
      </c>
    </row>
    <row r="564" spans="4:38">
      <c r="D564" s="15">
        <v>46314</v>
      </c>
      <c r="V564" s="15">
        <v>46314</v>
      </c>
      <c r="AL564" s="15">
        <v>46314</v>
      </c>
    </row>
    <row r="565" spans="4:38">
      <c r="D565" s="15">
        <v>46315</v>
      </c>
      <c r="V565" s="15">
        <v>46315</v>
      </c>
      <c r="AL565" s="15">
        <v>46315</v>
      </c>
    </row>
    <row r="566" spans="4:38">
      <c r="D566" s="15">
        <v>46316</v>
      </c>
      <c r="V566" s="15">
        <v>46316</v>
      </c>
      <c r="AL566" s="15">
        <v>46316</v>
      </c>
    </row>
    <row r="567" spans="4:38">
      <c r="D567" s="15">
        <v>46317</v>
      </c>
      <c r="V567" s="15">
        <v>46317</v>
      </c>
      <c r="AL567" s="15">
        <v>46317</v>
      </c>
    </row>
    <row r="568" spans="4:38">
      <c r="D568" s="15">
        <v>46318</v>
      </c>
      <c r="V568" s="15">
        <v>46318</v>
      </c>
      <c r="AL568" s="15">
        <v>46318</v>
      </c>
    </row>
    <row r="569" spans="4:38">
      <c r="D569" s="15">
        <v>46319</v>
      </c>
      <c r="V569" s="15">
        <v>46319</v>
      </c>
      <c r="AL569" s="15">
        <v>46319</v>
      </c>
    </row>
    <row r="570" spans="4:38">
      <c r="D570" s="15">
        <v>46320</v>
      </c>
      <c r="V570" s="15">
        <v>46320</v>
      </c>
      <c r="AL570" s="15">
        <v>46320</v>
      </c>
    </row>
    <row r="571" spans="4:38">
      <c r="D571" s="15">
        <v>46321</v>
      </c>
      <c r="V571" s="15">
        <v>46321</v>
      </c>
      <c r="AL571" s="15">
        <v>46321</v>
      </c>
    </row>
    <row r="572" spans="4:38">
      <c r="D572" s="15">
        <v>46322</v>
      </c>
      <c r="V572" s="15">
        <v>46322</v>
      </c>
      <c r="AL572" s="15">
        <v>46322</v>
      </c>
    </row>
    <row r="573" spans="4:38">
      <c r="D573" s="15">
        <v>46323</v>
      </c>
      <c r="V573" s="15">
        <v>46323</v>
      </c>
      <c r="AL573" s="15">
        <v>46323</v>
      </c>
    </row>
    <row r="574" spans="4:38">
      <c r="D574" s="15">
        <v>46324</v>
      </c>
      <c r="V574" s="15">
        <v>46324</v>
      </c>
      <c r="AL574" s="15">
        <v>46324</v>
      </c>
    </row>
    <row r="575" spans="4:38">
      <c r="D575" s="15">
        <v>46325</v>
      </c>
      <c r="V575" s="15">
        <v>46325</v>
      </c>
      <c r="AL575" s="15">
        <v>46325</v>
      </c>
    </row>
    <row r="576" spans="4:38">
      <c r="D576" s="15">
        <v>46326</v>
      </c>
      <c r="V576" s="15">
        <v>46326</v>
      </c>
      <c r="AL576" s="15">
        <v>46326</v>
      </c>
    </row>
    <row r="577" spans="4:38">
      <c r="D577" s="15">
        <v>46327</v>
      </c>
      <c r="V577" s="15">
        <v>46327</v>
      </c>
      <c r="AL577" s="15">
        <v>46327</v>
      </c>
    </row>
    <row r="578" spans="4:38">
      <c r="D578" s="15">
        <v>46328</v>
      </c>
      <c r="V578" s="15">
        <v>46328</v>
      </c>
      <c r="AL578" s="15">
        <v>46328</v>
      </c>
    </row>
    <row r="579" spans="4:38">
      <c r="D579" s="15">
        <v>46329</v>
      </c>
      <c r="V579" s="15">
        <v>46329</v>
      </c>
      <c r="AL579" s="15">
        <v>46329</v>
      </c>
    </row>
    <row r="580" spans="4:38">
      <c r="D580" s="15">
        <v>46330</v>
      </c>
      <c r="V580" s="15">
        <v>46330</v>
      </c>
      <c r="AL580" s="15">
        <v>46330</v>
      </c>
    </row>
    <row r="581" spans="4:38">
      <c r="D581" s="15">
        <v>46331</v>
      </c>
      <c r="V581" s="15">
        <v>46331</v>
      </c>
      <c r="AL581" s="15">
        <v>46331</v>
      </c>
    </row>
    <row r="582" spans="4:38">
      <c r="D582" s="15">
        <v>46332</v>
      </c>
      <c r="V582" s="15">
        <v>46332</v>
      </c>
      <c r="AL582" s="15">
        <v>46332</v>
      </c>
    </row>
    <row r="583" spans="4:38">
      <c r="D583" s="15">
        <v>46333</v>
      </c>
      <c r="V583" s="15">
        <v>46333</v>
      </c>
      <c r="AL583" s="15">
        <v>46333</v>
      </c>
    </row>
    <row r="584" spans="4:38">
      <c r="D584" s="15">
        <v>46334</v>
      </c>
      <c r="V584" s="15">
        <v>46334</v>
      </c>
      <c r="AL584" s="15">
        <v>46334</v>
      </c>
    </row>
    <row r="585" spans="4:38">
      <c r="D585" s="15">
        <v>46335</v>
      </c>
      <c r="V585" s="15">
        <v>46335</v>
      </c>
      <c r="AL585" s="15">
        <v>46335</v>
      </c>
    </row>
    <row r="586" spans="4:38">
      <c r="D586" s="15">
        <v>46336</v>
      </c>
      <c r="V586" s="15">
        <v>46336</v>
      </c>
      <c r="AL586" s="15">
        <v>46336</v>
      </c>
    </row>
    <row r="587" spans="4:38">
      <c r="D587" s="15">
        <v>46337</v>
      </c>
      <c r="V587" s="15">
        <v>46337</v>
      </c>
      <c r="AL587" s="15">
        <v>46337</v>
      </c>
    </row>
    <row r="588" spans="4:38">
      <c r="D588" s="15">
        <v>46338</v>
      </c>
      <c r="V588" s="15">
        <v>46338</v>
      </c>
      <c r="AL588" s="15">
        <v>46338</v>
      </c>
    </row>
    <row r="589" spans="4:38">
      <c r="D589" s="15">
        <v>46339</v>
      </c>
      <c r="V589" s="15">
        <v>46339</v>
      </c>
      <c r="AL589" s="15">
        <v>46339</v>
      </c>
    </row>
    <row r="590" spans="4:38">
      <c r="D590" s="15">
        <v>46340</v>
      </c>
      <c r="V590" s="15">
        <v>46340</v>
      </c>
      <c r="AL590" s="15">
        <v>46340</v>
      </c>
    </row>
    <row r="591" spans="4:38">
      <c r="D591" s="15">
        <v>46341</v>
      </c>
      <c r="V591" s="15">
        <v>46341</v>
      </c>
      <c r="AL591" s="15">
        <v>46341</v>
      </c>
    </row>
    <row r="592" spans="4:38">
      <c r="D592" s="15">
        <v>46342</v>
      </c>
      <c r="V592" s="15">
        <v>46342</v>
      </c>
      <c r="AL592" s="15">
        <v>46342</v>
      </c>
    </row>
    <row r="593" spans="4:38">
      <c r="D593" s="15">
        <v>46343</v>
      </c>
      <c r="V593" s="15">
        <v>46343</v>
      </c>
      <c r="AL593" s="15">
        <v>46343</v>
      </c>
    </row>
    <row r="594" spans="4:38">
      <c r="D594" s="15">
        <v>46344</v>
      </c>
      <c r="V594" s="15">
        <v>46344</v>
      </c>
      <c r="AL594" s="15">
        <v>46344</v>
      </c>
    </row>
    <row r="595" spans="4:38">
      <c r="D595" s="15">
        <v>46345</v>
      </c>
      <c r="V595" s="15">
        <v>46345</v>
      </c>
      <c r="AL595" s="15">
        <v>46345</v>
      </c>
    </row>
    <row r="596" spans="4:38">
      <c r="D596" s="15">
        <v>46346</v>
      </c>
      <c r="V596" s="15">
        <v>46346</v>
      </c>
      <c r="AL596" s="15">
        <v>46346</v>
      </c>
    </row>
    <row r="597" spans="4:38">
      <c r="D597" s="15">
        <v>46347</v>
      </c>
      <c r="V597" s="15">
        <v>46347</v>
      </c>
      <c r="AL597" s="15">
        <v>46347</v>
      </c>
    </row>
    <row r="598" spans="4:38">
      <c r="D598" s="15">
        <v>46348</v>
      </c>
      <c r="V598" s="15">
        <v>46348</v>
      </c>
      <c r="AL598" s="15">
        <v>46348</v>
      </c>
    </row>
    <row r="599" spans="4:38">
      <c r="D599" s="15">
        <v>46349</v>
      </c>
      <c r="V599" s="15">
        <v>46349</v>
      </c>
      <c r="AL599" s="15">
        <v>46349</v>
      </c>
    </row>
    <row r="600" spans="4:38">
      <c r="D600" s="15">
        <v>46350</v>
      </c>
      <c r="V600" s="15">
        <v>46350</v>
      </c>
      <c r="AL600" s="15">
        <v>46350</v>
      </c>
    </row>
    <row r="601" spans="4:38">
      <c r="D601" s="15">
        <v>46351</v>
      </c>
      <c r="V601" s="15">
        <v>46351</v>
      </c>
      <c r="AL601" s="15">
        <v>46351</v>
      </c>
    </row>
    <row r="602" spans="4:38">
      <c r="D602" s="15">
        <v>46352</v>
      </c>
      <c r="V602" s="15">
        <v>46352</v>
      </c>
      <c r="AL602" s="15">
        <v>46352</v>
      </c>
    </row>
    <row r="603" spans="4:38">
      <c r="D603" s="15">
        <v>46353</v>
      </c>
      <c r="V603" s="15">
        <v>46353</v>
      </c>
      <c r="AL603" s="15">
        <v>46353</v>
      </c>
    </row>
    <row r="604" spans="4:38">
      <c r="D604" s="15">
        <v>46354</v>
      </c>
      <c r="V604" s="15">
        <v>46354</v>
      </c>
      <c r="AL604" s="15">
        <v>46354</v>
      </c>
    </row>
    <row r="605" spans="4:38">
      <c r="D605" s="15">
        <v>46355</v>
      </c>
      <c r="V605" s="15">
        <v>46355</v>
      </c>
      <c r="AL605" s="15">
        <v>46355</v>
      </c>
    </row>
    <row r="606" spans="4:38">
      <c r="D606" s="15">
        <v>46356</v>
      </c>
      <c r="V606" s="15">
        <v>46356</v>
      </c>
      <c r="AL606" s="15">
        <v>46356</v>
      </c>
    </row>
    <row r="607" spans="4:38">
      <c r="D607" s="15">
        <v>46357</v>
      </c>
      <c r="V607" s="15">
        <v>46357</v>
      </c>
      <c r="AL607" s="15">
        <v>46357</v>
      </c>
    </row>
    <row r="608" spans="4:38">
      <c r="D608" s="15">
        <v>46358</v>
      </c>
      <c r="V608" s="15">
        <v>46358</v>
      </c>
      <c r="AL608" s="15">
        <v>46358</v>
      </c>
    </row>
    <row r="609" spans="4:38">
      <c r="D609" s="15">
        <v>46359</v>
      </c>
      <c r="V609" s="15">
        <v>46359</v>
      </c>
      <c r="AL609" s="15">
        <v>46359</v>
      </c>
    </row>
    <row r="610" spans="4:38">
      <c r="D610" s="15">
        <v>46360</v>
      </c>
      <c r="V610" s="15">
        <v>46360</v>
      </c>
      <c r="AL610" s="15">
        <v>46360</v>
      </c>
    </row>
    <row r="611" spans="4:38">
      <c r="D611" s="15">
        <v>46361</v>
      </c>
      <c r="V611" s="15">
        <v>46361</v>
      </c>
      <c r="AL611" s="15">
        <v>46361</v>
      </c>
    </row>
    <row r="612" spans="4:38">
      <c r="D612" s="15">
        <v>46362</v>
      </c>
      <c r="V612" s="15">
        <v>46362</v>
      </c>
      <c r="AL612" s="15">
        <v>46362</v>
      </c>
    </row>
    <row r="613" spans="4:38">
      <c r="D613" s="15">
        <v>46363</v>
      </c>
      <c r="V613" s="15">
        <v>46363</v>
      </c>
      <c r="AL613" s="15">
        <v>46363</v>
      </c>
    </row>
    <row r="614" spans="4:38">
      <c r="D614" s="15">
        <v>46364</v>
      </c>
      <c r="V614" s="15">
        <v>46364</v>
      </c>
      <c r="AL614" s="15">
        <v>46364</v>
      </c>
    </row>
    <row r="615" spans="4:38">
      <c r="D615" s="15">
        <v>46365</v>
      </c>
      <c r="V615" s="15">
        <v>46365</v>
      </c>
      <c r="AL615" s="15">
        <v>46365</v>
      </c>
    </row>
    <row r="616" spans="4:38">
      <c r="D616" s="15">
        <v>46366</v>
      </c>
      <c r="V616" s="15">
        <v>46366</v>
      </c>
      <c r="AL616" s="15">
        <v>46366</v>
      </c>
    </row>
    <row r="617" spans="4:38">
      <c r="D617" s="15">
        <v>46367</v>
      </c>
      <c r="V617" s="15">
        <v>46367</v>
      </c>
      <c r="AL617" s="15">
        <v>46367</v>
      </c>
    </row>
    <row r="618" spans="4:38">
      <c r="D618" s="15">
        <v>46368</v>
      </c>
      <c r="V618" s="15">
        <v>46368</v>
      </c>
      <c r="AL618" s="15">
        <v>46368</v>
      </c>
    </row>
    <row r="619" spans="4:38">
      <c r="D619" s="15">
        <v>46369</v>
      </c>
      <c r="V619" s="15">
        <v>46369</v>
      </c>
      <c r="AL619" s="15">
        <v>46369</v>
      </c>
    </row>
    <row r="620" spans="4:38">
      <c r="D620" s="15">
        <v>46370</v>
      </c>
      <c r="V620" s="15">
        <v>46370</v>
      </c>
      <c r="AL620" s="15">
        <v>46370</v>
      </c>
    </row>
    <row r="621" spans="4:38">
      <c r="D621" s="15">
        <v>46371</v>
      </c>
      <c r="V621" s="15">
        <v>46371</v>
      </c>
      <c r="AL621" s="15">
        <v>46371</v>
      </c>
    </row>
    <row r="622" spans="4:38">
      <c r="D622" s="15">
        <v>46372</v>
      </c>
      <c r="V622" s="15">
        <v>46372</v>
      </c>
      <c r="AL622" s="15">
        <v>46372</v>
      </c>
    </row>
    <row r="623" spans="4:38">
      <c r="D623" s="15">
        <v>46373</v>
      </c>
      <c r="V623" s="15">
        <v>46373</v>
      </c>
      <c r="AL623" s="15">
        <v>46373</v>
      </c>
    </row>
    <row r="624" spans="4:38">
      <c r="D624" s="15">
        <v>46374</v>
      </c>
      <c r="V624" s="15">
        <v>46374</v>
      </c>
      <c r="AL624" s="15">
        <v>46374</v>
      </c>
    </row>
    <row r="625" spans="4:38">
      <c r="D625" s="15">
        <v>46375</v>
      </c>
      <c r="V625" s="15">
        <v>46375</v>
      </c>
      <c r="AL625" s="15">
        <v>46375</v>
      </c>
    </row>
    <row r="626" spans="4:38">
      <c r="D626" s="15">
        <v>46376</v>
      </c>
      <c r="V626" s="15">
        <v>46376</v>
      </c>
      <c r="AL626" s="15">
        <v>46376</v>
      </c>
    </row>
    <row r="627" spans="4:38">
      <c r="D627" s="15">
        <v>46377</v>
      </c>
      <c r="V627" s="15">
        <v>46377</v>
      </c>
      <c r="AL627" s="15">
        <v>46377</v>
      </c>
    </row>
    <row r="628" spans="4:38">
      <c r="D628" s="15">
        <v>46378</v>
      </c>
      <c r="V628" s="15">
        <v>46378</v>
      </c>
      <c r="AL628" s="15">
        <v>46378</v>
      </c>
    </row>
    <row r="629" spans="4:38">
      <c r="D629" s="15">
        <v>46379</v>
      </c>
      <c r="V629" s="15">
        <v>46379</v>
      </c>
      <c r="AL629" s="15">
        <v>46379</v>
      </c>
    </row>
    <row r="630" spans="4:38">
      <c r="D630" s="15">
        <v>46380</v>
      </c>
      <c r="V630" s="15">
        <v>46380</v>
      </c>
      <c r="AL630" s="15">
        <v>46380</v>
      </c>
    </row>
    <row r="631" spans="4:38">
      <c r="D631" s="15">
        <v>46381</v>
      </c>
      <c r="V631" s="15">
        <v>46381</v>
      </c>
      <c r="AL631" s="15">
        <v>46381</v>
      </c>
    </row>
    <row r="632" spans="4:38">
      <c r="D632" s="15">
        <v>46382</v>
      </c>
      <c r="V632" s="15">
        <v>46382</v>
      </c>
      <c r="AL632" s="15">
        <v>46382</v>
      </c>
    </row>
    <row r="633" spans="4:38">
      <c r="D633" s="15">
        <v>46383</v>
      </c>
      <c r="V633" s="15">
        <v>46383</v>
      </c>
      <c r="AL633" s="15">
        <v>46383</v>
      </c>
    </row>
    <row r="634" spans="4:38">
      <c r="D634" s="15">
        <v>46384</v>
      </c>
      <c r="V634" s="15">
        <v>46384</v>
      </c>
      <c r="AL634" s="15">
        <v>46384</v>
      </c>
    </row>
    <row r="635" spans="4:38">
      <c r="D635" s="15">
        <v>46385</v>
      </c>
      <c r="V635" s="15">
        <v>46385</v>
      </c>
      <c r="AL635" s="15">
        <v>46385</v>
      </c>
    </row>
    <row r="636" spans="4:38">
      <c r="D636" s="15">
        <v>46386</v>
      </c>
      <c r="V636" s="15">
        <v>46386</v>
      </c>
      <c r="AL636" s="15">
        <v>46386</v>
      </c>
    </row>
    <row r="637" spans="4:38">
      <c r="D637" s="15">
        <v>46387</v>
      </c>
      <c r="V637" s="15">
        <v>46387</v>
      </c>
      <c r="AL637" s="15">
        <v>46387</v>
      </c>
    </row>
  </sheetData>
  <mergeCells count="210">
    <mergeCell ref="AA473:AA479"/>
    <mergeCell ref="AA480:AA486"/>
    <mergeCell ref="AA487:AA493"/>
    <mergeCell ref="AA438:AA444"/>
    <mergeCell ref="AA445:AA451"/>
    <mergeCell ref="AA452:AA458"/>
    <mergeCell ref="AA459:AA465"/>
    <mergeCell ref="AA466:AA472"/>
    <mergeCell ref="AA403:AA409"/>
    <mergeCell ref="AA410:AA416"/>
    <mergeCell ref="AA417:AA423"/>
    <mergeCell ref="AA424:AA430"/>
    <mergeCell ref="AA431:AA437"/>
    <mergeCell ref="AA368:AA374"/>
    <mergeCell ref="AA375:AA381"/>
    <mergeCell ref="AA382:AA388"/>
    <mergeCell ref="AA389:AA395"/>
    <mergeCell ref="AA396:AA402"/>
    <mergeCell ref="AA333:AA339"/>
    <mergeCell ref="AA340:AA346"/>
    <mergeCell ref="AA347:AA353"/>
    <mergeCell ref="AA354:AA360"/>
    <mergeCell ref="AA361:AA367"/>
    <mergeCell ref="I487:I493"/>
    <mergeCell ref="AA228:AA234"/>
    <mergeCell ref="AA235:AA241"/>
    <mergeCell ref="AA242:AA248"/>
    <mergeCell ref="AA249:AA255"/>
    <mergeCell ref="AA256:AA262"/>
    <mergeCell ref="AA263:AA269"/>
    <mergeCell ref="AA270:AA276"/>
    <mergeCell ref="AA277:AA283"/>
    <mergeCell ref="AA284:AA290"/>
    <mergeCell ref="AA291:AA297"/>
    <mergeCell ref="AA298:AA304"/>
    <mergeCell ref="AA305:AA311"/>
    <mergeCell ref="AA312:AA318"/>
    <mergeCell ref="AA319:AA325"/>
    <mergeCell ref="AA326:AA332"/>
    <mergeCell ref="I452:I458"/>
    <mergeCell ref="I459:I465"/>
    <mergeCell ref="I466:I472"/>
    <mergeCell ref="I473:I479"/>
    <mergeCell ref="I480:I486"/>
    <mergeCell ref="I417:I423"/>
    <mergeCell ref="I424:I430"/>
    <mergeCell ref="I431:I437"/>
    <mergeCell ref="I438:I444"/>
    <mergeCell ref="I445:I451"/>
    <mergeCell ref="I382:I388"/>
    <mergeCell ref="I389:I395"/>
    <mergeCell ref="I396:I402"/>
    <mergeCell ref="I403:I409"/>
    <mergeCell ref="I410:I416"/>
    <mergeCell ref="I347:I353"/>
    <mergeCell ref="I354:I360"/>
    <mergeCell ref="I361:I367"/>
    <mergeCell ref="I368:I374"/>
    <mergeCell ref="I375:I381"/>
    <mergeCell ref="AQ473:AQ479"/>
    <mergeCell ref="AQ480:AQ486"/>
    <mergeCell ref="AQ487:AQ493"/>
    <mergeCell ref="I256:I262"/>
    <mergeCell ref="I263:I269"/>
    <mergeCell ref="I270:I276"/>
    <mergeCell ref="I277:I283"/>
    <mergeCell ref="I284:I290"/>
    <mergeCell ref="I291:I297"/>
    <mergeCell ref="I298:I304"/>
    <mergeCell ref="I305:I311"/>
    <mergeCell ref="I312:I318"/>
    <mergeCell ref="I319:I325"/>
    <mergeCell ref="I326:I332"/>
    <mergeCell ref="I333:I339"/>
    <mergeCell ref="I340:I346"/>
    <mergeCell ref="AQ438:AQ444"/>
    <mergeCell ref="AQ445:AQ451"/>
    <mergeCell ref="AQ452:AQ458"/>
    <mergeCell ref="AQ459:AQ465"/>
    <mergeCell ref="AQ466:AQ472"/>
    <mergeCell ref="AQ403:AQ409"/>
    <mergeCell ref="AQ410:AQ416"/>
    <mergeCell ref="AQ417:AQ423"/>
    <mergeCell ref="AQ424:AQ430"/>
    <mergeCell ref="AQ431:AQ437"/>
    <mergeCell ref="AQ368:AQ374"/>
    <mergeCell ref="AQ375:AQ381"/>
    <mergeCell ref="AQ382:AQ388"/>
    <mergeCell ref="AQ389:AQ395"/>
    <mergeCell ref="AQ396:AQ402"/>
    <mergeCell ref="AQ333:AQ339"/>
    <mergeCell ref="AQ340:AQ346"/>
    <mergeCell ref="AQ347:AQ353"/>
    <mergeCell ref="AQ354:AQ360"/>
    <mergeCell ref="AQ361:AQ367"/>
    <mergeCell ref="AQ298:AQ304"/>
    <mergeCell ref="AQ305:AQ311"/>
    <mergeCell ref="AQ312:AQ318"/>
    <mergeCell ref="AQ319:AQ325"/>
    <mergeCell ref="AQ326:AQ332"/>
    <mergeCell ref="AQ263:AQ269"/>
    <mergeCell ref="AQ270:AQ276"/>
    <mergeCell ref="AQ277:AQ283"/>
    <mergeCell ref="AQ284:AQ290"/>
    <mergeCell ref="AQ291:AQ297"/>
    <mergeCell ref="AQ256:AQ262"/>
    <mergeCell ref="I165:I171"/>
    <mergeCell ref="I172:I178"/>
    <mergeCell ref="I179:I185"/>
    <mergeCell ref="I186:I192"/>
    <mergeCell ref="I193:I199"/>
    <mergeCell ref="AA165:AA171"/>
    <mergeCell ref="AA172:AA178"/>
    <mergeCell ref="AA179:AA185"/>
    <mergeCell ref="AA186:AA192"/>
    <mergeCell ref="AA193:AA199"/>
    <mergeCell ref="AQ165:AQ171"/>
    <mergeCell ref="AQ172:AQ178"/>
    <mergeCell ref="AQ179:AQ185"/>
    <mergeCell ref="I235:I241"/>
    <mergeCell ref="I242:I248"/>
    <mergeCell ref="I249:I255"/>
    <mergeCell ref="I228:I234"/>
    <mergeCell ref="AA214:AA220"/>
    <mergeCell ref="AQ214:AQ220"/>
    <mergeCell ref="AA200:AA206"/>
    <mergeCell ref="AA207:AA213"/>
    <mergeCell ref="I130:I136"/>
    <mergeCell ref="I137:I143"/>
    <mergeCell ref="I144:I150"/>
    <mergeCell ref="I151:I157"/>
    <mergeCell ref="I158:I164"/>
    <mergeCell ref="AQ228:AQ234"/>
    <mergeCell ref="AQ235:AQ241"/>
    <mergeCell ref="AQ242:AQ248"/>
    <mergeCell ref="AQ249:AQ255"/>
    <mergeCell ref="AQ130:AQ136"/>
    <mergeCell ref="AQ137:AQ143"/>
    <mergeCell ref="AQ144:AQ150"/>
    <mergeCell ref="AQ151:AQ157"/>
    <mergeCell ref="AQ158:AQ164"/>
    <mergeCell ref="AQ221:AQ227"/>
    <mergeCell ref="I200:I206"/>
    <mergeCell ref="I207:I213"/>
    <mergeCell ref="AA221:AA227"/>
    <mergeCell ref="I221:I227"/>
    <mergeCell ref="AQ186:AQ192"/>
    <mergeCell ref="AQ193:AQ199"/>
    <mergeCell ref="AQ200:AQ206"/>
    <mergeCell ref="AQ207:AQ213"/>
    <mergeCell ref="I214:I220"/>
    <mergeCell ref="AA60:AA66"/>
    <mergeCell ref="AA67:AA73"/>
    <mergeCell ref="AA74:AA80"/>
    <mergeCell ref="AQ46:AQ52"/>
    <mergeCell ref="AQ53:AQ59"/>
    <mergeCell ref="AQ60:AQ66"/>
    <mergeCell ref="AQ67:AQ73"/>
    <mergeCell ref="AQ74:AQ80"/>
    <mergeCell ref="I116:I122"/>
    <mergeCell ref="AQ116:AQ122"/>
    <mergeCell ref="AQ109:AQ115"/>
    <mergeCell ref="I53:I59"/>
    <mergeCell ref="I60:I66"/>
    <mergeCell ref="I102:I108"/>
    <mergeCell ref="I88:I94"/>
    <mergeCell ref="I95:I101"/>
    <mergeCell ref="I74:I80"/>
    <mergeCell ref="I81:I87"/>
    <mergeCell ref="I67:I73"/>
    <mergeCell ref="I109:I115"/>
    <mergeCell ref="AA109:AA115"/>
    <mergeCell ref="AA116:AA122"/>
    <mergeCell ref="AA81:AA87"/>
    <mergeCell ref="AQ88:AQ94"/>
    <mergeCell ref="I32:I38"/>
    <mergeCell ref="I39:I45"/>
    <mergeCell ref="I46:I52"/>
    <mergeCell ref="I16:I17"/>
    <mergeCell ref="I18:I24"/>
    <mergeCell ref="AA16:AA17"/>
    <mergeCell ref="AA18:AA24"/>
    <mergeCell ref="AA25:AA31"/>
    <mergeCell ref="AA32:AA38"/>
    <mergeCell ref="AA39:AA45"/>
    <mergeCell ref="N18:N24"/>
    <mergeCell ref="AA130:AA136"/>
    <mergeCell ref="AA137:AA143"/>
    <mergeCell ref="AA144:AA150"/>
    <mergeCell ref="AA151:AA157"/>
    <mergeCell ref="AA158:AA164"/>
    <mergeCell ref="I123:I129"/>
    <mergeCell ref="AA123:AA129"/>
    <mergeCell ref="AQ95:AQ101"/>
    <mergeCell ref="AT16:AT17"/>
    <mergeCell ref="AQ18:AQ24"/>
    <mergeCell ref="AQ25:AQ31"/>
    <mergeCell ref="AQ32:AQ38"/>
    <mergeCell ref="AQ39:AQ45"/>
    <mergeCell ref="AQ16:AQ17"/>
    <mergeCell ref="AA88:AA94"/>
    <mergeCell ref="AA95:AA101"/>
    <mergeCell ref="AA102:AA108"/>
    <mergeCell ref="AQ102:AQ108"/>
    <mergeCell ref="AA46:AA52"/>
    <mergeCell ref="AA53:AA59"/>
    <mergeCell ref="AQ81:AQ87"/>
    <mergeCell ref="AQ123:AQ129"/>
    <mergeCell ref="L16:L17"/>
    <mergeCell ref="I25:I31"/>
  </mergeCells>
  <phoneticPr fontId="2" type="noConversion"/>
  <conditionalFormatting sqref="E8 H13 H14:J14 E12:G14">
    <cfRule type="containsText" dxfId="738" priority="530" operator="containsText" text="Hold">
      <formula>NOT(ISERROR(SEARCH("Hold",E8)))</formula>
    </cfRule>
    <cfRule type="containsText" dxfId="737" priority="531" operator="containsText" text="Wait">
      <formula>NOT(ISERROR(SEARCH("Wait",E8)))</formula>
    </cfRule>
    <cfRule type="containsText" dxfId="736" priority="532" operator="containsText" text="Buy">
      <formula>NOT(ISERROR(SEARCH("Buy",E8)))</formula>
    </cfRule>
  </conditionalFormatting>
  <conditionalFormatting sqref="E11:G12">
    <cfRule type="cellIs" dxfId="735" priority="519" operator="equal">
      <formula>0</formula>
    </cfRule>
    <cfRule type="cellIs" dxfId="734" priority="520" operator="lessThan">
      <formula>-0.05</formula>
    </cfRule>
  </conditionalFormatting>
  <conditionalFormatting sqref="E8 H13 H14:J14 E12:G14">
    <cfRule type="containsText" dxfId="733" priority="529" operator="containsText" text="Sell">
      <formula>NOT(ISERROR(SEARCH("Sell",E8)))</formula>
    </cfRule>
  </conditionalFormatting>
  <conditionalFormatting sqref="G1 G14:G1048576 G6:G12">
    <cfRule type="cellIs" dxfId="732" priority="527" operator="equal">
      <formula>0</formula>
    </cfRule>
    <cfRule type="cellIs" dxfId="731" priority="528" operator="lessThan">
      <formula>-0.05</formula>
    </cfRule>
  </conditionalFormatting>
  <conditionalFormatting sqref="H17:H493">
    <cfRule type="cellIs" dxfId="730" priority="832" operator="lessThan">
      <formula>0</formula>
    </cfRule>
    <cfRule type="cellIs" dxfId="729" priority="833" operator="greaterThan">
      <formula>0</formula>
    </cfRule>
  </conditionalFormatting>
  <conditionalFormatting sqref="K18:N18 N25:N493">
    <cfRule type="cellIs" dxfId="728" priority="677" operator="lessThan">
      <formula>0</formula>
    </cfRule>
  </conditionalFormatting>
  <conditionalFormatting sqref="K15:O16 K18:N18 L25:N25 L32:N32 L39:N39 L46:N46 L53:N53 L60:N60 L67:N67 L74:N74 L81:N81 L88:N88 L95:N95 L102:N102 K17 L117:M129 K19:K185 L109:N109 L116:N116 O17:O185 K130:O1048576">
    <cfRule type="cellIs" dxfId="727" priority="830" operator="greaterThan">
      <formula>0</formula>
    </cfRule>
  </conditionalFormatting>
  <conditionalFormatting sqref="K15:O16 L25:N25 L32:N32 L39:N39 L46:N46 L53:N53 L60:N60 L67:N67 L74:N74 L81:N81 L88:N88 L95:N95 L102:N102 K17 L117:M129 K19:K185 L109:N109 L116:N116 O17:O185 K130:O1048576">
    <cfRule type="cellIs" dxfId="726" priority="831" operator="lessThan">
      <formula>0</formula>
    </cfRule>
  </conditionalFormatting>
  <conditionalFormatting sqref="N18 N25:N493">
    <cfRule type="containsText" dxfId="725" priority="673" operator="containsText" text="High">
      <formula>NOT(ISERROR(SEARCH("High",N18)))</formula>
    </cfRule>
    <cfRule type="containsText" dxfId="724" priority="674" operator="containsText" text="Medium">
      <formula>NOT(ISERROR(SEARCH("Medium",N18)))</formula>
    </cfRule>
    <cfRule type="containsText" dxfId="723" priority="675" operator="containsText" text="Low">
      <formula>NOT(ISERROR(SEARCH("Low",N18)))</formula>
    </cfRule>
    <cfRule type="cellIs" dxfId="722" priority="676" operator="greaterThan">
      <formula>0</formula>
    </cfRule>
  </conditionalFormatting>
  <conditionalFormatting sqref="N1:O1 AF1:AG1 M2:N12 AE2:AF12 Q13:Q14 AI13:AJ14 M15:N18 M19:M24 M25:N109 N109:N185 M116:N1048576 AE15:AF1048576">
    <cfRule type="cellIs" dxfId="721" priority="742" operator="between">
      <formula>0.02</formula>
      <formula>0.1</formula>
    </cfRule>
  </conditionalFormatting>
  <conditionalFormatting sqref="P1 O2:O12 R13:R14 O15:O1048576">
    <cfRule type="containsText" dxfId="720" priority="826" operator="containsText" text="Stable">
      <formula>NOT(ISERROR(SEARCH("Stable",O1)))</formula>
    </cfRule>
    <cfRule type="containsText" dxfId="719" priority="827" operator="containsText" text="Weak">
      <formula>NOT(ISERROR(SEARCH("Weak",O1)))</formula>
    </cfRule>
    <cfRule type="containsText" dxfId="718" priority="828" operator="containsText" text="Downtrend">
      <formula>NOT(ISERROR(SEARCH("Downtrend",O1)))</formula>
    </cfRule>
    <cfRule type="containsText" dxfId="717" priority="829" operator="containsText" text="Uptrend">
      <formula>NOT(ISERROR(SEARCH("Uptrend",O1)))</formula>
    </cfRule>
  </conditionalFormatting>
  <conditionalFormatting sqref="Y15:Y493">
    <cfRule type="cellIs" dxfId="716" priority="523" operator="equal">
      <formula>0</formula>
    </cfRule>
    <cfRule type="cellIs" dxfId="715" priority="524" operator="lessThan">
      <formula>-0.05</formula>
    </cfRule>
  </conditionalFormatting>
  <conditionalFormatting sqref="Z17:Z493">
    <cfRule type="cellIs" dxfId="714" priority="818" operator="lessThan">
      <formula>0</formula>
    </cfRule>
    <cfRule type="cellIs" dxfId="713" priority="819" operator="greaterThan">
      <formula>0</formula>
    </cfRule>
  </conditionalFormatting>
  <conditionalFormatting sqref="AC23:AC493">
    <cfRule type="cellIs" dxfId="712" priority="816" operator="greaterThan">
      <formula>0</formula>
    </cfRule>
    <cfRule type="cellIs" dxfId="711" priority="817" operator="lessThan">
      <formula>0</formula>
    </cfRule>
  </conditionalFormatting>
  <conditionalFormatting sqref="AC15:AG15">
    <cfRule type="cellIs" dxfId="710" priority="824" operator="greaterThan">
      <formula>0</formula>
    </cfRule>
    <cfRule type="cellIs" dxfId="709" priority="825" operator="lessThan">
      <formula>0</formula>
    </cfRule>
  </conditionalFormatting>
  <conditionalFormatting sqref="AD18:AF18 AF19:AF115">
    <cfRule type="cellIs" dxfId="708" priority="768" operator="greaterThan">
      <formula>0</formula>
    </cfRule>
    <cfRule type="cellIs" dxfId="707" priority="769" operator="lessThan">
      <formula>0</formula>
    </cfRule>
  </conditionalFormatting>
  <conditionalFormatting sqref="AD25:AF25">
    <cfRule type="cellIs" dxfId="706" priority="766" operator="greaterThan">
      <formula>0</formula>
    </cfRule>
    <cfRule type="cellIs" dxfId="705" priority="767" operator="lessThan">
      <formula>0</formula>
    </cfRule>
  </conditionalFormatting>
  <conditionalFormatting sqref="AD32:AF32">
    <cfRule type="cellIs" dxfId="704" priority="764" operator="greaterThan">
      <formula>0</formula>
    </cfRule>
    <cfRule type="cellIs" dxfId="703" priority="765" operator="lessThan">
      <formula>0</formula>
    </cfRule>
  </conditionalFormatting>
  <conditionalFormatting sqref="AD39:AF39">
    <cfRule type="cellIs" dxfId="702" priority="762" operator="greaterThan">
      <formula>0</formula>
    </cfRule>
    <cfRule type="cellIs" dxfId="701" priority="763" operator="lessThan">
      <formula>0</formula>
    </cfRule>
  </conditionalFormatting>
  <conditionalFormatting sqref="AD46:AF46">
    <cfRule type="cellIs" dxfId="700" priority="760" operator="greaterThan">
      <formula>0</formula>
    </cfRule>
    <cfRule type="cellIs" dxfId="699" priority="761" operator="lessThan">
      <formula>0</formula>
    </cfRule>
  </conditionalFormatting>
  <conditionalFormatting sqref="AD53:AF53">
    <cfRule type="cellIs" dxfId="698" priority="758" operator="greaterThan">
      <formula>0</formula>
    </cfRule>
    <cfRule type="cellIs" dxfId="697" priority="759" operator="lessThan">
      <formula>0</formula>
    </cfRule>
  </conditionalFormatting>
  <conditionalFormatting sqref="AD60:AF60">
    <cfRule type="cellIs" dxfId="696" priority="756" operator="greaterThan">
      <formula>0</formula>
    </cfRule>
    <cfRule type="cellIs" dxfId="695" priority="757" operator="lessThan">
      <formula>0</formula>
    </cfRule>
  </conditionalFormatting>
  <conditionalFormatting sqref="AD67:AF67">
    <cfRule type="cellIs" dxfId="694" priority="754" operator="greaterThan">
      <formula>0</formula>
    </cfRule>
    <cfRule type="cellIs" dxfId="693" priority="755" operator="lessThan">
      <formula>0</formula>
    </cfRule>
  </conditionalFormatting>
  <conditionalFormatting sqref="AD74:AF74">
    <cfRule type="cellIs" dxfId="692" priority="752" operator="greaterThan">
      <formula>0</formula>
    </cfRule>
    <cfRule type="cellIs" dxfId="691" priority="753" operator="lessThan">
      <formula>0</formula>
    </cfRule>
  </conditionalFormatting>
  <conditionalFormatting sqref="AD81:AF81">
    <cfRule type="cellIs" dxfId="690" priority="750" operator="greaterThan">
      <formula>0</formula>
    </cfRule>
    <cfRule type="cellIs" dxfId="689" priority="751" operator="lessThan">
      <formula>0</formula>
    </cfRule>
  </conditionalFormatting>
  <conditionalFormatting sqref="AD88:AF88">
    <cfRule type="cellIs" dxfId="688" priority="748" operator="greaterThan">
      <formula>0</formula>
    </cfRule>
    <cfRule type="cellIs" dxfId="687" priority="749" operator="lessThan">
      <formula>0</formula>
    </cfRule>
  </conditionalFormatting>
  <conditionalFormatting sqref="AD95:AF95">
    <cfRule type="cellIs" dxfId="686" priority="746" operator="greaterThan">
      <formula>0</formula>
    </cfRule>
    <cfRule type="cellIs" dxfId="685" priority="747" operator="lessThan">
      <formula>0</formula>
    </cfRule>
  </conditionalFormatting>
  <conditionalFormatting sqref="AD102:AF102">
    <cfRule type="cellIs" dxfId="684" priority="744" operator="greaterThan">
      <formula>0</formula>
    </cfRule>
    <cfRule type="cellIs" dxfId="683" priority="745" operator="lessThan">
      <formula>0</formula>
    </cfRule>
  </conditionalFormatting>
  <conditionalFormatting sqref="AD109:AF109">
    <cfRule type="cellIs" dxfId="682" priority="786" operator="greaterThan">
      <formula>0</formula>
    </cfRule>
    <cfRule type="cellIs" dxfId="681" priority="787" operator="lessThan">
      <formula>0</formula>
    </cfRule>
  </conditionalFormatting>
  <conditionalFormatting sqref="AE95">
    <cfRule type="cellIs" dxfId="680" priority="549" operator="greaterThan">
      <formula>0</formula>
    </cfRule>
    <cfRule type="cellIs" dxfId="679" priority="550" operator="lessThan">
      <formula>0</formula>
    </cfRule>
  </conditionalFormatting>
  <conditionalFormatting sqref="AE102">
    <cfRule type="cellIs" dxfId="678" priority="547" operator="greaterThan">
      <formula>0</formula>
    </cfRule>
    <cfRule type="cellIs" dxfId="677" priority="548" operator="lessThan">
      <formula>0</formula>
    </cfRule>
  </conditionalFormatting>
  <conditionalFormatting sqref="AF1:AG1 AE2:AF12 AI13:AJ14 M15:N18 N1:O1 M2:N12 Q13:Q14 M19:M24 M25:N109 N109:N185 M116:N1048576 AE15:AF1048576">
    <cfRule type="cellIs" dxfId="676" priority="741" operator="between">
      <formula>0.0001</formula>
      <formula>0.02</formula>
    </cfRule>
    <cfRule type="cellIs" dxfId="675" priority="743" operator="greaterThan">
      <formula>0.1</formula>
    </cfRule>
  </conditionalFormatting>
  <conditionalFormatting sqref="AG1 AF2:AF12 AJ13:AJ14 AF15:AF1048576">
    <cfRule type="containsText" dxfId="674" priority="738" operator="containsText" text="High">
      <formula>NOT(ISERROR(SEARCH("High",AF1)))</formula>
    </cfRule>
    <cfRule type="containsText" dxfId="673" priority="739" operator="containsText" text="Medium">
      <formula>NOT(ISERROR(SEARCH("Medium",AF1)))</formula>
    </cfRule>
    <cfRule type="containsText" dxfId="672" priority="740" operator="containsText" text="Low">
      <formula>NOT(ISERROR(SEARCH("Low",AF1)))</formula>
    </cfRule>
  </conditionalFormatting>
  <conditionalFormatting sqref="AG15:AG493">
    <cfRule type="containsText" dxfId="671" priority="780" operator="containsText" text="Stable">
      <formula>NOT(ISERROR(SEARCH("Stable",AG15)))</formula>
    </cfRule>
    <cfRule type="containsText" dxfId="670" priority="781" operator="containsText" text="Weak">
      <formula>NOT(ISERROR(SEARCH("Weak",AG15)))</formula>
    </cfRule>
    <cfRule type="containsText" dxfId="669" priority="782" operator="containsText" text="Downtrend">
      <formula>NOT(ISERROR(SEARCH("Downtrend",AG15)))</formula>
    </cfRule>
    <cfRule type="containsText" dxfId="668" priority="783" operator="containsText" text="Uptrend">
      <formula>NOT(ISERROR(SEARCH("Uptrend",AG15)))</formula>
    </cfRule>
  </conditionalFormatting>
  <conditionalFormatting sqref="AG16:AG493">
    <cfRule type="cellIs" dxfId="667" priority="784" operator="greaterThan">
      <formula>0</formula>
    </cfRule>
    <cfRule type="cellIs" dxfId="666" priority="785" operator="lessThan">
      <formula>0</formula>
    </cfRule>
  </conditionalFormatting>
  <conditionalFormatting sqref="AO16:AO493">
    <cfRule type="cellIs" dxfId="665" priority="521" operator="equal">
      <formula>0</formula>
    </cfRule>
    <cfRule type="cellIs" dxfId="664" priority="522" operator="lessThan">
      <formula>-0.05</formula>
    </cfRule>
  </conditionalFormatting>
  <conditionalFormatting sqref="AP17:AP493">
    <cfRule type="cellIs" dxfId="663" priority="778" operator="lessThan">
      <formula>0</formula>
    </cfRule>
    <cfRule type="cellIs" dxfId="662" priority="779" operator="greaterThan">
      <formula>0</formula>
    </cfRule>
  </conditionalFormatting>
  <conditionalFormatting sqref="AS18:AV18">
    <cfRule type="cellIs" dxfId="661" priority="671" operator="greaterThan">
      <formula>0</formula>
    </cfRule>
    <cfRule type="cellIs" dxfId="660" priority="672" operator="lessThan">
      <formula>0</formula>
    </cfRule>
  </conditionalFormatting>
  <conditionalFormatting sqref="AS15:AW16 AS17 AT116 AT123 AS19:AS493 AW17:AW493">
    <cfRule type="cellIs" dxfId="659" priority="776" operator="greaterThan">
      <formula>0</formula>
    </cfRule>
    <cfRule type="cellIs" dxfId="658" priority="777" operator="lessThan">
      <formula>0</formula>
    </cfRule>
  </conditionalFormatting>
  <conditionalFormatting sqref="AT95:AU95">
    <cfRule type="cellIs" dxfId="657" priority="545" operator="greaterThan">
      <formula>0</formula>
    </cfRule>
    <cfRule type="cellIs" dxfId="656" priority="546" operator="lessThan">
      <formula>0</formula>
    </cfRule>
  </conditionalFormatting>
  <conditionalFormatting sqref="AT102:AU102">
    <cfRule type="cellIs" dxfId="655" priority="540" operator="greaterThan">
      <formula>0</formula>
    </cfRule>
    <cfRule type="cellIs" dxfId="654" priority="541" operator="lessThan">
      <formula>0</formula>
    </cfRule>
  </conditionalFormatting>
  <conditionalFormatting sqref="AT25:AV25">
    <cfRule type="cellIs" dxfId="653" priority="653" operator="greaterThan">
      <formula>0</formula>
    </cfRule>
    <cfRule type="cellIs" dxfId="652" priority="654" operator="lessThan">
      <formula>0</formula>
    </cfRule>
  </conditionalFormatting>
  <conditionalFormatting sqref="AT32:AV32">
    <cfRule type="cellIs" dxfId="651" priority="645" operator="greaterThan">
      <formula>0</formula>
    </cfRule>
    <cfRule type="cellIs" dxfId="650" priority="646" operator="lessThan">
      <formula>0</formula>
    </cfRule>
  </conditionalFormatting>
  <conditionalFormatting sqref="AT39:AV39">
    <cfRule type="cellIs" dxfId="649" priority="637" operator="greaterThan">
      <formula>0</formula>
    </cfRule>
    <cfRule type="cellIs" dxfId="648" priority="638" operator="lessThan">
      <formula>0</formula>
    </cfRule>
  </conditionalFormatting>
  <conditionalFormatting sqref="AT46:AV46">
    <cfRule type="cellIs" dxfId="647" priority="629" operator="greaterThan">
      <formula>0</formula>
    </cfRule>
    <cfRule type="cellIs" dxfId="646" priority="630" operator="lessThan">
      <formula>0</formula>
    </cfRule>
  </conditionalFormatting>
  <conditionalFormatting sqref="AT53:AV53">
    <cfRule type="cellIs" dxfId="645" priority="621" operator="greaterThan">
      <formula>0</formula>
    </cfRule>
    <cfRule type="cellIs" dxfId="644" priority="622" operator="lessThan">
      <formula>0</formula>
    </cfRule>
  </conditionalFormatting>
  <conditionalFormatting sqref="AT60:AV60">
    <cfRule type="cellIs" dxfId="643" priority="613" operator="greaterThan">
      <formula>0</formula>
    </cfRule>
    <cfRule type="cellIs" dxfId="642" priority="614" operator="lessThan">
      <formula>0</formula>
    </cfRule>
  </conditionalFormatting>
  <conditionalFormatting sqref="AT67:AV67">
    <cfRule type="cellIs" dxfId="641" priority="605" operator="greaterThan">
      <formula>0</formula>
    </cfRule>
    <cfRule type="cellIs" dxfId="640" priority="606" operator="lessThan">
      <formula>0</formula>
    </cfRule>
  </conditionalFormatting>
  <conditionalFormatting sqref="AT74:AV74">
    <cfRule type="cellIs" dxfId="639" priority="597" operator="greaterThan">
      <formula>0</formula>
    </cfRule>
    <cfRule type="cellIs" dxfId="638" priority="598" operator="lessThan">
      <formula>0</formula>
    </cfRule>
  </conditionalFormatting>
  <conditionalFormatting sqref="AT81:AV81">
    <cfRule type="cellIs" dxfId="637" priority="589" operator="greaterThan">
      <formula>0</formula>
    </cfRule>
    <cfRule type="cellIs" dxfId="636" priority="590" operator="lessThan">
      <formula>0</formula>
    </cfRule>
  </conditionalFormatting>
  <conditionalFormatting sqref="AT88:AV88">
    <cfRule type="cellIs" dxfId="635" priority="581" operator="greaterThan">
      <formula>0</formula>
    </cfRule>
    <cfRule type="cellIs" dxfId="634" priority="582" operator="lessThan">
      <formula>0</formula>
    </cfRule>
  </conditionalFormatting>
  <conditionalFormatting sqref="AT109">
    <cfRule type="cellIs" dxfId="633" priority="557" operator="greaterThan">
      <formula>0</formula>
    </cfRule>
    <cfRule type="cellIs" dxfId="632" priority="558" operator="lessThan">
      <formula>0</formula>
    </cfRule>
  </conditionalFormatting>
  <conditionalFormatting sqref="AU95">
    <cfRule type="cellIs" dxfId="631" priority="542" operator="between">
      <formula>0.0001</formula>
      <formula>0.02</formula>
    </cfRule>
    <cfRule type="cellIs" dxfId="630" priority="543" operator="between">
      <formula>0.02</formula>
      <formula>0.1</formula>
    </cfRule>
    <cfRule type="cellIs" dxfId="629" priority="544" operator="greaterThan">
      <formula>0.1</formula>
    </cfRule>
  </conditionalFormatting>
  <conditionalFormatting sqref="AU102">
    <cfRule type="cellIs" dxfId="628" priority="537" operator="between">
      <formula>0.0001</formula>
      <formula>0.02</formula>
    </cfRule>
    <cfRule type="cellIs" dxfId="627" priority="538" operator="between">
      <formula>0.02</formula>
      <formula>0.1</formula>
    </cfRule>
    <cfRule type="cellIs" dxfId="626" priority="539" operator="greaterThan">
      <formula>0.1</formula>
    </cfRule>
  </conditionalFormatting>
  <conditionalFormatting sqref="AU18:AV18">
    <cfRule type="cellIs" dxfId="625" priority="668" operator="between">
      <formula>0.0001</formula>
      <formula>0.02</formula>
    </cfRule>
    <cfRule type="cellIs" dxfId="624" priority="669" operator="between">
      <formula>0.02</formula>
      <formula>0.1</formula>
    </cfRule>
    <cfRule type="cellIs" dxfId="623" priority="670" operator="greaterThan">
      <formula>0.1</formula>
    </cfRule>
  </conditionalFormatting>
  <conditionalFormatting sqref="AU25:AV25">
    <cfRule type="cellIs" dxfId="622" priority="650" operator="between">
      <formula>0.0001</formula>
      <formula>0.02</formula>
    </cfRule>
    <cfRule type="cellIs" dxfId="621" priority="651" operator="between">
      <formula>0.02</formula>
      <formula>0.1</formula>
    </cfRule>
    <cfRule type="cellIs" dxfId="620" priority="652" operator="greaterThan">
      <formula>0.1</formula>
    </cfRule>
  </conditionalFormatting>
  <conditionalFormatting sqref="AU32:AV32">
    <cfRule type="cellIs" dxfId="619" priority="642" operator="between">
      <formula>0.0001</formula>
      <formula>0.02</formula>
    </cfRule>
    <cfRule type="cellIs" dxfId="618" priority="643" operator="between">
      <formula>0.02</formula>
      <formula>0.1</formula>
    </cfRule>
    <cfRule type="cellIs" dxfId="617" priority="644" operator="greaterThan">
      <formula>0.1</formula>
    </cfRule>
  </conditionalFormatting>
  <conditionalFormatting sqref="AU39:AV39">
    <cfRule type="cellIs" dxfId="616" priority="634" operator="between">
      <formula>0.0001</formula>
      <formula>0.02</formula>
    </cfRule>
    <cfRule type="cellIs" dxfId="615" priority="635" operator="between">
      <formula>0.02</formula>
      <formula>0.1</formula>
    </cfRule>
    <cfRule type="cellIs" dxfId="614" priority="636" operator="greaterThan">
      <formula>0.1</formula>
    </cfRule>
  </conditionalFormatting>
  <conditionalFormatting sqref="AU46:AV46">
    <cfRule type="cellIs" dxfId="613" priority="626" operator="between">
      <formula>0.0001</formula>
      <formula>0.02</formula>
    </cfRule>
    <cfRule type="cellIs" dxfId="612" priority="627" operator="between">
      <formula>0.02</formula>
      <formula>0.1</formula>
    </cfRule>
    <cfRule type="cellIs" dxfId="611" priority="628" operator="greaterThan">
      <formula>0.1</formula>
    </cfRule>
  </conditionalFormatting>
  <conditionalFormatting sqref="AU53:AV53">
    <cfRule type="cellIs" dxfId="610" priority="618" operator="between">
      <formula>0.0001</formula>
      <formula>0.02</formula>
    </cfRule>
    <cfRule type="cellIs" dxfId="609" priority="619" operator="between">
      <formula>0.02</formula>
      <formula>0.1</formula>
    </cfRule>
    <cfRule type="cellIs" dxfId="608" priority="620" operator="greaterThan">
      <formula>0.1</formula>
    </cfRule>
  </conditionalFormatting>
  <conditionalFormatting sqref="AU60:AV60">
    <cfRule type="cellIs" dxfId="607" priority="610" operator="between">
      <formula>0.0001</formula>
      <formula>0.02</formula>
    </cfRule>
    <cfRule type="cellIs" dxfId="606" priority="611" operator="between">
      <formula>0.02</formula>
      <formula>0.1</formula>
    </cfRule>
    <cfRule type="cellIs" dxfId="605" priority="612" operator="greaterThan">
      <formula>0.1</formula>
    </cfRule>
  </conditionalFormatting>
  <conditionalFormatting sqref="AU67:AV67">
    <cfRule type="cellIs" dxfId="604" priority="602" operator="between">
      <formula>0.0001</formula>
      <formula>0.02</formula>
    </cfRule>
    <cfRule type="cellIs" dxfId="603" priority="603" operator="between">
      <formula>0.02</formula>
      <formula>0.1</formula>
    </cfRule>
    <cfRule type="cellIs" dxfId="602" priority="604" operator="greaterThan">
      <formula>0.1</formula>
    </cfRule>
  </conditionalFormatting>
  <conditionalFormatting sqref="AU74:AV74">
    <cfRule type="cellIs" dxfId="601" priority="594" operator="between">
      <formula>0.0001</formula>
      <formula>0.02</formula>
    </cfRule>
    <cfRule type="cellIs" dxfId="600" priority="595" operator="between">
      <formula>0.02</formula>
      <formula>0.1</formula>
    </cfRule>
    <cfRule type="cellIs" dxfId="599" priority="596" operator="greaterThan">
      <formula>0.1</formula>
    </cfRule>
  </conditionalFormatting>
  <conditionalFormatting sqref="AU81:AV81">
    <cfRule type="cellIs" dxfId="598" priority="586" operator="between">
      <formula>0.0001</formula>
      <formula>0.02</formula>
    </cfRule>
    <cfRule type="cellIs" dxfId="597" priority="587" operator="between">
      <formula>0.02</formula>
      <formula>0.1</formula>
    </cfRule>
    <cfRule type="cellIs" dxfId="596" priority="588" operator="greaterThan">
      <formula>0.1</formula>
    </cfRule>
  </conditionalFormatting>
  <conditionalFormatting sqref="AU88:AV88">
    <cfRule type="cellIs" dxfId="595" priority="578" operator="between">
      <formula>0.0001</formula>
      <formula>0.02</formula>
    </cfRule>
    <cfRule type="cellIs" dxfId="594" priority="579" operator="between">
      <formula>0.02</formula>
      <formula>0.1</formula>
    </cfRule>
    <cfRule type="cellIs" dxfId="593" priority="580" operator="greaterThan">
      <formula>0.1</formula>
    </cfRule>
  </conditionalFormatting>
  <conditionalFormatting sqref="AV15">
    <cfRule type="containsText" dxfId="592" priority="533" operator="containsText" text="Stable">
      <formula>NOT(ISERROR(SEARCH("Stable",AV15)))</formula>
    </cfRule>
    <cfRule type="containsText" dxfId="591" priority="534" operator="containsText" text="Weak">
      <formula>NOT(ISERROR(SEARCH("Weak",AV15)))</formula>
    </cfRule>
    <cfRule type="containsText" dxfId="590" priority="535" operator="containsText" text="Downtrend">
      <formula>NOT(ISERROR(SEARCH("Downtrend",AV15)))</formula>
    </cfRule>
    <cfRule type="containsText" dxfId="589" priority="536" operator="containsText" text="Uptrend">
      <formula>NOT(ISERROR(SEARCH("Uptrend",AV15)))</formula>
    </cfRule>
  </conditionalFormatting>
  <conditionalFormatting sqref="AV18">
    <cfRule type="containsText" dxfId="588" priority="665" operator="containsText" text="High">
      <formula>NOT(ISERROR(SEARCH("High",AV18)))</formula>
    </cfRule>
    <cfRule type="containsText" dxfId="587" priority="666" operator="containsText" text="Medium">
      <formula>NOT(ISERROR(SEARCH("Medium",AV18)))</formula>
    </cfRule>
    <cfRule type="containsText" dxfId="586" priority="667" operator="containsText" text="Low">
      <formula>NOT(ISERROR(SEARCH("Low",AV18)))</formula>
    </cfRule>
  </conditionalFormatting>
  <conditionalFormatting sqref="AV25">
    <cfRule type="containsText" dxfId="585" priority="647" operator="containsText" text="High">
      <formula>NOT(ISERROR(SEARCH("High",AV25)))</formula>
    </cfRule>
    <cfRule type="containsText" dxfId="584" priority="648" operator="containsText" text="Medium">
      <formula>NOT(ISERROR(SEARCH("Medium",AV25)))</formula>
    </cfRule>
    <cfRule type="containsText" dxfId="583" priority="649" operator="containsText" text="Low">
      <formula>NOT(ISERROR(SEARCH("Low",AV25)))</formula>
    </cfRule>
  </conditionalFormatting>
  <conditionalFormatting sqref="AV32">
    <cfRule type="containsText" dxfId="582" priority="639" operator="containsText" text="High">
      <formula>NOT(ISERROR(SEARCH("High",AV32)))</formula>
    </cfRule>
    <cfRule type="containsText" dxfId="581" priority="640" operator="containsText" text="Medium">
      <formula>NOT(ISERROR(SEARCH("Medium",AV32)))</formula>
    </cfRule>
    <cfRule type="containsText" dxfId="580" priority="641" operator="containsText" text="Low">
      <formula>NOT(ISERROR(SEARCH("Low",AV32)))</formula>
    </cfRule>
  </conditionalFormatting>
  <conditionalFormatting sqref="AV39">
    <cfRule type="containsText" dxfId="579" priority="631" operator="containsText" text="High">
      <formula>NOT(ISERROR(SEARCH("High",AV39)))</formula>
    </cfRule>
    <cfRule type="containsText" dxfId="578" priority="632" operator="containsText" text="Medium">
      <formula>NOT(ISERROR(SEARCH("Medium",AV39)))</formula>
    </cfRule>
    <cfRule type="containsText" dxfId="577" priority="633" operator="containsText" text="Low">
      <formula>NOT(ISERROR(SEARCH("Low",AV39)))</formula>
    </cfRule>
  </conditionalFormatting>
  <conditionalFormatting sqref="AV46">
    <cfRule type="containsText" dxfId="576" priority="623" operator="containsText" text="High">
      <formula>NOT(ISERROR(SEARCH("High",AV46)))</formula>
    </cfRule>
    <cfRule type="containsText" dxfId="575" priority="624" operator="containsText" text="Medium">
      <formula>NOT(ISERROR(SEARCH("Medium",AV46)))</formula>
    </cfRule>
    <cfRule type="containsText" dxfId="574" priority="625" operator="containsText" text="Low">
      <formula>NOT(ISERROR(SEARCH("Low",AV46)))</formula>
    </cfRule>
  </conditionalFormatting>
  <conditionalFormatting sqref="AV53">
    <cfRule type="containsText" dxfId="573" priority="615" operator="containsText" text="High">
      <formula>NOT(ISERROR(SEARCH("High",AV53)))</formula>
    </cfRule>
    <cfRule type="containsText" dxfId="572" priority="616" operator="containsText" text="Medium">
      <formula>NOT(ISERROR(SEARCH("Medium",AV53)))</formula>
    </cfRule>
    <cfRule type="containsText" dxfId="571" priority="617" operator="containsText" text="Low">
      <formula>NOT(ISERROR(SEARCH("Low",AV53)))</formula>
    </cfRule>
  </conditionalFormatting>
  <conditionalFormatting sqref="AV60">
    <cfRule type="containsText" dxfId="570" priority="607" operator="containsText" text="High">
      <formula>NOT(ISERROR(SEARCH("High",AV60)))</formula>
    </cfRule>
    <cfRule type="containsText" dxfId="569" priority="608" operator="containsText" text="Medium">
      <formula>NOT(ISERROR(SEARCH("Medium",AV60)))</formula>
    </cfRule>
    <cfRule type="containsText" dxfId="568" priority="609" operator="containsText" text="Low">
      <formula>NOT(ISERROR(SEARCH("Low",AV60)))</formula>
    </cfRule>
  </conditionalFormatting>
  <conditionalFormatting sqref="AV67">
    <cfRule type="containsText" dxfId="567" priority="599" operator="containsText" text="High">
      <formula>NOT(ISERROR(SEARCH("High",AV67)))</formula>
    </cfRule>
    <cfRule type="containsText" dxfId="566" priority="600" operator="containsText" text="Medium">
      <formula>NOT(ISERROR(SEARCH("Medium",AV67)))</formula>
    </cfRule>
    <cfRule type="containsText" dxfId="565" priority="601" operator="containsText" text="Low">
      <formula>NOT(ISERROR(SEARCH("Low",AV67)))</formula>
    </cfRule>
  </conditionalFormatting>
  <conditionalFormatting sqref="AV74">
    <cfRule type="containsText" dxfId="564" priority="591" operator="containsText" text="High">
      <formula>NOT(ISERROR(SEARCH("High",AV74)))</formula>
    </cfRule>
    <cfRule type="containsText" dxfId="563" priority="592" operator="containsText" text="Medium">
      <formula>NOT(ISERROR(SEARCH("Medium",AV74)))</formula>
    </cfRule>
    <cfRule type="containsText" dxfId="562" priority="593" operator="containsText" text="Low">
      <formula>NOT(ISERROR(SEARCH("Low",AV74)))</formula>
    </cfRule>
  </conditionalFormatting>
  <conditionalFormatting sqref="AV81">
    <cfRule type="containsText" dxfId="561" priority="583" operator="containsText" text="High">
      <formula>NOT(ISERROR(SEARCH("High",AV81)))</formula>
    </cfRule>
    <cfRule type="containsText" dxfId="560" priority="584" operator="containsText" text="Medium">
      <formula>NOT(ISERROR(SEARCH("Medium",AV81)))</formula>
    </cfRule>
    <cfRule type="containsText" dxfId="559" priority="585" operator="containsText" text="Low">
      <formula>NOT(ISERROR(SEARCH("Low",AV81)))</formula>
    </cfRule>
  </conditionalFormatting>
  <conditionalFormatting sqref="AV88">
    <cfRule type="containsText" dxfId="558" priority="575" operator="containsText" text="High">
      <formula>NOT(ISERROR(SEARCH("High",AV88)))</formula>
    </cfRule>
    <cfRule type="containsText" dxfId="557" priority="576" operator="containsText" text="Medium">
      <formula>NOT(ISERROR(SEARCH("Medium",AV88)))</formula>
    </cfRule>
    <cfRule type="containsText" dxfId="556" priority="577" operator="containsText" text="Low">
      <formula>NOT(ISERROR(SEARCH("Low",AV88)))</formula>
    </cfRule>
  </conditionalFormatting>
  <conditionalFormatting sqref="AV95">
    <cfRule type="containsText" dxfId="555" priority="567" operator="containsText" text="High">
      <formula>NOT(ISERROR(SEARCH("High",AV95)))</formula>
    </cfRule>
    <cfRule type="containsText" dxfId="554" priority="568" operator="containsText" text="Medium">
      <formula>NOT(ISERROR(SEARCH("Medium",AV95)))</formula>
    </cfRule>
    <cfRule type="containsText" dxfId="553" priority="569" operator="containsText" text="Low">
      <formula>NOT(ISERROR(SEARCH("Low",AV95)))</formula>
    </cfRule>
    <cfRule type="cellIs" dxfId="552" priority="570" operator="between">
      <formula>0.0001</formula>
      <formula>0.02</formula>
    </cfRule>
    <cfRule type="cellIs" dxfId="551" priority="571" operator="between">
      <formula>0.02</formula>
      <formula>0.1</formula>
    </cfRule>
    <cfRule type="cellIs" dxfId="550" priority="572" operator="greaterThan">
      <formula>0.1</formula>
    </cfRule>
    <cfRule type="cellIs" dxfId="549" priority="573" operator="greaterThan">
      <formula>0</formula>
    </cfRule>
    <cfRule type="cellIs" dxfId="548" priority="574" operator="lessThan">
      <formula>0</formula>
    </cfRule>
  </conditionalFormatting>
  <conditionalFormatting sqref="AV102">
    <cfRule type="containsText" dxfId="547" priority="559" operator="containsText" text="High">
      <formula>NOT(ISERROR(SEARCH("High",AV102)))</formula>
    </cfRule>
    <cfRule type="containsText" dxfId="546" priority="560" operator="containsText" text="Medium">
      <formula>NOT(ISERROR(SEARCH("Medium",AV102)))</formula>
    </cfRule>
    <cfRule type="containsText" dxfId="545" priority="561" operator="containsText" text="Low">
      <formula>NOT(ISERROR(SEARCH("Low",AV102)))</formula>
    </cfRule>
    <cfRule type="cellIs" dxfId="544" priority="562" operator="between">
      <formula>0.0001</formula>
      <formula>0.02</formula>
    </cfRule>
    <cfRule type="cellIs" dxfId="543" priority="563" operator="between">
      <formula>0.02</formula>
      <formula>0.1</formula>
    </cfRule>
    <cfRule type="cellIs" dxfId="542" priority="564" operator="greaterThan">
      <formula>0.1</formula>
    </cfRule>
    <cfRule type="cellIs" dxfId="541" priority="565" operator="greaterThan">
      <formula>0</formula>
    </cfRule>
    <cfRule type="cellIs" dxfId="540" priority="566" operator="lessThan">
      <formula>0</formula>
    </cfRule>
  </conditionalFormatting>
  <conditionalFormatting sqref="AW15:AW493">
    <cfRule type="containsText" dxfId="539" priority="772" operator="containsText" text="Stable">
      <formula>NOT(ISERROR(SEARCH("Stable",AW15)))</formula>
    </cfRule>
    <cfRule type="containsText" dxfId="538" priority="773" operator="containsText" text="Weak">
      <formula>NOT(ISERROR(SEARCH("Weak",AW15)))</formula>
    </cfRule>
    <cfRule type="containsText" dxfId="537" priority="774" operator="containsText" text="Downtrend">
      <formula>NOT(ISERROR(SEARCH("Downtrend",AW15)))</formula>
    </cfRule>
    <cfRule type="containsText" dxfId="536" priority="775" operator="containsText" text="Uptrend">
      <formula>NOT(ISERROR(SEARCH("Uptrend",AW15)))</formula>
    </cfRule>
  </conditionalFormatting>
  <conditionalFormatting sqref="N110 N117:N118 N125">
    <cfRule type="cellIs" dxfId="535" priority="511" operator="greaterThan">
      <formula>0</formula>
    </cfRule>
  </conditionalFormatting>
  <conditionalFormatting sqref="N110 N117:N118 N125">
    <cfRule type="cellIs" dxfId="534" priority="512" operator="lessThan">
      <formula>0</formula>
    </cfRule>
  </conditionalFormatting>
  <conditionalFormatting sqref="AF109">
    <cfRule type="cellIs" dxfId="533" priority="509" operator="greaterThan">
      <formula>0</formula>
    </cfRule>
    <cfRule type="cellIs" dxfId="532" priority="510" operator="lessThan">
      <formula>0</formula>
    </cfRule>
  </conditionalFormatting>
  <conditionalFormatting sqref="AV109">
    <cfRule type="containsText" dxfId="531" priority="501" operator="containsText" text="High">
      <formula>NOT(ISERROR(SEARCH("High",AV109)))</formula>
    </cfRule>
    <cfRule type="containsText" dxfId="530" priority="502" operator="containsText" text="Medium">
      <formula>NOT(ISERROR(SEARCH("Medium",AV109)))</formula>
    </cfRule>
    <cfRule type="containsText" dxfId="529" priority="503" operator="containsText" text="Low">
      <formula>NOT(ISERROR(SEARCH("Low",AV109)))</formula>
    </cfRule>
    <cfRule type="cellIs" dxfId="528" priority="504" operator="between">
      <formula>0.0001</formula>
      <formula>0.02</formula>
    </cfRule>
    <cfRule type="cellIs" dxfId="527" priority="505" operator="between">
      <formula>0.02</formula>
      <formula>0.1</formula>
    </cfRule>
    <cfRule type="cellIs" dxfId="526" priority="506" operator="greaterThan">
      <formula>0.1</formula>
    </cfRule>
    <cfRule type="cellIs" dxfId="525" priority="507" operator="greaterThan">
      <formula>0</formula>
    </cfRule>
    <cfRule type="cellIs" dxfId="524" priority="508" operator="lessThan">
      <formula>0</formula>
    </cfRule>
  </conditionalFormatting>
  <conditionalFormatting sqref="AE109:AE110">
    <cfRule type="cellIs" dxfId="523" priority="499" operator="greaterThan">
      <formula>0</formula>
    </cfRule>
    <cfRule type="cellIs" dxfId="522" priority="500" operator="lessThan">
      <formula>0</formula>
    </cfRule>
  </conditionalFormatting>
  <conditionalFormatting sqref="AE109:AE110">
    <cfRule type="cellIs" dxfId="521" priority="497" operator="greaterThan">
      <formula>0</formula>
    </cfRule>
    <cfRule type="cellIs" dxfId="520" priority="498" operator="lessThan">
      <formula>0</formula>
    </cfRule>
  </conditionalFormatting>
  <conditionalFormatting sqref="AE110">
    <cfRule type="cellIs" dxfId="519" priority="495" operator="greaterThan">
      <formula>0</formula>
    </cfRule>
    <cfRule type="cellIs" dxfId="518" priority="496" operator="lessThan">
      <formula>0</formula>
    </cfRule>
  </conditionalFormatting>
  <conditionalFormatting sqref="M109">
    <cfRule type="cellIs" dxfId="517" priority="493" operator="greaterThan">
      <formula>0</formula>
    </cfRule>
  </conditionalFormatting>
  <conditionalFormatting sqref="M109">
    <cfRule type="cellIs" dxfId="516" priority="494" operator="lessThan">
      <formula>0</formula>
    </cfRule>
  </conditionalFormatting>
  <conditionalFormatting sqref="AU110">
    <cfRule type="cellIs" dxfId="515" priority="486" operator="between">
      <formula>0.02</formula>
      <formula>0.1</formula>
    </cfRule>
  </conditionalFormatting>
  <conditionalFormatting sqref="AU110">
    <cfRule type="cellIs" dxfId="514" priority="485" operator="between">
      <formula>0.0001</formula>
      <formula>0.02</formula>
    </cfRule>
    <cfRule type="cellIs" dxfId="513" priority="487" operator="greaterThan">
      <formula>0.1</formula>
    </cfRule>
  </conditionalFormatting>
  <conditionalFormatting sqref="AU110">
    <cfRule type="cellIs" dxfId="512" priority="483" operator="greaterThan">
      <formula>0</formula>
    </cfRule>
    <cfRule type="cellIs" dxfId="511" priority="484" operator="lessThan">
      <formula>0</formula>
    </cfRule>
  </conditionalFormatting>
  <conditionalFormatting sqref="AU110">
    <cfRule type="cellIs" dxfId="510" priority="481" operator="greaterThan">
      <formula>0</formula>
    </cfRule>
    <cfRule type="cellIs" dxfId="509" priority="482" operator="lessThan">
      <formula>0</formula>
    </cfRule>
  </conditionalFormatting>
  <conditionalFormatting sqref="AU110">
    <cfRule type="cellIs" dxfId="508" priority="479" operator="greaterThan">
      <formula>0</formula>
    </cfRule>
    <cfRule type="cellIs" dxfId="507" priority="480" operator="lessThan">
      <formula>0</formula>
    </cfRule>
  </conditionalFormatting>
  <conditionalFormatting sqref="AD116 AD123 AD130 AD137 AD144 AD151 AD158 AD165 AD172 AD179">
    <cfRule type="cellIs" dxfId="506" priority="475" operator="greaterThan">
      <formula>0</formula>
    </cfRule>
    <cfRule type="cellIs" dxfId="505" priority="476" operator="lessThan">
      <formula>0</formula>
    </cfRule>
  </conditionalFormatting>
  <conditionalFormatting sqref="M116 M123 M130 M137 M144 M151 M158 M165 M172 M179">
    <cfRule type="cellIs" dxfId="504" priority="473" operator="greaterThan">
      <formula>0</formula>
    </cfRule>
  </conditionalFormatting>
  <conditionalFormatting sqref="M116 M123 M130 M137 M144 M151 M158 M165 M172 M179">
    <cfRule type="cellIs" dxfId="503" priority="474" operator="lessThan">
      <formula>0</formula>
    </cfRule>
  </conditionalFormatting>
  <conditionalFormatting sqref="AE116 AE123">
    <cfRule type="cellIs" dxfId="502" priority="471" operator="greaterThan">
      <formula>0</formula>
    </cfRule>
  </conditionalFormatting>
  <conditionalFormatting sqref="AE116 AE123">
    <cfRule type="cellIs" dxfId="501" priority="472" operator="lessThan">
      <formula>0</formula>
    </cfRule>
  </conditionalFormatting>
  <conditionalFormatting sqref="AE116 AE123">
    <cfRule type="cellIs" dxfId="500" priority="469" operator="greaterThan">
      <formula>0</formula>
    </cfRule>
  </conditionalFormatting>
  <conditionalFormatting sqref="AE116 AE123">
    <cfRule type="cellIs" dxfId="499" priority="470" operator="lessThan">
      <formula>0</formula>
    </cfRule>
  </conditionalFormatting>
  <conditionalFormatting sqref="M110">
    <cfRule type="cellIs" dxfId="498" priority="467" operator="between">
      <formula>0.02</formula>
      <formula>0.1</formula>
    </cfRule>
  </conditionalFormatting>
  <conditionalFormatting sqref="M110">
    <cfRule type="cellIs" dxfId="497" priority="466" operator="between">
      <formula>0.0001</formula>
      <formula>0.02</formula>
    </cfRule>
    <cfRule type="cellIs" dxfId="496" priority="468" operator="greaterThan">
      <formula>0.1</formula>
    </cfRule>
  </conditionalFormatting>
  <conditionalFormatting sqref="M110">
    <cfRule type="cellIs" dxfId="495" priority="464" operator="greaterThan">
      <formula>0</formula>
    </cfRule>
    <cfRule type="cellIs" dxfId="494" priority="465" operator="lessThan">
      <formula>0</formula>
    </cfRule>
  </conditionalFormatting>
  <conditionalFormatting sqref="M110">
    <cfRule type="cellIs" dxfId="493" priority="462" operator="greaterThan">
      <formula>0</formula>
    </cfRule>
    <cfRule type="cellIs" dxfId="492" priority="463" operator="lessThan">
      <formula>0</formula>
    </cfRule>
  </conditionalFormatting>
  <conditionalFormatting sqref="M110">
    <cfRule type="cellIs" dxfId="491" priority="460" operator="greaterThan">
      <formula>0</formula>
    </cfRule>
    <cfRule type="cellIs" dxfId="490" priority="461" operator="lessThan">
      <formula>0</formula>
    </cfRule>
  </conditionalFormatting>
  <conditionalFormatting sqref="AU116 AU123">
    <cfRule type="cellIs" dxfId="489" priority="458" operator="between">
      <formula>0.02</formula>
      <formula>0.1</formula>
    </cfRule>
  </conditionalFormatting>
  <conditionalFormatting sqref="AU116 AU123">
    <cfRule type="cellIs" dxfId="488" priority="457" operator="between">
      <formula>0.0001</formula>
      <formula>0.02</formula>
    </cfRule>
    <cfRule type="cellIs" dxfId="487" priority="459" operator="greaterThan">
      <formula>0.1</formula>
    </cfRule>
  </conditionalFormatting>
  <conditionalFormatting sqref="AU116 AU123">
    <cfRule type="cellIs" dxfId="486" priority="455" operator="greaterThan">
      <formula>0</formula>
    </cfRule>
  </conditionalFormatting>
  <conditionalFormatting sqref="AU116 AU123">
    <cfRule type="cellIs" dxfId="485" priority="456" operator="lessThan">
      <formula>0</formula>
    </cfRule>
  </conditionalFormatting>
  <conditionalFormatting sqref="AU116 AU123">
    <cfRule type="cellIs" dxfId="484" priority="453" operator="greaterThan">
      <formula>0</formula>
    </cfRule>
  </conditionalFormatting>
  <conditionalFormatting sqref="AU116 AU123">
    <cfRule type="cellIs" dxfId="483" priority="454" operator="lessThan">
      <formula>0</formula>
    </cfRule>
  </conditionalFormatting>
  <conditionalFormatting sqref="AV116 AV123">
    <cfRule type="containsText" dxfId="482" priority="445" operator="containsText" text="High">
      <formula>NOT(ISERROR(SEARCH("High",AV116)))</formula>
    </cfRule>
    <cfRule type="containsText" dxfId="481" priority="446" operator="containsText" text="Medium">
      <formula>NOT(ISERROR(SEARCH("Medium",AV116)))</formula>
    </cfRule>
    <cfRule type="containsText" dxfId="480" priority="447" operator="containsText" text="Low">
      <formula>NOT(ISERROR(SEARCH("Low",AV116)))</formula>
    </cfRule>
    <cfRule type="cellIs" dxfId="479" priority="448" operator="between">
      <formula>0.0001</formula>
      <formula>0.02</formula>
    </cfRule>
    <cfRule type="cellIs" dxfId="478" priority="449" operator="between">
      <formula>0.02</formula>
      <formula>0.1</formula>
    </cfRule>
    <cfRule type="cellIs" dxfId="477" priority="450" operator="greaterThan">
      <formula>0.1</formula>
    </cfRule>
    <cfRule type="cellIs" dxfId="476" priority="451" operator="greaterThan">
      <formula>0</formula>
    </cfRule>
    <cfRule type="cellIs" dxfId="475" priority="452" operator="lessThan">
      <formula>0</formula>
    </cfRule>
  </conditionalFormatting>
  <conditionalFormatting sqref="AF117:AF122 AF124:AF129">
    <cfRule type="cellIs" dxfId="474" priority="443" operator="greaterThan">
      <formula>0</formula>
    </cfRule>
    <cfRule type="cellIs" dxfId="473" priority="444" operator="lessThan">
      <formula>0</formula>
    </cfRule>
  </conditionalFormatting>
  <conditionalFormatting sqref="AE117 AE124">
    <cfRule type="cellIs" dxfId="472" priority="441" operator="greaterThan">
      <formula>0</formula>
    </cfRule>
    <cfRule type="cellIs" dxfId="471" priority="442" operator="lessThan">
      <formula>0</formula>
    </cfRule>
  </conditionalFormatting>
  <conditionalFormatting sqref="AE117 AE124">
    <cfRule type="cellIs" dxfId="470" priority="439" operator="greaterThan">
      <formula>0</formula>
    </cfRule>
    <cfRule type="cellIs" dxfId="469" priority="440" operator="lessThan">
      <formula>0</formula>
    </cfRule>
  </conditionalFormatting>
  <conditionalFormatting sqref="AE117 AE124">
    <cfRule type="cellIs" dxfId="468" priority="437" operator="greaterThan">
      <formula>0</formula>
    </cfRule>
    <cfRule type="cellIs" dxfId="467" priority="438" operator="lessThan">
      <formula>0</formula>
    </cfRule>
  </conditionalFormatting>
  <conditionalFormatting sqref="AO15">
    <cfRule type="cellIs" dxfId="466" priority="431" operator="equal">
      <formula>0</formula>
    </cfRule>
    <cfRule type="cellIs" dxfId="465" priority="432" operator="lessThan">
      <formula>-0.05</formula>
    </cfRule>
  </conditionalFormatting>
  <conditionalFormatting sqref="N124">
    <cfRule type="cellIs" dxfId="464" priority="429" operator="greaterThan">
      <formula>0</formula>
    </cfRule>
  </conditionalFormatting>
  <conditionalFormatting sqref="N124">
    <cfRule type="cellIs" dxfId="463" priority="430" operator="lessThan">
      <formula>0</formula>
    </cfRule>
  </conditionalFormatting>
  <conditionalFormatting sqref="N123">
    <cfRule type="cellIs" dxfId="462" priority="427" operator="greaterThan">
      <formula>0</formula>
    </cfRule>
  </conditionalFormatting>
  <conditionalFormatting sqref="N123">
    <cfRule type="cellIs" dxfId="461" priority="428" operator="lessThan">
      <formula>0</formula>
    </cfRule>
  </conditionalFormatting>
  <conditionalFormatting sqref="AE130">
    <cfRule type="cellIs" dxfId="460" priority="425" operator="greaterThan">
      <formula>0</formula>
    </cfRule>
  </conditionalFormatting>
  <conditionalFormatting sqref="AE130">
    <cfRule type="cellIs" dxfId="459" priority="426" operator="lessThan">
      <formula>0</formula>
    </cfRule>
  </conditionalFormatting>
  <conditionalFormatting sqref="AE130">
    <cfRule type="cellIs" dxfId="458" priority="423" operator="greaterThan">
      <formula>0</formula>
    </cfRule>
  </conditionalFormatting>
  <conditionalFormatting sqref="AE130">
    <cfRule type="cellIs" dxfId="457" priority="424" operator="lessThan">
      <formula>0</formula>
    </cfRule>
  </conditionalFormatting>
  <conditionalFormatting sqref="AF131:AF136">
    <cfRule type="cellIs" dxfId="456" priority="421" operator="greaterThan">
      <formula>0</formula>
    </cfRule>
    <cfRule type="cellIs" dxfId="455" priority="422" operator="lessThan">
      <formula>0</formula>
    </cfRule>
  </conditionalFormatting>
  <conditionalFormatting sqref="AE131">
    <cfRule type="cellIs" dxfId="454" priority="419" operator="greaterThan">
      <formula>0</formula>
    </cfRule>
    <cfRule type="cellIs" dxfId="453" priority="420" operator="lessThan">
      <formula>0</formula>
    </cfRule>
  </conditionalFormatting>
  <conditionalFormatting sqref="AE131">
    <cfRule type="cellIs" dxfId="452" priority="417" operator="greaterThan">
      <formula>0</formula>
    </cfRule>
    <cfRule type="cellIs" dxfId="451" priority="418" operator="lessThan">
      <formula>0</formula>
    </cfRule>
  </conditionalFormatting>
  <conditionalFormatting sqref="AE131">
    <cfRule type="cellIs" dxfId="450" priority="415" operator="greaterThan">
      <formula>0</formula>
    </cfRule>
    <cfRule type="cellIs" dxfId="449" priority="416" operator="lessThan">
      <formula>0</formula>
    </cfRule>
  </conditionalFormatting>
  <conditionalFormatting sqref="AE137">
    <cfRule type="cellIs" dxfId="448" priority="413" operator="greaterThan">
      <formula>0</formula>
    </cfRule>
  </conditionalFormatting>
  <conditionalFormatting sqref="AE137">
    <cfRule type="cellIs" dxfId="447" priority="414" operator="lessThan">
      <formula>0</formula>
    </cfRule>
  </conditionalFormatting>
  <conditionalFormatting sqref="AE137">
    <cfRule type="cellIs" dxfId="446" priority="411" operator="greaterThan">
      <formula>0</formula>
    </cfRule>
  </conditionalFormatting>
  <conditionalFormatting sqref="AE137">
    <cfRule type="cellIs" dxfId="445" priority="412" operator="lessThan">
      <formula>0</formula>
    </cfRule>
  </conditionalFormatting>
  <conditionalFormatting sqref="AF138:AF143">
    <cfRule type="cellIs" dxfId="444" priority="409" operator="greaterThan">
      <formula>0</formula>
    </cfRule>
    <cfRule type="cellIs" dxfId="443" priority="410" operator="lessThan">
      <formula>0</formula>
    </cfRule>
  </conditionalFormatting>
  <conditionalFormatting sqref="AE138">
    <cfRule type="cellIs" dxfId="442" priority="407" operator="greaterThan">
      <formula>0</formula>
    </cfRule>
    <cfRule type="cellIs" dxfId="441" priority="408" operator="lessThan">
      <formula>0</formula>
    </cfRule>
  </conditionalFormatting>
  <conditionalFormatting sqref="AE138">
    <cfRule type="cellIs" dxfId="440" priority="405" operator="greaterThan">
      <formula>0</formula>
    </cfRule>
    <cfRule type="cellIs" dxfId="439" priority="406" operator="lessThan">
      <formula>0</formula>
    </cfRule>
  </conditionalFormatting>
  <conditionalFormatting sqref="AE138">
    <cfRule type="cellIs" dxfId="438" priority="403" operator="greaterThan">
      <formula>0</formula>
    </cfRule>
    <cfRule type="cellIs" dxfId="437" priority="404" operator="lessThan">
      <formula>0</formula>
    </cfRule>
  </conditionalFormatting>
  <conditionalFormatting sqref="AE144">
    <cfRule type="cellIs" dxfId="436" priority="401" operator="greaterThan">
      <formula>0</formula>
    </cfRule>
  </conditionalFormatting>
  <conditionalFormatting sqref="AE144">
    <cfRule type="cellIs" dxfId="435" priority="402" operator="lessThan">
      <formula>0</formula>
    </cfRule>
  </conditionalFormatting>
  <conditionalFormatting sqref="AE144">
    <cfRule type="cellIs" dxfId="434" priority="399" operator="greaterThan">
      <formula>0</formula>
    </cfRule>
  </conditionalFormatting>
  <conditionalFormatting sqref="AE144">
    <cfRule type="cellIs" dxfId="433" priority="400" operator="lessThan">
      <formula>0</formula>
    </cfRule>
  </conditionalFormatting>
  <conditionalFormatting sqref="AF145:AF150">
    <cfRule type="cellIs" dxfId="432" priority="397" operator="greaterThan">
      <formula>0</formula>
    </cfRule>
    <cfRule type="cellIs" dxfId="431" priority="398" operator="lessThan">
      <formula>0</formula>
    </cfRule>
  </conditionalFormatting>
  <conditionalFormatting sqref="AE145">
    <cfRule type="cellIs" dxfId="430" priority="395" operator="greaterThan">
      <formula>0</formula>
    </cfRule>
    <cfRule type="cellIs" dxfId="429" priority="396" operator="lessThan">
      <formula>0</formula>
    </cfRule>
  </conditionalFormatting>
  <conditionalFormatting sqref="AE145">
    <cfRule type="cellIs" dxfId="428" priority="393" operator="greaterThan">
      <formula>0</formula>
    </cfRule>
    <cfRule type="cellIs" dxfId="427" priority="394" operator="lessThan">
      <formula>0</formula>
    </cfRule>
  </conditionalFormatting>
  <conditionalFormatting sqref="AE145">
    <cfRule type="cellIs" dxfId="426" priority="391" operator="greaterThan">
      <formula>0</formula>
    </cfRule>
    <cfRule type="cellIs" dxfId="425" priority="392" operator="lessThan">
      <formula>0</formula>
    </cfRule>
  </conditionalFormatting>
  <conditionalFormatting sqref="AE151">
    <cfRule type="cellIs" dxfId="424" priority="389" operator="greaterThan">
      <formula>0</formula>
    </cfRule>
  </conditionalFormatting>
  <conditionalFormatting sqref="AE151">
    <cfRule type="cellIs" dxfId="423" priority="390" operator="lessThan">
      <formula>0</formula>
    </cfRule>
  </conditionalFormatting>
  <conditionalFormatting sqref="AE151">
    <cfRule type="cellIs" dxfId="422" priority="387" operator="greaterThan">
      <formula>0</formula>
    </cfRule>
  </conditionalFormatting>
  <conditionalFormatting sqref="AE151">
    <cfRule type="cellIs" dxfId="421" priority="388" operator="lessThan">
      <formula>0</formula>
    </cfRule>
  </conditionalFormatting>
  <conditionalFormatting sqref="AF152:AF157">
    <cfRule type="cellIs" dxfId="420" priority="385" operator="greaterThan">
      <formula>0</formula>
    </cfRule>
    <cfRule type="cellIs" dxfId="419" priority="386" operator="lessThan">
      <formula>0</formula>
    </cfRule>
  </conditionalFormatting>
  <conditionalFormatting sqref="AE152">
    <cfRule type="cellIs" dxfId="418" priority="383" operator="greaterThan">
      <formula>0</formula>
    </cfRule>
    <cfRule type="cellIs" dxfId="417" priority="384" operator="lessThan">
      <formula>0</formula>
    </cfRule>
  </conditionalFormatting>
  <conditionalFormatting sqref="AE152">
    <cfRule type="cellIs" dxfId="416" priority="381" operator="greaterThan">
      <formula>0</formula>
    </cfRule>
    <cfRule type="cellIs" dxfId="415" priority="382" operator="lessThan">
      <formula>0</formula>
    </cfRule>
  </conditionalFormatting>
  <conditionalFormatting sqref="AE152">
    <cfRule type="cellIs" dxfId="414" priority="379" operator="greaterThan">
      <formula>0</formula>
    </cfRule>
    <cfRule type="cellIs" dxfId="413" priority="380" operator="lessThan">
      <formula>0</formula>
    </cfRule>
  </conditionalFormatting>
  <conditionalFormatting sqref="AE158">
    <cfRule type="cellIs" dxfId="412" priority="377" operator="greaterThan">
      <formula>0</formula>
    </cfRule>
  </conditionalFormatting>
  <conditionalFormatting sqref="AE158">
    <cfRule type="cellIs" dxfId="411" priority="378" operator="lessThan">
      <formula>0</formula>
    </cfRule>
  </conditionalFormatting>
  <conditionalFormatting sqref="AE158">
    <cfRule type="cellIs" dxfId="410" priority="375" operator="greaterThan">
      <formula>0</formula>
    </cfRule>
  </conditionalFormatting>
  <conditionalFormatting sqref="AE158">
    <cfRule type="cellIs" dxfId="409" priority="376" operator="lessThan">
      <formula>0</formula>
    </cfRule>
  </conditionalFormatting>
  <conditionalFormatting sqref="AF159:AF164">
    <cfRule type="cellIs" dxfId="408" priority="373" operator="greaterThan">
      <formula>0</formula>
    </cfRule>
    <cfRule type="cellIs" dxfId="407" priority="374" operator="lessThan">
      <formula>0</formula>
    </cfRule>
  </conditionalFormatting>
  <conditionalFormatting sqref="AE159">
    <cfRule type="cellIs" dxfId="406" priority="371" operator="greaterThan">
      <formula>0</formula>
    </cfRule>
    <cfRule type="cellIs" dxfId="405" priority="372" operator="lessThan">
      <formula>0</formula>
    </cfRule>
  </conditionalFormatting>
  <conditionalFormatting sqref="AE159">
    <cfRule type="cellIs" dxfId="404" priority="369" operator="greaterThan">
      <formula>0</formula>
    </cfRule>
    <cfRule type="cellIs" dxfId="403" priority="370" operator="lessThan">
      <formula>0</formula>
    </cfRule>
  </conditionalFormatting>
  <conditionalFormatting sqref="AE159">
    <cfRule type="cellIs" dxfId="402" priority="367" operator="greaterThan">
      <formula>0</formula>
    </cfRule>
    <cfRule type="cellIs" dxfId="401" priority="368" operator="lessThan">
      <formula>0</formula>
    </cfRule>
  </conditionalFormatting>
  <conditionalFormatting sqref="AE165">
    <cfRule type="cellIs" dxfId="400" priority="365" operator="greaterThan">
      <formula>0</formula>
    </cfRule>
  </conditionalFormatting>
  <conditionalFormatting sqref="AE165">
    <cfRule type="cellIs" dxfId="399" priority="366" operator="lessThan">
      <formula>0</formula>
    </cfRule>
  </conditionalFormatting>
  <conditionalFormatting sqref="AE165">
    <cfRule type="cellIs" dxfId="398" priority="363" operator="greaterThan">
      <formula>0</formula>
    </cfRule>
  </conditionalFormatting>
  <conditionalFormatting sqref="AE165">
    <cfRule type="cellIs" dxfId="397" priority="364" operator="lessThan">
      <formula>0</formula>
    </cfRule>
  </conditionalFormatting>
  <conditionalFormatting sqref="AF166:AF171">
    <cfRule type="cellIs" dxfId="396" priority="361" operator="greaterThan">
      <formula>0</formula>
    </cfRule>
    <cfRule type="cellIs" dxfId="395" priority="362" operator="lessThan">
      <formula>0</formula>
    </cfRule>
  </conditionalFormatting>
  <conditionalFormatting sqref="AE166">
    <cfRule type="cellIs" dxfId="394" priority="359" operator="greaterThan">
      <formula>0</formula>
    </cfRule>
    <cfRule type="cellIs" dxfId="393" priority="360" operator="lessThan">
      <formula>0</formula>
    </cfRule>
  </conditionalFormatting>
  <conditionalFormatting sqref="AE166">
    <cfRule type="cellIs" dxfId="392" priority="357" operator="greaterThan">
      <formula>0</formula>
    </cfRule>
    <cfRule type="cellIs" dxfId="391" priority="358" operator="lessThan">
      <formula>0</formula>
    </cfRule>
  </conditionalFormatting>
  <conditionalFormatting sqref="AE166">
    <cfRule type="cellIs" dxfId="390" priority="355" operator="greaterThan">
      <formula>0</formula>
    </cfRule>
    <cfRule type="cellIs" dxfId="389" priority="356" operator="lessThan">
      <formula>0</formula>
    </cfRule>
  </conditionalFormatting>
  <conditionalFormatting sqref="AE172">
    <cfRule type="cellIs" dxfId="388" priority="353" operator="greaterThan">
      <formula>0</formula>
    </cfRule>
  </conditionalFormatting>
  <conditionalFormatting sqref="AE172">
    <cfRule type="cellIs" dxfId="387" priority="354" operator="lessThan">
      <formula>0</formula>
    </cfRule>
  </conditionalFormatting>
  <conditionalFormatting sqref="AE172">
    <cfRule type="cellIs" dxfId="386" priority="351" operator="greaterThan">
      <formula>0</formula>
    </cfRule>
  </conditionalFormatting>
  <conditionalFormatting sqref="AE172">
    <cfRule type="cellIs" dxfId="385" priority="352" operator="lessThan">
      <formula>0</formula>
    </cfRule>
  </conditionalFormatting>
  <conditionalFormatting sqref="AF173:AF178">
    <cfRule type="cellIs" dxfId="384" priority="349" operator="greaterThan">
      <formula>0</formula>
    </cfRule>
    <cfRule type="cellIs" dxfId="383" priority="350" operator="lessThan">
      <formula>0</formula>
    </cfRule>
  </conditionalFormatting>
  <conditionalFormatting sqref="AE173">
    <cfRule type="cellIs" dxfId="382" priority="347" operator="greaterThan">
      <formula>0</formula>
    </cfRule>
    <cfRule type="cellIs" dxfId="381" priority="348" operator="lessThan">
      <formula>0</formula>
    </cfRule>
  </conditionalFormatting>
  <conditionalFormatting sqref="AE173">
    <cfRule type="cellIs" dxfId="380" priority="345" operator="greaterThan">
      <formula>0</formula>
    </cfRule>
    <cfRule type="cellIs" dxfId="379" priority="346" operator="lessThan">
      <formula>0</formula>
    </cfRule>
  </conditionalFormatting>
  <conditionalFormatting sqref="AE173">
    <cfRule type="cellIs" dxfId="378" priority="343" operator="greaterThan">
      <formula>0</formula>
    </cfRule>
    <cfRule type="cellIs" dxfId="377" priority="344" operator="lessThan">
      <formula>0</formula>
    </cfRule>
  </conditionalFormatting>
  <conditionalFormatting sqref="AE179">
    <cfRule type="cellIs" dxfId="376" priority="341" operator="greaterThan">
      <formula>0</formula>
    </cfRule>
  </conditionalFormatting>
  <conditionalFormatting sqref="AE179">
    <cfRule type="cellIs" dxfId="375" priority="342" operator="lessThan">
      <formula>0</formula>
    </cfRule>
  </conditionalFormatting>
  <conditionalFormatting sqref="AE179">
    <cfRule type="cellIs" dxfId="374" priority="339" operator="greaterThan">
      <formula>0</formula>
    </cfRule>
  </conditionalFormatting>
  <conditionalFormatting sqref="AE179">
    <cfRule type="cellIs" dxfId="373" priority="340" operator="lessThan">
      <formula>0</formula>
    </cfRule>
  </conditionalFormatting>
  <conditionalFormatting sqref="AF180:AF185">
    <cfRule type="cellIs" dxfId="372" priority="337" operator="greaterThan">
      <formula>0</formula>
    </cfRule>
    <cfRule type="cellIs" dxfId="371" priority="338" operator="lessThan">
      <formula>0</formula>
    </cfRule>
  </conditionalFormatting>
  <conditionalFormatting sqref="AE180">
    <cfRule type="cellIs" dxfId="370" priority="335" operator="greaterThan">
      <formula>0</formula>
    </cfRule>
    <cfRule type="cellIs" dxfId="369" priority="336" operator="lessThan">
      <formula>0</formula>
    </cfRule>
  </conditionalFormatting>
  <conditionalFormatting sqref="AE180">
    <cfRule type="cellIs" dxfId="368" priority="333" operator="greaterThan">
      <formula>0</formula>
    </cfRule>
    <cfRule type="cellIs" dxfId="367" priority="334" operator="lessThan">
      <formula>0</formula>
    </cfRule>
  </conditionalFormatting>
  <conditionalFormatting sqref="AE180">
    <cfRule type="cellIs" dxfId="366" priority="331" operator="greaterThan">
      <formula>0</formula>
    </cfRule>
    <cfRule type="cellIs" dxfId="365" priority="332" operator="lessThan">
      <formula>0</formula>
    </cfRule>
  </conditionalFormatting>
  <conditionalFormatting sqref="AT130">
    <cfRule type="cellIs" dxfId="364" priority="329" operator="greaterThan">
      <formula>0</formula>
    </cfRule>
    <cfRule type="cellIs" dxfId="363" priority="330" operator="lessThan">
      <formula>0</formula>
    </cfRule>
  </conditionalFormatting>
  <conditionalFormatting sqref="AU130">
    <cfRule type="cellIs" dxfId="362" priority="327" operator="between">
      <formula>0.02</formula>
      <formula>0.1</formula>
    </cfRule>
  </conditionalFormatting>
  <conditionalFormatting sqref="AU130">
    <cfRule type="cellIs" dxfId="361" priority="326" operator="between">
      <formula>0.0001</formula>
      <formula>0.02</formula>
    </cfRule>
    <cfRule type="cellIs" dxfId="360" priority="328" operator="greaterThan">
      <formula>0.1</formula>
    </cfRule>
  </conditionalFormatting>
  <conditionalFormatting sqref="AU130">
    <cfRule type="cellIs" dxfId="359" priority="324" operator="greaterThan">
      <formula>0</formula>
    </cfRule>
  </conditionalFormatting>
  <conditionalFormatting sqref="AU130">
    <cfRule type="cellIs" dxfId="358" priority="325" operator="lessThan">
      <formula>0</formula>
    </cfRule>
  </conditionalFormatting>
  <conditionalFormatting sqref="AU130">
    <cfRule type="cellIs" dxfId="357" priority="322" operator="greaterThan">
      <formula>0</formula>
    </cfRule>
  </conditionalFormatting>
  <conditionalFormatting sqref="AU130">
    <cfRule type="cellIs" dxfId="356" priority="323" operator="lessThan">
      <formula>0</formula>
    </cfRule>
  </conditionalFormatting>
  <conditionalFormatting sqref="AV130">
    <cfRule type="containsText" dxfId="355" priority="314" operator="containsText" text="High">
      <formula>NOT(ISERROR(SEARCH("High",AV130)))</formula>
    </cfRule>
    <cfRule type="containsText" dxfId="354" priority="315" operator="containsText" text="Medium">
      <formula>NOT(ISERROR(SEARCH("Medium",AV130)))</formula>
    </cfRule>
    <cfRule type="containsText" dxfId="353" priority="316" operator="containsText" text="Low">
      <formula>NOT(ISERROR(SEARCH("Low",AV130)))</formula>
    </cfRule>
    <cfRule type="cellIs" dxfId="352" priority="317" operator="between">
      <formula>0.0001</formula>
      <formula>0.02</formula>
    </cfRule>
    <cfRule type="cellIs" dxfId="351" priority="318" operator="between">
      <formula>0.02</formula>
      <formula>0.1</formula>
    </cfRule>
    <cfRule type="cellIs" dxfId="350" priority="319" operator="greaterThan">
      <formula>0.1</formula>
    </cfRule>
    <cfRule type="cellIs" dxfId="349" priority="320" operator="greaterThan">
      <formula>0</formula>
    </cfRule>
    <cfRule type="cellIs" dxfId="348" priority="321" operator="lessThan">
      <formula>0</formula>
    </cfRule>
  </conditionalFormatting>
  <conditionalFormatting sqref="AT137">
    <cfRule type="cellIs" dxfId="347" priority="312" operator="greaterThan">
      <formula>0</formula>
    </cfRule>
    <cfRule type="cellIs" dxfId="346" priority="313" operator="lessThan">
      <formula>0</formula>
    </cfRule>
  </conditionalFormatting>
  <conditionalFormatting sqref="AU137">
    <cfRule type="cellIs" dxfId="345" priority="310" operator="between">
      <formula>0.02</formula>
      <formula>0.1</formula>
    </cfRule>
  </conditionalFormatting>
  <conditionalFormatting sqref="AU137">
    <cfRule type="cellIs" dxfId="344" priority="309" operator="between">
      <formula>0.0001</formula>
      <formula>0.02</formula>
    </cfRule>
    <cfRule type="cellIs" dxfId="343" priority="311" operator="greaterThan">
      <formula>0.1</formula>
    </cfRule>
  </conditionalFormatting>
  <conditionalFormatting sqref="AU137">
    <cfRule type="cellIs" dxfId="342" priority="307" operator="greaterThan">
      <formula>0</formula>
    </cfRule>
  </conditionalFormatting>
  <conditionalFormatting sqref="AU137">
    <cfRule type="cellIs" dxfId="341" priority="308" operator="lessThan">
      <formula>0</formula>
    </cfRule>
  </conditionalFormatting>
  <conditionalFormatting sqref="AU137">
    <cfRule type="cellIs" dxfId="340" priority="305" operator="greaterThan">
      <formula>0</formula>
    </cfRule>
  </conditionalFormatting>
  <conditionalFormatting sqref="AU137">
    <cfRule type="cellIs" dxfId="339" priority="306" operator="lessThan">
      <formula>0</formula>
    </cfRule>
  </conditionalFormatting>
  <conditionalFormatting sqref="AV137">
    <cfRule type="containsText" dxfId="338" priority="297" operator="containsText" text="High">
      <formula>NOT(ISERROR(SEARCH("High",AV137)))</formula>
    </cfRule>
    <cfRule type="containsText" dxfId="337" priority="298" operator="containsText" text="Medium">
      <formula>NOT(ISERROR(SEARCH("Medium",AV137)))</formula>
    </cfRule>
    <cfRule type="containsText" dxfId="336" priority="299" operator="containsText" text="Low">
      <formula>NOT(ISERROR(SEARCH("Low",AV137)))</formula>
    </cfRule>
    <cfRule type="cellIs" dxfId="335" priority="300" operator="between">
      <formula>0.0001</formula>
      <formula>0.02</formula>
    </cfRule>
    <cfRule type="cellIs" dxfId="334" priority="301" operator="between">
      <formula>0.02</formula>
      <formula>0.1</formula>
    </cfRule>
    <cfRule type="cellIs" dxfId="333" priority="302" operator="greaterThan">
      <formula>0.1</formula>
    </cfRule>
    <cfRule type="cellIs" dxfId="332" priority="303" operator="greaterThan">
      <formula>0</formula>
    </cfRule>
    <cfRule type="cellIs" dxfId="331" priority="304" operator="lessThan">
      <formula>0</formula>
    </cfRule>
  </conditionalFormatting>
  <conditionalFormatting sqref="AT144">
    <cfRule type="cellIs" dxfId="330" priority="295" operator="greaterThan">
      <formula>0</formula>
    </cfRule>
    <cfRule type="cellIs" dxfId="329" priority="296" operator="lessThan">
      <formula>0</formula>
    </cfRule>
  </conditionalFormatting>
  <conditionalFormatting sqref="AU144">
    <cfRule type="cellIs" dxfId="328" priority="293" operator="between">
      <formula>0.02</formula>
      <formula>0.1</formula>
    </cfRule>
  </conditionalFormatting>
  <conditionalFormatting sqref="AU144">
    <cfRule type="cellIs" dxfId="327" priority="292" operator="between">
      <formula>0.0001</formula>
      <formula>0.02</formula>
    </cfRule>
    <cfRule type="cellIs" dxfId="326" priority="294" operator="greaterThan">
      <formula>0.1</formula>
    </cfRule>
  </conditionalFormatting>
  <conditionalFormatting sqref="AU144">
    <cfRule type="cellIs" dxfId="325" priority="290" operator="greaterThan">
      <formula>0</formula>
    </cfRule>
  </conditionalFormatting>
  <conditionalFormatting sqref="AU144">
    <cfRule type="cellIs" dxfId="324" priority="291" operator="lessThan">
      <formula>0</formula>
    </cfRule>
  </conditionalFormatting>
  <conditionalFormatting sqref="AU144">
    <cfRule type="cellIs" dxfId="323" priority="288" operator="greaterThan">
      <formula>0</formula>
    </cfRule>
  </conditionalFormatting>
  <conditionalFormatting sqref="AU144">
    <cfRule type="cellIs" dxfId="322" priority="289" operator="lessThan">
      <formula>0</formula>
    </cfRule>
  </conditionalFormatting>
  <conditionalFormatting sqref="AV144">
    <cfRule type="containsText" dxfId="321" priority="280" operator="containsText" text="High">
      <formula>NOT(ISERROR(SEARCH("High",AV144)))</formula>
    </cfRule>
    <cfRule type="containsText" dxfId="320" priority="281" operator="containsText" text="Medium">
      <formula>NOT(ISERROR(SEARCH("Medium",AV144)))</formula>
    </cfRule>
    <cfRule type="containsText" dxfId="319" priority="282" operator="containsText" text="Low">
      <formula>NOT(ISERROR(SEARCH("Low",AV144)))</formula>
    </cfRule>
    <cfRule type="cellIs" dxfId="318" priority="283" operator="between">
      <formula>0.0001</formula>
      <formula>0.02</formula>
    </cfRule>
    <cfRule type="cellIs" dxfId="317" priority="284" operator="between">
      <formula>0.02</formula>
      <formula>0.1</formula>
    </cfRule>
    <cfRule type="cellIs" dxfId="316" priority="285" operator="greaterThan">
      <formula>0.1</formula>
    </cfRule>
    <cfRule type="cellIs" dxfId="315" priority="286" operator="greaterThan">
      <formula>0</formula>
    </cfRule>
    <cfRule type="cellIs" dxfId="314" priority="287" operator="lessThan">
      <formula>0</formula>
    </cfRule>
  </conditionalFormatting>
  <conditionalFormatting sqref="AT151">
    <cfRule type="cellIs" dxfId="313" priority="278" operator="greaterThan">
      <formula>0</formula>
    </cfRule>
    <cfRule type="cellIs" dxfId="312" priority="279" operator="lessThan">
      <formula>0</formula>
    </cfRule>
  </conditionalFormatting>
  <conditionalFormatting sqref="AU151">
    <cfRule type="cellIs" dxfId="311" priority="276" operator="between">
      <formula>0.02</formula>
      <formula>0.1</formula>
    </cfRule>
  </conditionalFormatting>
  <conditionalFormatting sqref="AU151">
    <cfRule type="cellIs" dxfId="310" priority="275" operator="between">
      <formula>0.0001</formula>
      <formula>0.02</formula>
    </cfRule>
    <cfRule type="cellIs" dxfId="309" priority="277" operator="greaterThan">
      <formula>0.1</formula>
    </cfRule>
  </conditionalFormatting>
  <conditionalFormatting sqref="AU151">
    <cfRule type="cellIs" dxfId="308" priority="273" operator="greaterThan">
      <formula>0</formula>
    </cfRule>
  </conditionalFormatting>
  <conditionalFormatting sqref="AU151">
    <cfRule type="cellIs" dxfId="307" priority="274" operator="lessThan">
      <formula>0</formula>
    </cfRule>
  </conditionalFormatting>
  <conditionalFormatting sqref="AU151">
    <cfRule type="cellIs" dxfId="306" priority="271" operator="greaterThan">
      <formula>0</formula>
    </cfRule>
  </conditionalFormatting>
  <conditionalFormatting sqref="AU151">
    <cfRule type="cellIs" dxfId="305" priority="272" operator="lessThan">
      <formula>0</formula>
    </cfRule>
  </conditionalFormatting>
  <conditionalFormatting sqref="AV151">
    <cfRule type="containsText" dxfId="304" priority="263" operator="containsText" text="High">
      <formula>NOT(ISERROR(SEARCH("High",AV151)))</formula>
    </cfRule>
    <cfRule type="containsText" dxfId="303" priority="264" operator="containsText" text="Medium">
      <formula>NOT(ISERROR(SEARCH("Medium",AV151)))</formula>
    </cfRule>
    <cfRule type="containsText" dxfId="302" priority="265" operator="containsText" text="Low">
      <formula>NOT(ISERROR(SEARCH("Low",AV151)))</formula>
    </cfRule>
    <cfRule type="cellIs" dxfId="301" priority="266" operator="between">
      <formula>0.0001</formula>
      <formula>0.02</formula>
    </cfRule>
    <cfRule type="cellIs" dxfId="300" priority="267" operator="between">
      <formula>0.02</formula>
      <formula>0.1</formula>
    </cfRule>
    <cfRule type="cellIs" dxfId="299" priority="268" operator="greaterThan">
      <formula>0.1</formula>
    </cfRule>
    <cfRule type="cellIs" dxfId="298" priority="269" operator="greaterThan">
      <formula>0</formula>
    </cfRule>
    <cfRule type="cellIs" dxfId="297" priority="270" operator="lessThan">
      <formula>0</formula>
    </cfRule>
  </conditionalFormatting>
  <conditionalFormatting sqref="AT158">
    <cfRule type="cellIs" dxfId="296" priority="261" operator="greaterThan">
      <formula>0</formula>
    </cfRule>
    <cfRule type="cellIs" dxfId="295" priority="262" operator="lessThan">
      <formula>0</formula>
    </cfRule>
  </conditionalFormatting>
  <conditionalFormatting sqref="AU158">
    <cfRule type="cellIs" dxfId="294" priority="259" operator="between">
      <formula>0.02</formula>
      <formula>0.1</formula>
    </cfRule>
  </conditionalFormatting>
  <conditionalFormatting sqref="AU158">
    <cfRule type="cellIs" dxfId="293" priority="258" operator="between">
      <formula>0.0001</formula>
      <formula>0.02</formula>
    </cfRule>
    <cfRule type="cellIs" dxfId="292" priority="260" operator="greaterThan">
      <formula>0.1</formula>
    </cfRule>
  </conditionalFormatting>
  <conditionalFormatting sqref="AU158">
    <cfRule type="cellIs" dxfId="291" priority="256" operator="greaterThan">
      <formula>0</formula>
    </cfRule>
  </conditionalFormatting>
  <conditionalFormatting sqref="AU158">
    <cfRule type="cellIs" dxfId="290" priority="257" operator="lessThan">
      <formula>0</formula>
    </cfRule>
  </conditionalFormatting>
  <conditionalFormatting sqref="AU158">
    <cfRule type="cellIs" dxfId="289" priority="254" operator="greaterThan">
      <formula>0</formula>
    </cfRule>
  </conditionalFormatting>
  <conditionalFormatting sqref="AU158">
    <cfRule type="cellIs" dxfId="288" priority="255" operator="lessThan">
      <formula>0</formula>
    </cfRule>
  </conditionalFormatting>
  <conditionalFormatting sqref="AV158">
    <cfRule type="containsText" dxfId="287" priority="246" operator="containsText" text="High">
      <formula>NOT(ISERROR(SEARCH("High",AV158)))</formula>
    </cfRule>
    <cfRule type="containsText" dxfId="286" priority="247" operator="containsText" text="Medium">
      <formula>NOT(ISERROR(SEARCH("Medium",AV158)))</formula>
    </cfRule>
    <cfRule type="containsText" dxfId="285" priority="248" operator="containsText" text="Low">
      <formula>NOT(ISERROR(SEARCH("Low",AV158)))</formula>
    </cfRule>
    <cfRule type="cellIs" dxfId="284" priority="249" operator="between">
      <formula>0.0001</formula>
      <formula>0.02</formula>
    </cfRule>
    <cfRule type="cellIs" dxfId="283" priority="250" operator="between">
      <formula>0.02</formula>
      <formula>0.1</formula>
    </cfRule>
    <cfRule type="cellIs" dxfId="282" priority="251" operator="greaterThan">
      <formula>0.1</formula>
    </cfRule>
    <cfRule type="cellIs" dxfId="281" priority="252" operator="greaterThan">
      <formula>0</formula>
    </cfRule>
    <cfRule type="cellIs" dxfId="280" priority="253" operator="lessThan">
      <formula>0</formula>
    </cfRule>
  </conditionalFormatting>
  <conditionalFormatting sqref="AT165">
    <cfRule type="cellIs" dxfId="279" priority="244" operator="greaterThan">
      <formula>0</formula>
    </cfRule>
    <cfRule type="cellIs" dxfId="278" priority="245" operator="lessThan">
      <formula>0</formula>
    </cfRule>
  </conditionalFormatting>
  <conditionalFormatting sqref="AU165">
    <cfRule type="cellIs" dxfId="277" priority="242" operator="between">
      <formula>0.02</formula>
      <formula>0.1</formula>
    </cfRule>
  </conditionalFormatting>
  <conditionalFormatting sqref="AU165">
    <cfRule type="cellIs" dxfId="276" priority="241" operator="between">
      <formula>0.0001</formula>
      <formula>0.02</formula>
    </cfRule>
    <cfRule type="cellIs" dxfId="275" priority="243" operator="greaterThan">
      <formula>0.1</formula>
    </cfRule>
  </conditionalFormatting>
  <conditionalFormatting sqref="AU165">
    <cfRule type="cellIs" dxfId="274" priority="239" operator="greaterThan">
      <formula>0</formula>
    </cfRule>
  </conditionalFormatting>
  <conditionalFormatting sqref="AU165">
    <cfRule type="cellIs" dxfId="273" priority="240" operator="lessThan">
      <formula>0</formula>
    </cfRule>
  </conditionalFormatting>
  <conditionalFormatting sqref="AU165">
    <cfRule type="cellIs" dxfId="272" priority="237" operator="greaterThan">
      <formula>0</formula>
    </cfRule>
  </conditionalFormatting>
  <conditionalFormatting sqref="AU165">
    <cfRule type="cellIs" dxfId="271" priority="238" operator="lessThan">
      <formula>0</formula>
    </cfRule>
  </conditionalFormatting>
  <conditionalFormatting sqref="AV165">
    <cfRule type="containsText" dxfId="270" priority="229" operator="containsText" text="High">
      <formula>NOT(ISERROR(SEARCH("High",AV165)))</formula>
    </cfRule>
    <cfRule type="containsText" dxfId="269" priority="230" operator="containsText" text="Medium">
      <formula>NOT(ISERROR(SEARCH("Medium",AV165)))</formula>
    </cfRule>
    <cfRule type="containsText" dxfId="268" priority="231" operator="containsText" text="Low">
      <formula>NOT(ISERROR(SEARCH("Low",AV165)))</formula>
    </cfRule>
    <cfRule type="cellIs" dxfId="267" priority="232" operator="between">
      <formula>0.0001</formula>
      <formula>0.02</formula>
    </cfRule>
    <cfRule type="cellIs" dxfId="266" priority="233" operator="between">
      <formula>0.02</formula>
      <formula>0.1</formula>
    </cfRule>
    <cfRule type="cellIs" dxfId="265" priority="234" operator="greaterThan">
      <formula>0.1</formula>
    </cfRule>
    <cfRule type="cellIs" dxfId="264" priority="235" operator="greaterThan">
      <formula>0</formula>
    </cfRule>
    <cfRule type="cellIs" dxfId="263" priority="236" operator="lessThan">
      <formula>0</formula>
    </cfRule>
  </conditionalFormatting>
  <conditionalFormatting sqref="AT172">
    <cfRule type="cellIs" dxfId="262" priority="227" operator="greaterThan">
      <formula>0</formula>
    </cfRule>
    <cfRule type="cellIs" dxfId="261" priority="228" operator="lessThan">
      <formula>0</formula>
    </cfRule>
  </conditionalFormatting>
  <conditionalFormatting sqref="AU172">
    <cfRule type="cellIs" dxfId="260" priority="225" operator="between">
      <formula>0.02</formula>
      <formula>0.1</formula>
    </cfRule>
  </conditionalFormatting>
  <conditionalFormatting sqref="AU172">
    <cfRule type="cellIs" dxfId="259" priority="224" operator="between">
      <formula>0.0001</formula>
      <formula>0.02</formula>
    </cfRule>
    <cfRule type="cellIs" dxfId="258" priority="226" operator="greaterThan">
      <formula>0.1</formula>
    </cfRule>
  </conditionalFormatting>
  <conditionalFormatting sqref="AU172">
    <cfRule type="cellIs" dxfId="257" priority="222" operator="greaterThan">
      <formula>0</formula>
    </cfRule>
  </conditionalFormatting>
  <conditionalFormatting sqref="AU172">
    <cfRule type="cellIs" dxfId="256" priority="223" operator="lessThan">
      <formula>0</formula>
    </cfRule>
  </conditionalFormatting>
  <conditionalFormatting sqref="AU172">
    <cfRule type="cellIs" dxfId="255" priority="220" operator="greaterThan">
      <formula>0</formula>
    </cfRule>
  </conditionalFormatting>
  <conditionalFormatting sqref="AU172">
    <cfRule type="cellIs" dxfId="254" priority="221" operator="lessThan">
      <formula>0</formula>
    </cfRule>
  </conditionalFormatting>
  <conditionalFormatting sqref="AV172">
    <cfRule type="containsText" dxfId="253" priority="212" operator="containsText" text="High">
      <formula>NOT(ISERROR(SEARCH("High",AV172)))</formula>
    </cfRule>
    <cfRule type="containsText" dxfId="252" priority="213" operator="containsText" text="Medium">
      <formula>NOT(ISERROR(SEARCH("Medium",AV172)))</formula>
    </cfRule>
    <cfRule type="containsText" dxfId="251" priority="214" operator="containsText" text="Low">
      <formula>NOT(ISERROR(SEARCH("Low",AV172)))</formula>
    </cfRule>
    <cfRule type="cellIs" dxfId="250" priority="215" operator="between">
      <formula>0.0001</formula>
      <formula>0.02</formula>
    </cfRule>
    <cfRule type="cellIs" dxfId="249" priority="216" operator="between">
      <formula>0.02</formula>
      <formula>0.1</formula>
    </cfRule>
    <cfRule type="cellIs" dxfId="248" priority="217" operator="greaterThan">
      <formula>0.1</formula>
    </cfRule>
    <cfRule type="cellIs" dxfId="247" priority="218" operator="greaterThan">
      <formula>0</formula>
    </cfRule>
    <cfRule type="cellIs" dxfId="246" priority="219" operator="lessThan">
      <formula>0</formula>
    </cfRule>
  </conditionalFormatting>
  <conditionalFormatting sqref="AT179">
    <cfRule type="cellIs" dxfId="245" priority="210" operator="greaterThan">
      <formula>0</formula>
    </cfRule>
    <cfRule type="cellIs" dxfId="244" priority="211" operator="lessThan">
      <formula>0</formula>
    </cfRule>
  </conditionalFormatting>
  <conditionalFormatting sqref="AU179">
    <cfRule type="cellIs" dxfId="243" priority="208" operator="between">
      <formula>0.02</formula>
      <formula>0.1</formula>
    </cfRule>
  </conditionalFormatting>
  <conditionalFormatting sqref="AU179">
    <cfRule type="cellIs" dxfId="242" priority="207" operator="between">
      <formula>0.0001</formula>
      <formula>0.02</formula>
    </cfRule>
    <cfRule type="cellIs" dxfId="241" priority="209" operator="greaterThan">
      <formula>0.1</formula>
    </cfRule>
  </conditionalFormatting>
  <conditionalFormatting sqref="AU179">
    <cfRule type="cellIs" dxfId="240" priority="205" operator="greaterThan">
      <formula>0</formula>
    </cfRule>
  </conditionalFormatting>
  <conditionalFormatting sqref="AU179">
    <cfRule type="cellIs" dxfId="239" priority="206" operator="lessThan">
      <formula>0</formula>
    </cfRule>
  </conditionalFormatting>
  <conditionalFormatting sqref="AU179">
    <cfRule type="cellIs" dxfId="238" priority="203" operator="greaterThan">
      <formula>0</formula>
    </cfRule>
  </conditionalFormatting>
  <conditionalFormatting sqref="AU179">
    <cfRule type="cellIs" dxfId="237" priority="204" operator="lessThan">
      <formula>0</formula>
    </cfRule>
  </conditionalFormatting>
  <conditionalFormatting sqref="AV179">
    <cfRule type="containsText" dxfId="236" priority="195" operator="containsText" text="High">
      <formula>NOT(ISERROR(SEARCH("High",AV179)))</formula>
    </cfRule>
    <cfRule type="containsText" dxfId="235" priority="196" operator="containsText" text="Medium">
      <formula>NOT(ISERROR(SEARCH("Medium",AV179)))</formula>
    </cfRule>
    <cfRule type="containsText" dxfId="234" priority="197" operator="containsText" text="Low">
      <formula>NOT(ISERROR(SEARCH("Low",AV179)))</formula>
    </cfRule>
    <cfRule type="cellIs" dxfId="233" priority="198" operator="between">
      <formula>0.0001</formula>
      <formula>0.02</formula>
    </cfRule>
    <cfRule type="cellIs" dxfId="232" priority="199" operator="between">
      <formula>0.02</formula>
      <formula>0.1</formula>
    </cfRule>
    <cfRule type="cellIs" dxfId="231" priority="200" operator="greaterThan">
      <formula>0.1</formula>
    </cfRule>
    <cfRule type="cellIs" dxfId="230" priority="201" operator="greaterThan">
      <formula>0</formula>
    </cfRule>
    <cfRule type="cellIs" dxfId="229" priority="202" operator="lessThan">
      <formula>0</formula>
    </cfRule>
  </conditionalFormatting>
  <conditionalFormatting sqref="M186">
    <cfRule type="cellIs" dxfId="228" priority="193" operator="greaterThan">
      <formula>0</formula>
    </cfRule>
  </conditionalFormatting>
  <conditionalFormatting sqref="M186">
    <cfRule type="cellIs" dxfId="227" priority="194" operator="lessThan">
      <formula>0</formula>
    </cfRule>
  </conditionalFormatting>
  <conditionalFormatting sqref="AD186">
    <cfRule type="cellIs" dxfId="226" priority="191" operator="greaterThan">
      <formula>0</formula>
    </cfRule>
    <cfRule type="cellIs" dxfId="225" priority="192" operator="lessThan">
      <formula>0</formula>
    </cfRule>
  </conditionalFormatting>
  <conditionalFormatting sqref="AE186">
    <cfRule type="cellIs" dxfId="224" priority="189" operator="greaterThan">
      <formula>0</formula>
    </cfRule>
  </conditionalFormatting>
  <conditionalFormatting sqref="AE186">
    <cfRule type="cellIs" dxfId="223" priority="190" operator="lessThan">
      <formula>0</formula>
    </cfRule>
  </conditionalFormatting>
  <conditionalFormatting sqref="AE186">
    <cfRule type="cellIs" dxfId="222" priority="187" operator="greaterThan">
      <formula>0</formula>
    </cfRule>
  </conditionalFormatting>
  <conditionalFormatting sqref="AE186">
    <cfRule type="cellIs" dxfId="221" priority="188" operator="lessThan">
      <formula>0</formula>
    </cfRule>
  </conditionalFormatting>
  <conditionalFormatting sqref="AF187:AF192">
    <cfRule type="cellIs" dxfId="220" priority="185" operator="greaterThan">
      <formula>0</formula>
    </cfRule>
    <cfRule type="cellIs" dxfId="219" priority="186" operator="lessThan">
      <formula>0</formula>
    </cfRule>
  </conditionalFormatting>
  <conditionalFormatting sqref="AE187">
    <cfRule type="cellIs" dxfId="218" priority="183" operator="greaterThan">
      <formula>0</formula>
    </cfRule>
    <cfRule type="cellIs" dxfId="217" priority="184" operator="lessThan">
      <formula>0</formula>
    </cfRule>
  </conditionalFormatting>
  <conditionalFormatting sqref="AE187">
    <cfRule type="cellIs" dxfId="216" priority="181" operator="greaterThan">
      <formula>0</formula>
    </cfRule>
    <cfRule type="cellIs" dxfId="215" priority="182" operator="lessThan">
      <formula>0</formula>
    </cfRule>
  </conditionalFormatting>
  <conditionalFormatting sqref="AE187">
    <cfRule type="cellIs" dxfId="214" priority="179" operator="greaterThan">
      <formula>0</formula>
    </cfRule>
    <cfRule type="cellIs" dxfId="213" priority="180" operator="lessThan">
      <formula>0</formula>
    </cfRule>
  </conditionalFormatting>
  <conditionalFormatting sqref="AD193">
    <cfRule type="cellIs" dxfId="212" priority="177" operator="greaterThan">
      <formula>0</formula>
    </cfRule>
    <cfRule type="cellIs" dxfId="211" priority="178" operator="lessThan">
      <formula>0</formula>
    </cfRule>
  </conditionalFormatting>
  <conditionalFormatting sqref="AE193">
    <cfRule type="cellIs" dxfId="210" priority="175" operator="greaterThan">
      <formula>0</formula>
    </cfRule>
  </conditionalFormatting>
  <conditionalFormatting sqref="AE193">
    <cfRule type="cellIs" dxfId="209" priority="176" operator="lessThan">
      <formula>0</formula>
    </cfRule>
  </conditionalFormatting>
  <conditionalFormatting sqref="AE193">
    <cfRule type="cellIs" dxfId="208" priority="173" operator="greaterThan">
      <formula>0</formula>
    </cfRule>
  </conditionalFormatting>
  <conditionalFormatting sqref="AE193">
    <cfRule type="cellIs" dxfId="207" priority="174" operator="lessThan">
      <formula>0</formula>
    </cfRule>
  </conditionalFormatting>
  <conditionalFormatting sqref="AF194:AF199">
    <cfRule type="cellIs" dxfId="206" priority="171" operator="greaterThan">
      <formula>0</formula>
    </cfRule>
    <cfRule type="cellIs" dxfId="205" priority="172" operator="lessThan">
      <formula>0</formula>
    </cfRule>
  </conditionalFormatting>
  <conditionalFormatting sqref="AE194">
    <cfRule type="cellIs" dxfId="204" priority="169" operator="greaterThan">
      <formula>0</formula>
    </cfRule>
    <cfRule type="cellIs" dxfId="203" priority="170" operator="lessThan">
      <formula>0</formula>
    </cfRule>
  </conditionalFormatting>
  <conditionalFormatting sqref="AE194">
    <cfRule type="cellIs" dxfId="202" priority="167" operator="greaterThan">
      <formula>0</formula>
    </cfRule>
    <cfRule type="cellIs" dxfId="201" priority="168" operator="lessThan">
      <formula>0</formula>
    </cfRule>
  </conditionalFormatting>
  <conditionalFormatting sqref="AE194">
    <cfRule type="cellIs" dxfId="200" priority="165" operator="greaterThan">
      <formula>0</formula>
    </cfRule>
    <cfRule type="cellIs" dxfId="199" priority="166" operator="lessThan">
      <formula>0</formula>
    </cfRule>
  </conditionalFormatting>
  <conditionalFormatting sqref="AT186">
    <cfRule type="cellIs" dxfId="198" priority="163" operator="greaterThan">
      <formula>0</formula>
    </cfRule>
    <cfRule type="cellIs" dxfId="197" priority="164" operator="lessThan">
      <formula>0</formula>
    </cfRule>
  </conditionalFormatting>
  <conditionalFormatting sqref="AU186">
    <cfRule type="cellIs" dxfId="196" priority="161" operator="between">
      <formula>0.02</formula>
      <formula>0.1</formula>
    </cfRule>
  </conditionalFormatting>
  <conditionalFormatting sqref="AU186">
    <cfRule type="cellIs" dxfId="195" priority="160" operator="between">
      <formula>0.0001</formula>
      <formula>0.02</formula>
    </cfRule>
    <cfRule type="cellIs" dxfId="194" priority="162" operator="greaterThan">
      <formula>0.1</formula>
    </cfRule>
  </conditionalFormatting>
  <conditionalFormatting sqref="AU186">
    <cfRule type="cellIs" dxfId="193" priority="158" operator="greaterThan">
      <formula>0</formula>
    </cfRule>
  </conditionalFormatting>
  <conditionalFormatting sqref="AU186">
    <cfRule type="cellIs" dxfId="192" priority="159" operator="lessThan">
      <formula>0</formula>
    </cfRule>
  </conditionalFormatting>
  <conditionalFormatting sqref="AU186">
    <cfRule type="cellIs" dxfId="191" priority="156" operator="greaterThan">
      <formula>0</formula>
    </cfRule>
  </conditionalFormatting>
  <conditionalFormatting sqref="AU186">
    <cfRule type="cellIs" dxfId="190" priority="157" operator="lessThan">
      <formula>0</formula>
    </cfRule>
  </conditionalFormatting>
  <conditionalFormatting sqref="AV186">
    <cfRule type="containsText" dxfId="189" priority="148" operator="containsText" text="High">
      <formula>NOT(ISERROR(SEARCH("High",AV186)))</formula>
    </cfRule>
    <cfRule type="containsText" dxfId="188" priority="149" operator="containsText" text="Medium">
      <formula>NOT(ISERROR(SEARCH("Medium",AV186)))</formula>
    </cfRule>
    <cfRule type="containsText" dxfId="187" priority="150" operator="containsText" text="Low">
      <formula>NOT(ISERROR(SEARCH("Low",AV186)))</formula>
    </cfRule>
    <cfRule type="cellIs" dxfId="186" priority="151" operator="between">
      <formula>0.0001</formula>
      <formula>0.02</formula>
    </cfRule>
    <cfRule type="cellIs" dxfId="185" priority="152" operator="between">
      <formula>0.02</formula>
      <formula>0.1</formula>
    </cfRule>
    <cfRule type="cellIs" dxfId="184" priority="153" operator="greaterThan">
      <formula>0.1</formula>
    </cfRule>
    <cfRule type="cellIs" dxfId="183" priority="154" operator="greaterThan">
      <formula>0</formula>
    </cfRule>
    <cfRule type="cellIs" dxfId="182" priority="155" operator="lessThan">
      <formula>0</formula>
    </cfRule>
  </conditionalFormatting>
  <conditionalFormatting sqref="AT193">
    <cfRule type="cellIs" dxfId="181" priority="146" operator="greaterThan">
      <formula>0</formula>
    </cfRule>
    <cfRule type="cellIs" dxfId="180" priority="147" operator="lessThan">
      <formula>0</formula>
    </cfRule>
  </conditionalFormatting>
  <conditionalFormatting sqref="AU193">
    <cfRule type="cellIs" dxfId="179" priority="144" operator="between">
      <formula>0.02</formula>
      <formula>0.1</formula>
    </cfRule>
  </conditionalFormatting>
  <conditionalFormatting sqref="AU193">
    <cfRule type="cellIs" dxfId="178" priority="143" operator="between">
      <formula>0.0001</formula>
      <formula>0.02</formula>
    </cfRule>
    <cfRule type="cellIs" dxfId="177" priority="145" operator="greaterThan">
      <formula>0.1</formula>
    </cfRule>
  </conditionalFormatting>
  <conditionalFormatting sqref="AU193">
    <cfRule type="cellIs" dxfId="176" priority="141" operator="greaterThan">
      <formula>0</formula>
    </cfRule>
  </conditionalFormatting>
  <conditionalFormatting sqref="AU193">
    <cfRule type="cellIs" dxfId="175" priority="142" operator="lessThan">
      <formula>0</formula>
    </cfRule>
  </conditionalFormatting>
  <conditionalFormatting sqref="AU193">
    <cfRule type="cellIs" dxfId="174" priority="139" operator="greaterThan">
      <formula>0</formula>
    </cfRule>
  </conditionalFormatting>
  <conditionalFormatting sqref="AU193">
    <cfRule type="cellIs" dxfId="173" priority="140" operator="lessThan">
      <formula>0</formula>
    </cfRule>
  </conditionalFormatting>
  <conditionalFormatting sqref="AV193">
    <cfRule type="containsText" dxfId="172" priority="131" operator="containsText" text="High">
      <formula>NOT(ISERROR(SEARCH("High",AV193)))</formula>
    </cfRule>
    <cfRule type="containsText" dxfId="171" priority="132" operator="containsText" text="Medium">
      <formula>NOT(ISERROR(SEARCH("Medium",AV193)))</formula>
    </cfRule>
    <cfRule type="containsText" dxfId="170" priority="133" operator="containsText" text="Low">
      <formula>NOT(ISERROR(SEARCH("Low",AV193)))</formula>
    </cfRule>
    <cfRule type="cellIs" dxfId="169" priority="134" operator="between">
      <formula>0.0001</formula>
      <formula>0.02</formula>
    </cfRule>
    <cfRule type="cellIs" dxfId="168" priority="135" operator="between">
      <formula>0.02</formula>
      <formula>0.1</formula>
    </cfRule>
    <cfRule type="cellIs" dxfId="167" priority="136" operator="greaterThan">
      <formula>0.1</formula>
    </cfRule>
    <cfRule type="cellIs" dxfId="166" priority="137" operator="greaterThan">
      <formula>0</formula>
    </cfRule>
    <cfRule type="cellIs" dxfId="165" priority="138" operator="lessThan">
      <formula>0</formula>
    </cfRule>
  </conditionalFormatting>
  <conditionalFormatting sqref="AT200">
    <cfRule type="cellIs" dxfId="164" priority="129" operator="greaterThan">
      <formula>0</formula>
    </cfRule>
    <cfRule type="cellIs" dxfId="163" priority="130" operator="lessThan">
      <formula>0</formula>
    </cfRule>
  </conditionalFormatting>
  <conditionalFormatting sqref="AU200">
    <cfRule type="cellIs" dxfId="162" priority="127" operator="between">
      <formula>0.02</formula>
      <formula>0.1</formula>
    </cfRule>
  </conditionalFormatting>
  <conditionalFormatting sqref="AU200">
    <cfRule type="cellIs" dxfId="161" priority="126" operator="between">
      <formula>0.0001</formula>
      <formula>0.02</formula>
    </cfRule>
    <cfRule type="cellIs" dxfId="160" priority="128" operator="greaterThan">
      <formula>0.1</formula>
    </cfRule>
  </conditionalFormatting>
  <conditionalFormatting sqref="AU200">
    <cfRule type="cellIs" dxfId="159" priority="124" operator="greaterThan">
      <formula>0</formula>
    </cfRule>
  </conditionalFormatting>
  <conditionalFormatting sqref="AU200">
    <cfRule type="cellIs" dxfId="158" priority="125" operator="lessThan">
      <formula>0</formula>
    </cfRule>
  </conditionalFormatting>
  <conditionalFormatting sqref="AU200">
    <cfRule type="cellIs" dxfId="157" priority="122" operator="greaterThan">
      <formula>0</formula>
    </cfRule>
  </conditionalFormatting>
  <conditionalFormatting sqref="AU200">
    <cfRule type="cellIs" dxfId="156" priority="123" operator="lessThan">
      <formula>0</formula>
    </cfRule>
  </conditionalFormatting>
  <conditionalFormatting sqref="AV200">
    <cfRule type="containsText" dxfId="155" priority="114" operator="containsText" text="High">
      <formula>NOT(ISERROR(SEARCH("High",AV200)))</formula>
    </cfRule>
    <cfRule type="containsText" dxfId="154" priority="115" operator="containsText" text="Medium">
      <formula>NOT(ISERROR(SEARCH("Medium",AV200)))</formula>
    </cfRule>
    <cfRule type="containsText" dxfId="153" priority="116" operator="containsText" text="Low">
      <formula>NOT(ISERROR(SEARCH("Low",AV200)))</formula>
    </cfRule>
    <cfRule type="cellIs" dxfId="152" priority="117" operator="between">
      <formula>0.0001</formula>
      <formula>0.02</formula>
    </cfRule>
    <cfRule type="cellIs" dxfId="151" priority="118" operator="between">
      <formula>0.02</formula>
      <formula>0.1</formula>
    </cfRule>
    <cfRule type="cellIs" dxfId="150" priority="119" operator="greaterThan">
      <formula>0.1</formula>
    </cfRule>
    <cfRule type="cellIs" dxfId="149" priority="120" operator="greaterThan">
      <formula>0</formula>
    </cfRule>
    <cfRule type="cellIs" dxfId="148" priority="121" operator="lessThan">
      <formula>0</formula>
    </cfRule>
  </conditionalFormatting>
  <conditionalFormatting sqref="AF180:AF185">
    <cfRule type="cellIs" dxfId="147" priority="112" operator="greaterThan">
      <formula>0</formula>
    </cfRule>
    <cfRule type="cellIs" dxfId="146" priority="113" operator="lessThan">
      <formula>0</formula>
    </cfRule>
  </conditionalFormatting>
  <conditionalFormatting sqref="M193">
    <cfRule type="cellIs" dxfId="145" priority="110" operator="greaterThan">
      <formula>0</formula>
    </cfRule>
  </conditionalFormatting>
  <conditionalFormatting sqref="M193">
    <cfRule type="cellIs" dxfId="144" priority="111" operator="lessThan">
      <formula>0</formula>
    </cfRule>
  </conditionalFormatting>
  <conditionalFormatting sqref="M200">
    <cfRule type="cellIs" dxfId="143" priority="108" operator="greaterThan">
      <formula>0</formula>
    </cfRule>
  </conditionalFormatting>
  <conditionalFormatting sqref="M200">
    <cfRule type="cellIs" dxfId="142" priority="109" operator="lessThan">
      <formula>0</formula>
    </cfRule>
  </conditionalFormatting>
  <conditionalFormatting sqref="M207">
    <cfRule type="cellIs" dxfId="141" priority="106" operator="greaterThan">
      <formula>0</formula>
    </cfRule>
  </conditionalFormatting>
  <conditionalFormatting sqref="M207">
    <cfRule type="cellIs" dxfId="140" priority="107" operator="lessThan">
      <formula>0</formula>
    </cfRule>
  </conditionalFormatting>
  <conditionalFormatting sqref="AD200">
    <cfRule type="cellIs" dxfId="139" priority="104" operator="greaterThan">
      <formula>0</formula>
    </cfRule>
    <cfRule type="cellIs" dxfId="138" priority="105" operator="lessThan">
      <formula>0</formula>
    </cfRule>
  </conditionalFormatting>
  <conditionalFormatting sqref="AE200">
    <cfRule type="cellIs" dxfId="137" priority="102" operator="greaterThan">
      <formula>0</formula>
    </cfRule>
  </conditionalFormatting>
  <conditionalFormatting sqref="AE200">
    <cfRule type="cellIs" dxfId="136" priority="103" operator="lessThan">
      <formula>0</formula>
    </cfRule>
  </conditionalFormatting>
  <conditionalFormatting sqref="AE200">
    <cfRule type="cellIs" dxfId="135" priority="100" operator="greaterThan">
      <formula>0</formula>
    </cfRule>
  </conditionalFormatting>
  <conditionalFormatting sqref="AE200">
    <cfRule type="cellIs" dxfId="134" priority="101" operator="lessThan">
      <formula>0</formula>
    </cfRule>
  </conditionalFormatting>
  <conditionalFormatting sqref="AF201:AF206">
    <cfRule type="cellIs" dxfId="133" priority="98" operator="greaterThan">
      <formula>0</formula>
    </cfRule>
    <cfRule type="cellIs" dxfId="132" priority="99" operator="lessThan">
      <formula>0</formula>
    </cfRule>
  </conditionalFormatting>
  <conditionalFormatting sqref="AE201">
    <cfRule type="cellIs" dxfId="131" priority="96" operator="greaterThan">
      <formula>0</formula>
    </cfRule>
    <cfRule type="cellIs" dxfId="130" priority="97" operator="lessThan">
      <formula>0</formula>
    </cfRule>
  </conditionalFormatting>
  <conditionalFormatting sqref="AE201">
    <cfRule type="cellIs" dxfId="129" priority="94" operator="greaterThan">
      <formula>0</formula>
    </cfRule>
    <cfRule type="cellIs" dxfId="128" priority="95" operator="lessThan">
      <formula>0</formula>
    </cfRule>
  </conditionalFormatting>
  <conditionalFormatting sqref="AE201">
    <cfRule type="cellIs" dxfId="127" priority="92" operator="greaterThan">
      <formula>0</formula>
    </cfRule>
    <cfRule type="cellIs" dxfId="126" priority="93" operator="lessThan">
      <formula>0</formula>
    </cfRule>
  </conditionalFormatting>
  <conditionalFormatting sqref="AD207">
    <cfRule type="cellIs" dxfId="125" priority="90" operator="greaterThan">
      <formula>0</formula>
    </cfRule>
    <cfRule type="cellIs" dxfId="124" priority="91" operator="lessThan">
      <formula>0</formula>
    </cfRule>
  </conditionalFormatting>
  <conditionalFormatting sqref="AE207">
    <cfRule type="cellIs" dxfId="123" priority="88" operator="greaterThan">
      <formula>0</formula>
    </cfRule>
  </conditionalFormatting>
  <conditionalFormatting sqref="AE207">
    <cfRule type="cellIs" dxfId="122" priority="89" operator="lessThan">
      <formula>0</formula>
    </cfRule>
  </conditionalFormatting>
  <conditionalFormatting sqref="AE207">
    <cfRule type="cellIs" dxfId="121" priority="86" operator="greaterThan">
      <formula>0</formula>
    </cfRule>
  </conditionalFormatting>
  <conditionalFormatting sqref="AE207">
    <cfRule type="cellIs" dxfId="120" priority="87" operator="lessThan">
      <formula>0</formula>
    </cfRule>
  </conditionalFormatting>
  <conditionalFormatting sqref="AF208:AF493">
    <cfRule type="cellIs" dxfId="119" priority="84" operator="greaterThan">
      <formula>0</formula>
    </cfRule>
    <cfRule type="cellIs" dxfId="118" priority="85" operator="lessThan">
      <formula>0</formula>
    </cfRule>
  </conditionalFormatting>
  <conditionalFormatting sqref="AE208 AE214 AE220:AE221 AE227:AE228 AE234:AE235 AE241:AE242 AE248:AE249 AE276:AE277 AE304:AE305 AE332:AE333 AE360:AE361 AE388:AE389 AE416:AE417 AE444:AE445 AE472:AE473 AE255:AE256 AE283:AE284 AE311:AE312 AE339:AE340 AE367:AE368 AE395:AE396 AE423:AE424 AE451:AE452 AE479:AE480 AE262:AE263 AE290:AE291 AE318:AE319 AE346:AE347 AE374:AE375 AE402:AE403 AE430:AE431 AE458:AE459 AE486:AE487 AE269:AE270 AE297:AE298 AE325:AE326 AE353:AE354 AE381:AE382 AE409:AE410 AE437:AE438 AE465:AE466 AE493">
    <cfRule type="cellIs" dxfId="117" priority="82" operator="greaterThan">
      <formula>0</formula>
    </cfRule>
    <cfRule type="cellIs" dxfId="116" priority="83" operator="lessThan">
      <formula>0</formula>
    </cfRule>
  </conditionalFormatting>
  <conditionalFormatting sqref="AE208 AE214 AE220:AE221 AE227:AE228 AE234:AE235 AE241:AE242 AE248:AE249 AE276:AE277 AE304:AE305 AE332:AE333 AE360:AE361 AE388:AE389 AE416:AE417 AE444:AE445 AE472:AE473 AE255:AE256 AE283:AE284 AE311:AE312 AE339:AE340 AE367:AE368 AE395:AE396 AE423:AE424 AE451:AE452 AE479:AE480 AE262:AE263 AE290:AE291 AE318:AE319 AE346:AE347 AE374:AE375 AE402:AE403 AE430:AE431 AE458:AE459 AE486:AE487 AE269:AE270 AE297:AE298 AE325:AE326 AE353:AE354 AE381:AE382 AE409:AE410 AE437:AE438 AE465:AE466 AE493">
    <cfRule type="cellIs" dxfId="115" priority="80" operator="greaterThan">
      <formula>0</formula>
    </cfRule>
    <cfRule type="cellIs" dxfId="114" priority="81" operator="lessThan">
      <formula>0</formula>
    </cfRule>
  </conditionalFormatting>
  <conditionalFormatting sqref="AE208 AE214 AE220:AE221 AE227:AE228 AE234:AE235 AE241:AE242 AE248:AE249 AE276:AE277 AE304:AE305 AE332:AE333 AE360:AE361 AE388:AE389 AE416:AE417 AE444:AE445 AE472:AE473 AE255:AE256 AE283:AE284 AE311:AE312 AE339:AE340 AE367:AE368 AE395:AE396 AE423:AE424 AE451:AE452 AE479:AE480 AE262:AE263 AE290:AE291 AE318:AE319 AE346:AE347 AE374:AE375 AE402:AE403 AE430:AE431 AE458:AE459 AE486:AE487 AE269:AE270 AE297:AE298 AE325:AE326 AE353:AE354 AE381:AE382 AE409:AE410 AE437:AE438 AE465:AE466 AE493">
    <cfRule type="cellIs" dxfId="113" priority="78" operator="greaterThan">
      <formula>0</formula>
    </cfRule>
    <cfRule type="cellIs" dxfId="112" priority="79" operator="lessThan">
      <formula>0</formula>
    </cfRule>
  </conditionalFormatting>
  <conditionalFormatting sqref="AT207">
    <cfRule type="cellIs" dxfId="111" priority="76" operator="greaterThan">
      <formula>0</formula>
    </cfRule>
    <cfRule type="cellIs" dxfId="110" priority="77" operator="lessThan">
      <formula>0</formula>
    </cfRule>
  </conditionalFormatting>
  <conditionalFormatting sqref="AU207">
    <cfRule type="cellIs" dxfId="109" priority="74" operator="between">
      <formula>0.02</formula>
      <formula>0.1</formula>
    </cfRule>
  </conditionalFormatting>
  <conditionalFormatting sqref="AU207">
    <cfRule type="cellIs" dxfId="108" priority="73" operator="between">
      <formula>0.0001</formula>
      <formula>0.02</formula>
    </cfRule>
    <cfRule type="cellIs" dxfId="107" priority="75" operator="greaterThan">
      <formula>0.1</formula>
    </cfRule>
  </conditionalFormatting>
  <conditionalFormatting sqref="AU207">
    <cfRule type="cellIs" dxfId="106" priority="71" operator="greaterThan">
      <formula>0</formula>
    </cfRule>
  </conditionalFormatting>
  <conditionalFormatting sqref="AU207">
    <cfRule type="cellIs" dxfId="105" priority="72" operator="lessThan">
      <formula>0</formula>
    </cfRule>
  </conditionalFormatting>
  <conditionalFormatting sqref="AU207">
    <cfRule type="cellIs" dxfId="104" priority="69" operator="greaterThan">
      <formula>0</formula>
    </cfRule>
  </conditionalFormatting>
  <conditionalFormatting sqref="AU207">
    <cfRule type="cellIs" dxfId="103" priority="70" operator="lessThan">
      <formula>0</formula>
    </cfRule>
  </conditionalFormatting>
  <conditionalFormatting sqref="AV207 AV214 AV221 AV228 AV235 AV242 AV249 AV256 AV263 AV270 AV277 AV284 AV291 AV298 AV305 AV312 AV319 AV326 AV333 AV340 AV347 AV354 AV361 AV368 AV375 AV382 AV389 AV396 AV403 AV410 AV417 AV424 AV431 AV438 AV445 AV452 AV459 AV466 AV473 AV480 AV487">
    <cfRule type="containsText" dxfId="102" priority="61" operator="containsText" text="High">
      <formula>NOT(ISERROR(SEARCH("High",AV207)))</formula>
    </cfRule>
    <cfRule type="containsText" dxfId="101" priority="62" operator="containsText" text="Medium">
      <formula>NOT(ISERROR(SEARCH("Medium",AV207)))</formula>
    </cfRule>
    <cfRule type="containsText" dxfId="100" priority="63" operator="containsText" text="Low">
      <formula>NOT(ISERROR(SEARCH("Low",AV207)))</formula>
    </cfRule>
    <cfRule type="cellIs" dxfId="99" priority="64" operator="between">
      <formula>0.0001</formula>
      <formula>0.02</formula>
    </cfRule>
    <cfRule type="cellIs" dxfId="98" priority="65" operator="between">
      <formula>0.02</formula>
      <formula>0.1</formula>
    </cfRule>
    <cfRule type="cellIs" dxfId="97" priority="66" operator="greaterThan">
      <formula>0.1</formula>
    </cfRule>
    <cfRule type="cellIs" dxfId="96" priority="67" operator="greaterThan">
      <formula>0</formula>
    </cfRule>
    <cfRule type="cellIs" dxfId="95" priority="68" operator="lessThan">
      <formula>0</formula>
    </cfRule>
  </conditionalFormatting>
  <conditionalFormatting sqref="M214">
    <cfRule type="cellIs" dxfId="94" priority="59" operator="greaterThan">
      <formula>0</formula>
    </cfRule>
  </conditionalFormatting>
  <conditionalFormatting sqref="M214">
    <cfRule type="cellIs" dxfId="93" priority="60" operator="lessThan">
      <formula>0</formula>
    </cfRule>
  </conditionalFormatting>
  <conditionalFormatting sqref="AD214 AD228 AD242 AD270 AD298 AD326 AD354 AD382 AD410 AD438 AD466 AD256 AD284 AD312 AD340 AD368 AD396 AD424 AD452 AD480">
    <cfRule type="cellIs" dxfId="92" priority="57" operator="greaterThan">
      <formula>0</formula>
    </cfRule>
    <cfRule type="cellIs" dxfId="91" priority="58" operator="lessThan">
      <formula>0</formula>
    </cfRule>
  </conditionalFormatting>
  <conditionalFormatting sqref="AT214">
    <cfRule type="cellIs" dxfId="90" priority="55" operator="greaterThan">
      <formula>0</formula>
    </cfRule>
    <cfRule type="cellIs" dxfId="89" priority="56" operator="lessThan">
      <formula>0</formula>
    </cfRule>
  </conditionalFormatting>
  <conditionalFormatting sqref="AU214">
    <cfRule type="cellIs" dxfId="88" priority="53" operator="between">
      <formula>0.02</formula>
      <formula>0.1</formula>
    </cfRule>
  </conditionalFormatting>
  <conditionalFormatting sqref="AU214">
    <cfRule type="cellIs" dxfId="87" priority="52" operator="between">
      <formula>0.0001</formula>
      <formula>0.02</formula>
    </cfRule>
    <cfRule type="cellIs" dxfId="86" priority="54" operator="greaterThan">
      <formula>0.1</formula>
    </cfRule>
  </conditionalFormatting>
  <conditionalFormatting sqref="AU214">
    <cfRule type="cellIs" dxfId="85" priority="50" operator="greaterThan">
      <formula>0</formula>
    </cfRule>
  </conditionalFormatting>
  <conditionalFormatting sqref="AU214">
    <cfRule type="cellIs" dxfId="84" priority="51" operator="lessThan">
      <formula>0</formula>
    </cfRule>
  </conditionalFormatting>
  <conditionalFormatting sqref="AU214">
    <cfRule type="cellIs" dxfId="83" priority="48" operator="greaterThan">
      <formula>0</formula>
    </cfRule>
  </conditionalFormatting>
  <conditionalFormatting sqref="AU214">
    <cfRule type="cellIs" dxfId="82" priority="49" operator="lessThan">
      <formula>0</formula>
    </cfRule>
  </conditionalFormatting>
  <conditionalFormatting sqref="AT221 AT228 AT235 AT242 AT249 AT256 AT263 AT270 AT277 AT284 AT291 AT298 AT305 AT312 AT319 AT326 AT333 AT340 AT347 AT354 AT361 AT368 AT375 AT382 AT389 AT396 AT403 AT410 AT417 AT424 AT431 AT438 AT445 AT452 AT459 AT466 AT473 AT480 AT487">
    <cfRule type="cellIs" dxfId="81" priority="46" operator="greaterThan">
      <formula>0</formula>
    </cfRule>
    <cfRule type="cellIs" dxfId="80" priority="47" operator="lessThan">
      <formula>0</formula>
    </cfRule>
  </conditionalFormatting>
  <conditionalFormatting sqref="AU221 AU228 AU235 AU242 AU249 AU256 AU263 AU270 AU277 AU284 AU291 AU298 AU305 AU312 AU319 AU326 AU333 AU340 AU347 AU354 AU361 AU368 AU375 AU382 AU389 AU396 AU403 AU410 AU417 AU424 AU431 AU438 AU445 AU452 AU459 AU466 AU473 AU480 AU487">
    <cfRule type="cellIs" dxfId="79" priority="44" operator="between">
      <formula>0.02</formula>
      <formula>0.1</formula>
    </cfRule>
  </conditionalFormatting>
  <conditionalFormatting sqref="AU221 AU228 AU235 AU242 AU249 AU256 AU263 AU270 AU277 AU284 AU291 AU298 AU305 AU312 AU319 AU326 AU333 AU340 AU347 AU354 AU361 AU368 AU375 AU382 AU389 AU396 AU403 AU410 AU417 AU424 AU431 AU438 AU445 AU452 AU459 AU466 AU473 AU480 AU487">
    <cfRule type="cellIs" dxfId="78" priority="43" operator="between">
      <formula>0.0001</formula>
      <formula>0.02</formula>
    </cfRule>
    <cfRule type="cellIs" dxfId="77" priority="45" operator="greaterThan">
      <formula>0.1</formula>
    </cfRule>
  </conditionalFormatting>
  <conditionalFormatting sqref="AU221 AU228 AU235 AU242 AU249 AU256 AU263 AU270 AU277 AU284 AU291 AU298 AU305 AU312 AU319 AU326 AU333 AU340 AU347 AU354 AU361 AU368 AU375 AU382 AU389 AU396 AU403 AU410 AU417 AU424 AU431 AU438 AU445 AU452 AU459 AU466 AU473 AU480 AU487">
    <cfRule type="cellIs" dxfId="76" priority="41" operator="greaterThan">
      <formula>0</formula>
    </cfRule>
  </conditionalFormatting>
  <conditionalFormatting sqref="AU221 AU228 AU235 AU242 AU249 AU256 AU263 AU270 AU277 AU284 AU291 AU298 AU305 AU312 AU319 AU326 AU333 AU340 AU347 AU354 AU361 AU368 AU375 AU382 AU389 AU396 AU403 AU410 AU417 AU424 AU431 AU438 AU445 AU452 AU459 AU466 AU473 AU480 AU487">
    <cfRule type="cellIs" dxfId="75" priority="42" operator="lessThan">
      <formula>0</formula>
    </cfRule>
  </conditionalFormatting>
  <conditionalFormatting sqref="AU221 AU228 AU235 AU242 AU249 AU256 AU263 AU270 AU277 AU284 AU291 AU298 AU305 AU312 AU319 AU326 AU333 AU340 AU347 AU354 AU361 AU368 AU375 AU382 AU389 AU396 AU403 AU410 AU417 AU424 AU431 AU438 AU445 AU452 AU459 AU466 AU473 AU480 AU487">
    <cfRule type="cellIs" dxfId="74" priority="39" operator="greaterThan">
      <formula>0</formula>
    </cfRule>
  </conditionalFormatting>
  <conditionalFormatting sqref="AU221 AU228 AU235 AU242 AU249 AU256 AU263 AU270 AU277 AU284 AU291 AU298 AU305 AU312 AU319 AU326 AU333 AU340 AU347 AU354 AU361 AU368 AU375 AU382 AU389 AU396 AU403 AU410 AU417 AU424 AU431 AU438 AU445 AU452 AU459 AU466 AU473 AU480 AU487">
    <cfRule type="cellIs" dxfId="73" priority="40" operator="lessThan">
      <formula>0</formula>
    </cfRule>
  </conditionalFormatting>
  <conditionalFormatting sqref="M221 M228 M235 M242 M249 M256 M263 M270 M277 M284 M291 M298 M305 M312 M319 M326 M333 M340 M347 M354 M361 M368 M375 M382 M389 M396 M403 M410 M417 M424 M431 M438 M445 M452 M459 M466 M473 M480 M487">
    <cfRule type="cellIs" dxfId="72" priority="37" operator="greaterThan">
      <formula>0</formula>
    </cfRule>
  </conditionalFormatting>
  <conditionalFormatting sqref="M221 M228 M235 M242 M249 M256 M263 M270 M277 M284 M291 M298 M305 M312 M319 M326 M333 M340 M347 M354 M361 M368 M375 M382 M389 M396 M403 M410 M417 M424 M431 M438 M445 M452 M459 M466 M473 M480 M487">
    <cfRule type="cellIs" dxfId="71" priority="38" operator="lessThan">
      <formula>0</formula>
    </cfRule>
  </conditionalFormatting>
  <conditionalFormatting sqref="AD221 AD235 AD249 AD277 AD305 AD333 AD361 AD389 AD417 AD445 AD473 AD263 AD291 AD319 AD347 AD375 AD403 AD431 AD459 AD487">
    <cfRule type="cellIs" dxfId="70" priority="33" operator="greaterThan">
      <formula>0</formula>
    </cfRule>
    <cfRule type="cellIs" dxfId="69" priority="34" operator="lessThan">
      <formula>0</formula>
    </cfRule>
  </conditionalFormatting>
  <conditionalFormatting sqref="AE214 AE228 AE242 AE270 AE298 AE326 AE354 AE382 AE410 AE438 AE466 AE256 AE284 AE312 AE340 AE368 AE396 AE424 AE452 AE480">
    <cfRule type="cellIs" dxfId="68" priority="31" operator="greaterThan">
      <formula>0</formula>
    </cfRule>
  </conditionalFormatting>
  <conditionalFormatting sqref="AE214 AE228 AE242 AE270 AE298 AE326 AE354 AE382 AE410 AE438 AE466 AE256 AE284 AE312 AE340 AE368 AE396 AE424 AE452 AE480">
    <cfRule type="cellIs" dxfId="67" priority="32" operator="lessThan">
      <formula>0</formula>
    </cfRule>
  </conditionalFormatting>
  <conditionalFormatting sqref="AE214 AE228 AE242 AE270 AE298 AE326 AE354 AE382 AE410 AE438 AE466 AE256 AE284 AE312 AE340 AE368 AE396 AE424 AE452 AE480">
    <cfRule type="cellIs" dxfId="66" priority="29" operator="greaterThan">
      <formula>0</formula>
    </cfRule>
  </conditionalFormatting>
  <conditionalFormatting sqref="AE214 AE228 AE242 AE270 AE298 AE326 AE354 AE382 AE410 AE438 AE466 AE256 AE284 AE312 AE340 AE368 AE396 AE424 AE452 AE480">
    <cfRule type="cellIs" dxfId="65" priority="30" operator="lessThan">
      <formula>0</formula>
    </cfRule>
  </conditionalFormatting>
  <conditionalFormatting sqref="AE220 AE234 AE248 AE276 AE304 AE332 AE360 AE388 AE416 AE444 AE472 AE262 AE290 AE318 AE346 AE374 AE402 AE430 AE458 AE486">
    <cfRule type="cellIs" dxfId="64" priority="19" operator="greaterThan">
      <formula>0</formula>
    </cfRule>
  </conditionalFormatting>
  <conditionalFormatting sqref="AE220 AE234 AE248 AE276 AE304 AE332 AE360 AE388 AE416 AE444 AE472 AE262 AE290 AE318 AE346 AE374 AE402 AE430 AE458 AE486">
    <cfRule type="cellIs" dxfId="63" priority="20" operator="lessThan">
      <formula>0</formula>
    </cfRule>
  </conditionalFormatting>
  <conditionalFormatting sqref="AE220 AE234 AE248 AE276 AE304 AE332 AE360 AE388 AE416 AE444 AE472 AE262 AE290 AE318 AE346 AE374 AE402 AE430 AE458 AE486">
    <cfRule type="cellIs" dxfId="62" priority="17" operator="greaterThan">
      <formula>0</formula>
    </cfRule>
  </conditionalFormatting>
  <conditionalFormatting sqref="AE220 AE234 AE248 AE276 AE304 AE332 AE360 AE388 AE416 AE444 AE472 AE262 AE290 AE318 AE346 AE374 AE402 AE430 AE458 AE486">
    <cfRule type="cellIs" dxfId="61" priority="18" operator="lessThan">
      <formula>0</formula>
    </cfRule>
  </conditionalFormatting>
  <conditionalFormatting sqref="AE221 AE235 AE249 AE277 AE305 AE333 AE361 AE389 AE417 AE445 AE473 AE263 AE291 AE319 AE347 AE375 AE403 AE431 AE459 AE487">
    <cfRule type="cellIs" dxfId="60" priority="15" operator="greaterThan">
      <formula>0</formula>
    </cfRule>
  </conditionalFormatting>
  <conditionalFormatting sqref="AE221 AE235 AE249 AE277 AE305 AE333 AE361 AE389 AE417 AE445 AE473 AE263 AE291 AE319 AE347 AE375 AE403 AE431 AE459 AE487">
    <cfRule type="cellIs" dxfId="59" priority="16" operator="lessThan">
      <formula>0</formula>
    </cfRule>
  </conditionalFormatting>
  <conditionalFormatting sqref="AE221 AE235 AE249 AE277 AE305 AE333 AE361 AE389 AE417 AE445 AE473 AE263 AE291 AE319 AE347 AE375 AE403 AE431 AE459 AE487">
    <cfRule type="cellIs" dxfId="58" priority="13" operator="greaterThan">
      <formula>0</formula>
    </cfRule>
  </conditionalFormatting>
  <conditionalFormatting sqref="AE221 AE235 AE249 AE277 AE305 AE333 AE361 AE389 AE417 AE445 AE473 AE263 AE291 AE319 AE347 AE375 AE403 AE431 AE459 AE487">
    <cfRule type="cellIs" dxfId="57" priority="14" operator="lessThan">
      <formula>0</formula>
    </cfRule>
  </conditionalFormatting>
  <conditionalFormatting sqref="AE227 AE241 AE255 AE283 AE311 AE339 AE367 AE395 AE423 AE451 AE479 AE269 AE297 AE325 AE353 AE381 AE409 AE437 AE465 AE493">
    <cfRule type="cellIs" dxfId="56" priority="11" operator="greaterThan">
      <formula>0</formula>
    </cfRule>
  </conditionalFormatting>
  <conditionalFormatting sqref="AE227 AE241 AE255 AE283 AE311 AE339 AE367 AE395 AE423 AE451 AE479 AE269 AE297 AE325 AE353 AE381 AE409 AE437 AE465 AE493">
    <cfRule type="cellIs" dxfId="55" priority="12" operator="lessThan">
      <formula>0</formula>
    </cfRule>
  </conditionalFormatting>
  <conditionalFormatting sqref="AE227 AE241 AE255 AE283 AE311 AE339 AE367 AE395 AE423 AE451 AE479 AE269 AE297 AE325 AE353 AE381 AE409 AE437 AE465 AE493">
    <cfRule type="cellIs" dxfId="54" priority="9" operator="greaterThan">
      <formula>0</formula>
    </cfRule>
  </conditionalFormatting>
  <conditionalFormatting sqref="AE227 AE241 AE255 AE283 AE311 AE339 AE367 AE395 AE423 AE451 AE479 AE269 AE297 AE325 AE353 AE381 AE409 AE437 AE465 AE493">
    <cfRule type="cellIs" dxfId="53" priority="10" operator="lessThan">
      <formula>0</formula>
    </cfRule>
  </conditionalFormatting>
  <conditionalFormatting sqref="AB13">
    <cfRule type="containsText" dxfId="52" priority="6" operator="containsText" text="Hold">
      <formula>NOT(ISERROR(SEARCH("Hold",AB13)))</formula>
    </cfRule>
    <cfRule type="containsText" dxfId="51" priority="7" operator="containsText" text="Wait">
      <formula>NOT(ISERROR(SEARCH("Wait",AB13)))</formula>
    </cfRule>
    <cfRule type="containsText" dxfId="50" priority="8" operator="containsText" text="Buy">
      <formula>NOT(ISERROR(SEARCH("Buy",AB13)))</formula>
    </cfRule>
  </conditionalFormatting>
  <conditionalFormatting sqref="AB13">
    <cfRule type="containsText" dxfId="49" priority="5" operator="containsText" text="Sell">
      <formula>NOT(ISERROR(SEARCH("Sell",AB13)))</formula>
    </cfRule>
  </conditionalFormatting>
  <conditionalFormatting sqref="AR13">
    <cfRule type="containsText" dxfId="48" priority="2" operator="containsText" text="Hold">
      <formula>NOT(ISERROR(SEARCH("Hold",AR13)))</formula>
    </cfRule>
    <cfRule type="containsText" dxfId="47" priority="3" operator="containsText" text="Wait">
      <formula>NOT(ISERROR(SEARCH("Wait",AR13)))</formula>
    </cfRule>
    <cfRule type="containsText" dxfId="46" priority="4" operator="containsText" text="Buy">
      <formula>NOT(ISERROR(SEARCH("Buy",AR13)))</formula>
    </cfRule>
  </conditionalFormatting>
  <conditionalFormatting sqref="AR13">
    <cfRule type="containsText" dxfId="45" priority="1" operator="containsText" text="Sell">
      <formula>NOT(ISERROR(SEARCH("Sell",AR13)))</formula>
    </cfRule>
  </conditionalFormatting>
  <pageMargins left="0.7" right="0.7" top="0.75" bottom="0.75" header="0.3" footer="0.3"/>
  <pageSetup orientation="portrait" r:id="rId1"/>
  <drawing r:id="rId2"/>
  <extLst>
    <ext xmlns:x14="http://schemas.microsoft.com/office/spreadsheetml/2009/9/main" uri="{05C60535-1F16-4fd2-B633-F4F36F0B64E0}">
      <x14:sparklineGroups xmlns:xm="http://schemas.microsoft.com/office/excel/2006/main">
        <x14:sparklineGroup displayEmptyCellsAs="gap" xr2:uid="{A88359C6-C3CB-4E57-B604-9CFFB83962C4}">
          <x14:colorSeries rgb="FF376092"/>
          <x14:colorNegative rgb="FFD00000"/>
          <x14:colorAxis rgb="FF000000"/>
          <x14:colorMarkers rgb="FFD00000"/>
          <x14:colorFirst rgb="FFD00000"/>
          <x14:colorLast rgb="FFD00000"/>
          <x14:colorHigh rgb="FFD00000"/>
          <x14:colorLow rgb="FFD00000"/>
          <x14:sparklines>
            <x14:sparkline>
              <xm:f>Trends!AM214:AM220</xm:f>
              <xm:sqref>AR220</xm:sqref>
            </x14:sparkline>
            <x14:sparkline>
              <xm:f>Trends!AM221:AM227</xm:f>
              <xm:sqref>AR227</xm:sqref>
            </x14:sparkline>
            <x14:sparkline>
              <xm:f>Trends!AM228:AM234</xm:f>
              <xm:sqref>AR234</xm:sqref>
            </x14:sparkline>
            <x14:sparkline>
              <xm:f>Trends!AM235:AM241</xm:f>
              <xm:sqref>AR241</xm:sqref>
            </x14:sparkline>
            <x14:sparkline>
              <xm:f>Trends!AM242:AM248</xm:f>
              <xm:sqref>AR248</xm:sqref>
            </x14:sparkline>
            <x14:sparkline>
              <xm:f>Trends!AM249:AM255</xm:f>
              <xm:sqref>AR255</xm:sqref>
            </x14:sparkline>
            <x14:sparkline>
              <xm:f>Trends!AM256:AM262</xm:f>
              <xm:sqref>AR262</xm:sqref>
            </x14:sparkline>
            <x14:sparkline>
              <xm:f>Trends!AM263:AM269</xm:f>
              <xm:sqref>AR269</xm:sqref>
            </x14:sparkline>
            <x14:sparkline>
              <xm:f>Trends!AM270:AM276</xm:f>
              <xm:sqref>AR276</xm:sqref>
            </x14:sparkline>
            <x14:sparkline>
              <xm:f>Trends!AM277:AM283</xm:f>
              <xm:sqref>AR283</xm:sqref>
            </x14:sparkline>
            <x14:sparkline>
              <xm:f>Trends!AM284:AM290</xm:f>
              <xm:sqref>AR290</xm:sqref>
            </x14:sparkline>
            <x14:sparkline>
              <xm:f>Trends!AM291:AM297</xm:f>
              <xm:sqref>AR297</xm:sqref>
            </x14:sparkline>
            <x14:sparkline>
              <xm:f>Trends!AM298:AM304</xm:f>
              <xm:sqref>AR304</xm:sqref>
            </x14:sparkline>
            <x14:sparkline>
              <xm:f>Trends!AM305:AM311</xm:f>
              <xm:sqref>AR311</xm:sqref>
            </x14:sparkline>
            <x14:sparkline>
              <xm:f>Trends!AM312:AM318</xm:f>
              <xm:sqref>AR318</xm:sqref>
            </x14:sparkline>
            <x14:sparkline>
              <xm:f>Trends!AM319:AM325</xm:f>
              <xm:sqref>AR325</xm:sqref>
            </x14:sparkline>
            <x14:sparkline>
              <xm:f>Trends!AM326:AM332</xm:f>
              <xm:sqref>AR332</xm:sqref>
            </x14:sparkline>
            <x14:sparkline>
              <xm:f>Trends!AM333:AM339</xm:f>
              <xm:sqref>AR339</xm:sqref>
            </x14:sparkline>
            <x14:sparkline>
              <xm:f>Trends!AM340:AM346</xm:f>
              <xm:sqref>AR346</xm:sqref>
            </x14:sparkline>
            <x14:sparkline>
              <xm:f>Trends!AM347:AM353</xm:f>
              <xm:sqref>AR353</xm:sqref>
            </x14:sparkline>
            <x14:sparkline>
              <xm:f>Trends!AM354:AM360</xm:f>
              <xm:sqref>AR360</xm:sqref>
            </x14:sparkline>
            <x14:sparkline>
              <xm:f>Trends!AM361:AM367</xm:f>
              <xm:sqref>AR367</xm:sqref>
            </x14:sparkline>
            <x14:sparkline>
              <xm:f>Trends!AM368:AM374</xm:f>
              <xm:sqref>AR374</xm:sqref>
            </x14:sparkline>
            <x14:sparkline>
              <xm:f>Trends!AM375:AM381</xm:f>
              <xm:sqref>AR381</xm:sqref>
            </x14:sparkline>
            <x14:sparkline>
              <xm:f>Trends!AM382:AM388</xm:f>
              <xm:sqref>AR388</xm:sqref>
            </x14:sparkline>
            <x14:sparkline>
              <xm:f>Trends!AM389:AM395</xm:f>
              <xm:sqref>AR395</xm:sqref>
            </x14:sparkline>
            <x14:sparkline>
              <xm:f>Trends!AM396:AM402</xm:f>
              <xm:sqref>AR402</xm:sqref>
            </x14:sparkline>
            <x14:sparkline>
              <xm:f>Trends!AM403:AM409</xm:f>
              <xm:sqref>AR409</xm:sqref>
            </x14:sparkline>
            <x14:sparkline>
              <xm:f>Trends!AM410:AM416</xm:f>
              <xm:sqref>AR416</xm:sqref>
            </x14:sparkline>
            <x14:sparkline>
              <xm:f>Trends!AM417:AM423</xm:f>
              <xm:sqref>AR423</xm:sqref>
            </x14:sparkline>
            <x14:sparkline>
              <xm:f>Trends!AM424:AM430</xm:f>
              <xm:sqref>AR430</xm:sqref>
            </x14:sparkline>
            <x14:sparkline>
              <xm:f>Trends!AM431:AM437</xm:f>
              <xm:sqref>AR437</xm:sqref>
            </x14:sparkline>
            <x14:sparkline>
              <xm:f>Trends!AM438:AM444</xm:f>
              <xm:sqref>AR444</xm:sqref>
            </x14:sparkline>
            <x14:sparkline>
              <xm:f>Trends!AM445:AM451</xm:f>
              <xm:sqref>AR451</xm:sqref>
            </x14:sparkline>
            <x14:sparkline>
              <xm:f>Trends!AM452:AM458</xm:f>
              <xm:sqref>AR458</xm:sqref>
            </x14:sparkline>
            <x14:sparkline>
              <xm:f>Trends!AM459:AM465</xm:f>
              <xm:sqref>AR465</xm:sqref>
            </x14:sparkline>
            <x14:sparkline>
              <xm:f>Trends!AM466:AM472</xm:f>
              <xm:sqref>AR472</xm:sqref>
            </x14:sparkline>
            <x14:sparkline>
              <xm:f>Trends!AM473:AM479</xm:f>
              <xm:sqref>AR479</xm:sqref>
            </x14:sparkline>
            <x14:sparkline>
              <xm:f>Trends!AM480:AM486</xm:f>
              <xm:sqref>AR486</xm:sqref>
            </x14:sparkline>
            <x14:sparkline>
              <xm:f>Trends!AM487:AM493</xm:f>
              <xm:sqref>AR493</xm:sqref>
            </x14:sparkline>
          </x14:sparklines>
        </x14:sparklineGroup>
        <x14:sparklineGroup manualMax="0" manualMin="0" displayEmptyCellsAs="gap" xr2:uid="{9E689FC1-96BF-438E-9186-C49E05C2F0DD}">
          <x14:colorSeries rgb="FF376092"/>
          <x14:colorNegative rgb="FFD00000"/>
          <x14:colorAxis rgb="FF000000"/>
          <x14:colorMarkers rgb="FFD00000"/>
          <x14:colorFirst rgb="FFD00000"/>
          <x14:colorLast rgb="FFD00000"/>
          <x14:colorHigh rgb="FFD00000"/>
          <x14:colorLow rgb="FFD00000"/>
          <x14:sparklines>
            <x14:sparkline>
              <xm:f>Trends!W213:W219</xm:f>
              <xm:sqref>AB220</xm:sqref>
            </x14:sparkline>
            <x14:sparkline>
              <xm:f>Trends!W227:W233</xm:f>
              <xm:sqref>AB234</xm:sqref>
            </x14:sparkline>
            <x14:sparkline>
              <xm:f>Trends!W241:W247</xm:f>
              <xm:sqref>AB248</xm:sqref>
            </x14:sparkline>
            <x14:sparkline>
              <xm:f>Trends!W255:W261</xm:f>
              <xm:sqref>AB262</xm:sqref>
            </x14:sparkline>
            <x14:sparkline>
              <xm:f>Trends!W269:W275</xm:f>
              <xm:sqref>AB276</xm:sqref>
            </x14:sparkline>
            <x14:sparkline>
              <xm:f>Trends!W283:W289</xm:f>
              <xm:sqref>AB290</xm:sqref>
            </x14:sparkline>
            <x14:sparkline>
              <xm:f>Trends!W297:W303</xm:f>
              <xm:sqref>AB304</xm:sqref>
            </x14:sparkline>
            <x14:sparkline>
              <xm:f>Trends!W311:W317</xm:f>
              <xm:sqref>AB318</xm:sqref>
            </x14:sparkline>
            <x14:sparkline>
              <xm:f>Trends!W325:W331</xm:f>
              <xm:sqref>AB332</xm:sqref>
            </x14:sparkline>
            <x14:sparkline>
              <xm:f>Trends!W339:W345</xm:f>
              <xm:sqref>AB346</xm:sqref>
            </x14:sparkline>
            <x14:sparkline>
              <xm:f>Trends!W353:W359</xm:f>
              <xm:sqref>AB360</xm:sqref>
            </x14:sparkline>
            <x14:sparkline>
              <xm:f>Trends!W367:W373</xm:f>
              <xm:sqref>AB374</xm:sqref>
            </x14:sparkline>
            <x14:sparkline>
              <xm:f>Trends!W381:W387</xm:f>
              <xm:sqref>AB388</xm:sqref>
            </x14:sparkline>
            <x14:sparkline>
              <xm:f>Trends!W395:W401</xm:f>
              <xm:sqref>AB402</xm:sqref>
            </x14:sparkline>
            <x14:sparkline>
              <xm:f>Trends!W409:W415</xm:f>
              <xm:sqref>AB416</xm:sqref>
            </x14:sparkline>
            <x14:sparkline>
              <xm:f>Trends!W423:W429</xm:f>
              <xm:sqref>AB430</xm:sqref>
            </x14:sparkline>
            <x14:sparkline>
              <xm:f>Trends!W437:W443</xm:f>
              <xm:sqref>AB444</xm:sqref>
            </x14:sparkline>
            <x14:sparkline>
              <xm:f>Trends!W451:W457</xm:f>
              <xm:sqref>AB458</xm:sqref>
            </x14:sparkline>
            <x14:sparkline>
              <xm:f>Trends!W465:W471</xm:f>
              <xm:sqref>AB472</xm:sqref>
            </x14:sparkline>
            <x14:sparkline>
              <xm:f>Trends!W479:W485</xm:f>
              <xm:sqref>AB486</xm:sqref>
            </x14:sparkline>
          </x14:sparklines>
        </x14:sparklineGroup>
        <x14:sparklineGroup manualMax="0" manualMin="0" displayEmptyCellsAs="gap" xr2:uid="{9BF58F19-6B62-4333-AFBB-9D308CE9BD15}">
          <x14:colorSeries rgb="FF376092"/>
          <x14:colorNegative rgb="FFD00000"/>
          <x14:colorAxis rgb="FF000000"/>
          <x14:colorMarkers rgb="FFD00000"/>
          <x14:colorFirst rgb="FFD00000"/>
          <x14:colorLast rgb="FFD00000"/>
          <x14:colorHigh rgb="FFD00000"/>
          <x14:colorLow rgb="FFD00000"/>
          <x14:sparklines>
            <x14:sparkline>
              <xm:f>Trends!E212:E218</xm:f>
              <xm:sqref>J219</xm:sqref>
            </x14:sparkline>
          </x14:sparklines>
        </x14:sparklineGroup>
        <x14:sparklineGroup displayEmptyCellsAs="gap" xr2:uid="{F252EEF9-17A2-428C-AF72-502F241A2DAF}">
          <x14:colorSeries rgb="FF376092"/>
          <x14:colorNegative rgb="FFD00000"/>
          <x14:colorAxis rgb="FF000000"/>
          <x14:colorMarkers rgb="FFD00000"/>
          <x14:colorFirst rgb="FFD00000"/>
          <x14:colorLast rgb="FFD00000"/>
          <x14:colorHigh rgb="FFD00000"/>
          <x14:colorLow rgb="FFD00000"/>
          <x14:sparklines>
            <x14:sparkline>
              <xm:f>Trends!AM179:AM185</xm:f>
              <xm:sqref>AR185</xm:sqref>
            </x14:sparkline>
          </x14:sparklines>
        </x14:sparklineGroup>
        <x14:sparklineGroup displayEmptyCellsAs="gap" xr2:uid="{38DB4FFD-FED3-4E44-B1E5-7BDB1CDFC0A4}">
          <x14:colorSeries rgb="FF376092"/>
          <x14:colorNegative rgb="FFD00000"/>
          <x14:colorAxis rgb="FF000000"/>
          <x14:colorMarkers rgb="FFD00000"/>
          <x14:colorFirst rgb="FFD00000"/>
          <x14:colorLast rgb="FFD00000"/>
          <x14:colorHigh rgb="FFD00000"/>
          <x14:colorLow rgb="FFD00000"/>
          <x14:sparklines>
            <x14:sparkline>
              <xm:f>Trends!AM172:AM178</xm:f>
              <xm:sqref>AR178</xm:sqref>
            </x14:sparkline>
          </x14:sparklines>
        </x14:sparklineGroup>
        <x14:sparklineGroup displayEmptyCellsAs="gap" xr2:uid="{B0566E48-7947-4B30-AC30-2C3491AC5384}">
          <x14:colorSeries rgb="FF376092"/>
          <x14:colorNegative rgb="FFD00000"/>
          <x14:colorAxis rgb="FF000000"/>
          <x14:colorMarkers rgb="FFD00000"/>
          <x14:colorFirst rgb="FFD00000"/>
          <x14:colorLast rgb="FFD00000"/>
          <x14:colorHigh rgb="FFD00000"/>
          <x14:colorLow rgb="FFD00000"/>
          <x14:sparklines>
            <x14:sparkline>
              <xm:f>Trends!AM165:AM171</xm:f>
              <xm:sqref>AR171</xm:sqref>
            </x14:sparkline>
          </x14:sparklines>
        </x14:sparklineGroup>
        <x14:sparklineGroup displayEmptyCellsAs="gap" xr2:uid="{5269D6C1-6FAE-4CE8-B27C-CAC637645BF2}">
          <x14:colorSeries rgb="FF376092"/>
          <x14:colorNegative rgb="FFD00000"/>
          <x14:colorAxis rgb="FF000000"/>
          <x14:colorMarkers rgb="FFD00000"/>
          <x14:colorFirst rgb="FFD00000"/>
          <x14:colorLast rgb="FFD00000"/>
          <x14:colorHigh rgb="FFD00000"/>
          <x14:colorLow rgb="FFD00000"/>
          <x14:sparklines>
            <x14:sparkline>
              <xm:f>Trends!AM158:AM164</xm:f>
              <xm:sqref>AR164</xm:sqref>
            </x14:sparkline>
          </x14:sparklines>
        </x14:sparklineGroup>
        <x14:sparklineGroup displayEmptyCellsAs="gap" xr2:uid="{03489B52-487C-442C-89CA-65979D158FC9}">
          <x14:colorSeries rgb="FF376092"/>
          <x14:colorNegative rgb="FFD00000"/>
          <x14:colorAxis rgb="FF000000"/>
          <x14:colorMarkers rgb="FFD00000"/>
          <x14:colorFirst rgb="FFD00000"/>
          <x14:colorLast rgb="FFD00000"/>
          <x14:colorHigh rgb="FFD00000"/>
          <x14:colorLow rgb="FFD00000"/>
          <x14:sparklines>
            <x14:sparkline>
              <xm:f>Trends!AM151:AM157</xm:f>
              <xm:sqref>AR157</xm:sqref>
            </x14:sparkline>
          </x14:sparklines>
        </x14:sparklineGroup>
        <x14:sparklineGroup displayEmptyCellsAs="gap" xr2:uid="{E4AC5F8F-492F-4E24-96DA-D0F1C46CC50B}">
          <x14:colorSeries rgb="FF376092"/>
          <x14:colorNegative rgb="FFD00000"/>
          <x14:colorAxis rgb="FF000000"/>
          <x14:colorMarkers rgb="FFD00000"/>
          <x14:colorFirst rgb="FFD00000"/>
          <x14:colorLast rgb="FFD00000"/>
          <x14:colorHigh rgb="FFD00000"/>
          <x14:colorLow rgb="FFD00000"/>
          <x14:sparklines>
            <x14:sparkline>
              <xm:f>Trends!AM144:AM150</xm:f>
              <xm:sqref>AR150</xm:sqref>
            </x14:sparkline>
          </x14:sparklines>
        </x14:sparklineGroup>
        <x14:sparklineGroup displayEmptyCellsAs="gap" xr2:uid="{C6A27F48-9FC3-4875-B80A-5CE4649D67FB}">
          <x14:colorSeries rgb="FF376092"/>
          <x14:colorNegative rgb="FFD00000"/>
          <x14:colorAxis rgb="FF000000"/>
          <x14:colorMarkers rgb="FFD00000"/>
          <x14:colorFirst rgb="FFD00000"/>
          <x14:colorLast rgb="FFD00000"/>
          <x14:colorHigh rgb="FFD00000"/>
          <x14:colorLow rgb="FFD00000"/>
          <x14:sparklines>
            <x14:sparkline>
              <xm:f>Trends!AM137:AM143</xm:f>
              <xm:sqref>AR143</xm:sqref>
            </x14:sparkline>
          </x14:sparklines>
        </x14:sparklineGroup>
        <x14:sparklineGroup displayEmptyCellsAs="gap" xr2:uid="{16E7AAEC-6107-4B4B-9FBD-99432424EE1F}">
          <x14:colorSeries rgb="FF376092"/>
          <x14:colorNegative rgb="FFD00000"/>
          <x14:colorAxis rgb="FF000000"/>
          <x14:colorMarkers rgb="FFD00000"/>
          <x14:colorFirst rgb="FFD00000"/>
          <x14:colorLast rgb="FFD00000"/>
          <x14:colorHigh rgb="FFD00000"/>
          <x14:colorLow rgb="FFD00000"/>
          <x14:sparklines>
            <x14:sparkline>
              <xm:f>Trends!AM130:AM136</xm:f>
              <xm:sqref>AR136</xm:sqref>
            </x14:sparkline>
          </x14:sparklines>
        </x14:sparklineGroup>
        <x14:sparklineGroup displayEmptyCellsAs="gap" xr2:uid="{49B982CB-0EBC-4757-AF32-6658A39F3F31}">
          <x14:colorSeries rgb="FF376092"/>
          <x14:colorNegative rgb="FFD00000"/>
          <x14:colorAxis rgb="FF000000"/>
          <x14:colorMarkers rgb="FFD00000"/>
          <x14:colorFirst rgb="FFD00000"/>
          <x14:colorLast rgb="FFD00000"/>
          <x14:colorHigh rgb="FFD00000"/>
          <x14:colorLow rgb="FFD00000"/>
          <x14:sparklines>
            <x14:sparkline>
              <xm:f>Trends!AM123:AM129</xm:f>
              <xm:sqref>AR129</xm:sqref>
            </x14:sparkline>
          </x14:sparklines>
        </x14:sparklineGroup>
        <x14:sparklineGroup displayEmptyCellsAs="gap" xr2:uid="{9CF6BAE6-25E5-479C-A58F-6AA4A62D7F0F}">
          <x14:colorSeries rgb="FF376092"/>
          <x14:colorNegative rgb="FFD00000"/>
          <x14:colorAxis rgb="FF000000"/>
          <x14:colorMarkers rgb="FFD00000"/>
          <x14:colorFirst rgb="FFD00000"/>
          <x14:colorLast rgb="FFD00000"/>
          <x14:colorHigh rgb="FFD00000"/>
          <x14:colorLow rgb="FFD00000"/>
          <x14:sparklines>
            <x14:sparkline>
              <xm:f>Trends!AM116:AM122</xm:f>
              <xm:sqref>AR122</xm:sqref>
            </x14:sparkline>
          </x14:sparklines>
        </x14:sparklineGroup>
        <x14:sparklineGroup manualMax="0" manualMin="0" displayEmptyCellsAs="gap" xr2:uid="{B523ECA3-5663-4B28-8374-28C2ABE6F11A}">
          <x14:colorSeries rgb="FF376092"/>
          <x14:colorNegative rgb="FFD00000"/>
          <x14:colorAxis rgb="FF000000"/>
          <x14:colorMarkers rgb="FFD00000"/>
          <x14:colorFirst rgb="FFD00000"/>
          <x14:colorLast rgb="FFD00000"/>
          <x14:colorHigh rgb="FFD00000"/>
          <x14:colorLow rgb="FFD00000"/>
          <x14:sparklines>
            <x14:sparkline>
              <xm:f>Trends!W178:W184</xm:f>
              <xm:sqref>AB185</xm:sqref>
            </x14:sparkline>
          </x14:sparklines>
        </x14:sparklineGroup>
        <x14:sparklineGroup manualMax="0" manualMin="0" displayEmptyCellsAs="gap" xr2:uid="{8A2E789D-B14B-4B20-BC35-71306BDD4F45}">
          <x14:colorSeries rgb="FF376092"/>
          <x14:colorNegative rgb="FFD00000"/>
          <x14:colorAxis rgb="FF000000"/>
          <x14:colorMarkers rgb="FFD00000"/>
          <x14:colorFirst rgb="FFD00000"/>
          <x14:colorLast rgb="FFD00000"/>
          <x14:colorHigh rgb="FFD00000"/>
          <x14:colorLow rgb="FFD00000"/>
          <x14:sparklines>
            <x14:sparkline>
              <xm:f>Trends!W171:W177</xm:f>
              <xm:sqref>AB178</xm:sqref>
            </x14:sparkline>
          </x14:sparklines>
        </x14:sparklineGroup>
        <x14:sparklineGroup manualMax="0" manualMin="0" displayEmptyCellsAs="gap" xr2:uid="{299C8BDD-BCD6-4A3C-9C01-489211069567}">
          <x14:colorSeries rgb="FF376092"/>
          <x14:colorNegative rgb="FFD00000"/>
          <x14:colorAxis rgb="FF000000"/>
          <x14:colorMarkers rgb="FFD00000"/>
          <x14:colorFirst rgb="FFD00000"/>
          <x14:colorLast rgb="FFD00000"/>
          <x14:colorHigh rgb="FFD00000"/>
          <x14:colorLow rgb="FFD00000"/>
          <x14:sparklines>
            <x14:sparkline>
              <xm:f>Trends!W164:W170</xm:f>
              <xm:sqref>AB171</xm:sqref>
            </x14:sparkline>
          </x14:sparklines>
        </x14:sparklineGroup>
        <x14:sparklineGroup manualMax="0" manualMin="0" displayEmptyCellsAs="gap" xr2:uid="{CE0ABF9C-F2B3-41C6-94D0-D3E847709233}">
          <x14:colorSeries rgb="FF376092"/>
          <x14:colorNegative rgb="FFD00000"/>
          <x14:colorAxis rgb="FF000000"/>
          <x14:colorMarkers rgb="FFD00000"/>
          <x14:colorFirst rgb="FFD00000"/>
          <x14:colorLast rgb="FFD00000"/>
          <x14:colorHigh rgb="FFD00000"/>
          <x14:colorLow rgb="FFD00000"/>
          <x14:sparklines>
            <x14:sparkline>
              <xm:f>Trends!W157:W163</xm:f>
              <xm:sqref>AB164</xm:sqref>
            </x14:sparkline>
          </x14:sparklines>
        </x14:sparklineGroup>
        <x14:sparklineGroup manualMax="0" manualMin="0" displayEmptyCellsAs="gap" xr2:uid="{B6E857CA-5D44-42F2-9D9F-91E0C99C4559}">
          <x14:colorSeries rgb="FF376092"/>
          <x14:colorNegative rgb="FFD00000"/>
          <x14:colorAxis rgb="FF000000"/>
          <x14:colorMarkers rgb="FFD00000"/>
          <x14:colorFirst rgb="FFD00000"/>
          <x14:colorLast rgb="FFD00000"/>
          <x14:colorHigh rgb="FFD00000"/>
          <x14:colorLow rgb="FFD00000"/>
          <x14:sparklines>
            <x14:sparkline>
              <xm:f>Trends!W150:W156</xm:f>
              <xm:sqref>AB157</xm:sqref>
            </x14:sparkline>
          </x14:sparklines>
        </x14:sparklineGroup>
        <x14:sparklineGroup manualMax="0" manualMin="0" displayEmptyCellsAs="gap" xr2:uid="{1CA04DFE-386F-4592-9F15-2ECFDBF9F038}">
          <x14:colorSeries rgb="FF376092"/>
          <x14:colorNegative rgb="FFD00000"/>
          <x14:colorAxis rgb="FF000000"/>
          <x14:colorMarkers rgb="FFD00000"/>
          <x14:colorFirst rgb="FFD00000"/>
          <x14:colorLast rgb="FFD00000"/>
          <x14:colorHigh rgb="FFD00000"/>
          <x14:colorLow rgb="FFD00000"/>
          <x14:sparklines>
            <x14:sparkline>
              <xm:f>Trends!W143:W149</xm:f>
              <xm:sqref>AB150</xm:sqref>
            </x14:sparkline>
          </x14:sparklines>
        </x14:sparklineGroup>
        <x14:sparklineGroup manualMax="0" manualMin="0" displayEmptyCellsAs="gap" xr2:uid="{B348885E-6E2F-440A-8F14-57035AE4B1E3}">
          <x14:colorSeries rgb="FF376092"/>
          <x14:colorNegative rgb="FFD00000"/>
          <x14:colorAxis rgb="FF000000"/>
          <x14:colorMarkers rgb="FFD00000"/>
          <x14:colorFirst rgb="FFD00000"/>
          <x14:colorLast rgb="FFD00000"/>
          <x14:colorHigh rgb="FFD00000"/>
          <x14:colorLow rgb="FFD00000"/>
          <x14:sparklines>
            <x14:sparkline>
              <xm:f>Trends!W136:W142</xm:f>
              <xm:sqref>AB143</xm:sqref>
            </x14:sparkline>
          </x14:sparklines>
        </x14:sparklineGroup>
        <x14:sparklineGroup manualMax="0" manualMin="0" displayEmptyCellsAs="gap" xr2:uid="{E7CAAD92-E81C-47E9-A268-A508AA0C3701}">
          <x14:colorSeries rgb="FF376092"/>
          <x14:colorNegative rgb="FFD00000"/>
          <x14:colorAxis rgb="FF000000"/>
          <x14:colorMarkers rgb="FFD00000"/>
          <x14:colorFirst rgb="FFD00000"/>
          <x14:colorLast rgb="FFD00000"/>
          <x14:colorHigh rgb="FFD00000"/>
          <x14:colorLow rgb="FFD00000"/>
          <x14:sparklines>
            <x14:sparkline>
              <xm:f>Trends!W129:W135</xm:f>
              <xm:sqref>AB136</xm:sqref>
            </x14:sparkline>
          </x14:sparklines>
        </x14:sparklineGroup>
        <x14:sparklineGroup manualMax="0" manualMin="0" displayEmptyCellsAs="gap" xr2:uid="{9B075228-2925-4C43-AAFC-B9B4CDECB2E6}">
          <x14:colorSeries rgb="FF376092"/>
          <x14:colorNegative rgb="FFD00000"/>
          <x14:colorAxis rgb="FF000000"/>
          <x14:colorMarkers rgb="FFD00000"/>
          <x14:colorFirst rgb="FFD00000"/>
          <x14:colorLast rgb="FFD00000"/>
          <x14:colorHigh rgb="FFD00000"/>
          <x14:colorLow rgb="FFD00000"/>
          <x14:sparklines>
            <x14:sparkline>
              <xm:f>Trends!E178:E184</xm:f>
              <xm:sqref>J185</xm:sqref>
            </x14:sparkline>
          </x14:sparklines>
        </x14:sparklineGroup>
        <x14:sparklineGroup manualMax="0" manualMin="0" displayEmptyCellsAs="gap" xr2:uid="{E0C145A5-5E27-404D-88C8-48493A170045}">
          <x14:colorSeries rgb="FF376092"/>
          <x14:colorNegative rgb="FFD00000"/>
          <x14:colorAxis rgb="FF000000"/>
          <x14:colorMarkers rgb="FFD00000"/>
          <x14:colorFirst rgb="FFD00000"/>
          <x14:colorLast rgb="FFD00000"/>
          <x14:colorHigh rgb="FFD00000"/>
          <x14:colorLow rgb="FFD00000"/>
          <x14:sparklines>
            <x14:sparkline>
              <xm:f>Trends!E171:E177</xm:f>
              <xm:sqref>J178</xm:sqref>
            </x14:sparkline>
          </x14:sparklines>
        </x14:sparklineGroup>
        <x14:sparklineGroup manualMax="0" manualMin="0" displayEmptyCellsAs="gap" xr2:uid="{95E94F5C-0F3F-455F-A01E-1B808624FBF6}">
          <x14:colorSeries rgb="FF376092"/>
          <x14:colorNegative rgb="FFD00000"/>
          <x14:colorAxis rgb="FF000000"/>
          <x14:colorMarkers rgb="FFD00000"/>
          <x14:colorFirst rgb="FFD00000"/>
          <x14:colorLast rgb="FFD00000"/>
          <x14:colorHigh rgb="FFD00000"/>
          <x14:colorLow rgb="FFD00000"/>
          <x14:sparklines>
            <x14:sparkline>
              <xm:f>Trends!E164:E170</xm:f>
              <xm:sqref>J171</xm:sqref>
            </x14:sparkline>
          </x14:sparklines>
        </x14:sparklineGroup>
        <x14:sparklineGroup manualMax="0" manualMin="0" displayEmptyCellsAs="gap" xr2:uid="{496F57D7-54DC-4C13-B061-7D4B6641D7FC}">
          <x14:colorSeries rgb="FF376092"/>
          <x14:colorNegative rgb="FFD00000"/>
          <x14:colorAxis rgb="FF000000"/>
          <x14:colorMarkers rgb="FFD00000"/>
          <x14:colorFirst rgb="FFD00000"/>
          <x14:colorLast rgb="FFD00000"/>
          <x14:colorHigh rgb="FFD00000"/>
          <x14:colorLow rgb="FFD00000"/>
          <x14:sparklines>
            <x14:sparkline>
              <xm:f>Trends!E157:E163</xm:f>
              <xm:sqref>J164</xm:sqref>
            </x14:sparkline>
          </x14:sparklines>
        </x14:sparklineGroup>
        <x14:sparklineGroup manualMax="0" manualMin="0" displayEmptyCellsAs="gap" xr2:uid="{73089254-8540-4910-8329-2579DD49F7D8}">
          <x14:colorSeries rgb="FF376092"/>
          <x14:colorNegative rgb="FFD00000"/>
          <x14:colorAxis rgb="FF000000"/>
          <x14:colorMarkers rgb="FFD00000"/>
          <x14:colorFirst rgb="FFD00000"/>
          <x14:colorLast rgb="FFD00000"/>
          <x14:colorHigh rgb="FFD00000"/>
          <x14:colorLow rgb="FFD00000"/>
          <x14:sparklines>
            <x14:sparkline>
              <xm:f>Trends!E150:E156</xm:f>
              <xm:sqref>J157</xm:sqref>
            </x14:sparkline>
          </x14:sparklines>
        </x14:sparklineGroup>
        <x14:sparklineGroup manualMax="0" manualMin="0" displayEmptyCellsAs="gap" xr2:uid="{0033C84F-C825-4DF2-B054-B87783FE8DD7}">
          <x14:colorSeries rgb="FF376092"/>
          <x14:colorNegative rgb="FFD00000"/>
          <x14:colorAxis rgb="FF000000"/>
          <x14:colorMarkers rgb="FFD00000"/>
          <x14:colorFirst rgb="FFD00000"/>
          <x14:colorLast rgb="FFD00000"/>
          <x14:colorHigh rgb="FFD00000"/>
          <x14:colorLow rgb="FFD00000"/>
          <x14:sparklines>
            <x14:sparkline>
              <xm:f>Trends!E143:E149</xm:f>
              <xm:sqref>J150</xm:sqref>
            </x14:sparkline>
          </x14:sparklines>
        </x14:sparklineGroup>
        <x14:sparklineGroup manualMax="0" manualMin="0" displayEmptyCellsAs="gap" xr2:uid="{0C7CDC52-5330-4D5D-A1F7-FC62AA01AD88}">
          <x14:colorSeries rgb="FF376092"/>
          <x14:colorNegative rgb="FFD00000"/>
          <x14:colorAxis rgb="FF000000"/>
          <x14:colorMarkers rgb="FFD00000"/>
          <x14:colorFirst rgb="FFD00000"/>
          <x14:colorLast rgb="FFD00000"/>
          <x14:colorHigh rgb="FFD00000"/>
          <x14:colorLow rgb="FFD00000"/>
          <x14:sparklines>
            <x14:sparkline>
              <xm:f>Trends!E136:E142</xm:f>
              <xm:sqref>J143</xm:sqref>
            </x14:sparkline>
          </x14:sparklines>
        </x14:sparklineGroup>
        <x14:sparklineGroup manualMax="0" manualMin="0" displayEmptyCellsAs="gap" xr2:uid="{5D6B1193-CD73-43F0-A2E6-5D259B3285BC}">
          <x14:colorSeries rgb="FF376092"/>
          <x14:colorNegative rgb="FFD00000"/>
          <x14:colorAxis rgb="FF000000"/>
          <x14:colorMarkers rgb="FFD00000"/>
          <x14:colorFirst rgb="FFD00000"/>
          <x14:colorLast rgb="FFD00000"/>
          <x14:colorHigh rgb="FFD00000"/>
          <x14:colorLow rgb="FFD00000"/>
          <x14:sparklines>
            <x14:sparkline>
              <xm:f>Trends!E129:E135</xm:f>
              <xm:sqref>J136</xm:sqref>
            </x14:sparkline>
          </x14:sparklines>
        </x14:sparklineGroup>
        <x14:sparklineGroup manualMax="0" manualMin="0" displayEmptyCellsAs="gap" xr2:uid="{00CA4A3A-2659-4481-81B5-7B2EFA22928A}">
          <x14:colorSeries rgb="FF376092"/>
          <x14:colorNegative rgb="FFD00000"/>
          <x14:colorAxis rgb="FF000000"/>
          <x14:colorMarkers rgb="FFD00000"/>
          <x14:colorFirst rgb="FFD00000"/>
          <x14:colorLast rgb="FFD00000"/>
          <x14:colorHigh rgb="FFD00000"/>
          <x14:colorLow rgb="FFD00000"/>
          <x14:sparklines>
            <x14:sparkline>
              <xm:f>Trends!E115:E121</xm:f>
              <xm:sqref>J122</xm:sqref>
            </x14:sparkline>
            <x14:sparkline>
              <xm:f>Trends!E122:E128</xm:f>
              <xm:sqref>J129</xm:sqref>
            </x14:sparkline>
          </x14:sparklines>
        </x14:sparklineGroup>
        <x14:sparklineGroup manualMax="0" manualMin="0" displayEmptyCellsAs="gap" xr2:uid="{F5A6A746-6A2A-482D-BB91-04FEB78656E0}">
          <x14:colorSeries rgb="FF376092"/>
          <x14:colorNegative rgb="FFD00000"/>
          <x14:colorAxis rgb="FF000000"/>
          <x14:colorMarkers rgb="FFD00000"/>
          <x14:colorFirst rgb="FFD00000"/>
          <x14:colorLast rgb="FFD00000"/>
          <x14:colorHigh rgb="FFD00000"/>
          <x14:colorLow rgb="FFD00000"/>
          <x14:sparklines>
            <x14:sparkline>
              <xm:f>Trends!W108:W114</xm:f>
              <xm:sqref>AB115</xm:sqref>
            </x14:sparkline>
          </x14:sparklines>
        </x14:sparklineGroup>
        <x14:sparklineGroup manualMax="0" manualMin="0" displayEmptyCellsAs="gap" xr2:uid="{F92B0B2C-79F2-456A-94D0-233B0FFF3774}">
          <x14:colorSeries rgb="FF376092"/>
          <x14:colorNegative rgb="FFD00000"/>
          <x14:colorAxis rgb="FF000000"/>
          <x14:colorMarkers rgb="FFD00000"/>
          <x14:colorFirst rgb="FFD00000"/>
          <x14:colorLast rgb="FFD00000"/>
          <x14:colorHigh rgb="FFD00000"/>
          <x14:colorLow rgb="FFD00000"/>
          <x14:sparklines>
            <x14:sparkline>
              <xm:f>Trends!E108:E114</xm:f>
              <xm:sqref>J115</xm:sqref>
            </x14:sparkline>
          </x14:sparklines>
        </x14:sparklineGroup>
        <x14:sparklineGroup displayEmptyCellsAs="gap" xr2:uid="{6DF4E3A1-C0E6-428A-AD94-BCB72824FAAB}">
          <x14:colorSeries rgb="FF376092"/>
          <x14:colorNegative rgb="FFD00000"/>
          <x14:colorAxis rgb="FF000000"/>
          <x14:colorMarkers rgb="FFD00000"/>
          <x14:colorFirst rgb="FFD00000"/>
          <x14:colorLast rgb="FFD00000"/>
          <x14:colorHigh rgb="FFD00000"/>
          <x14:colorLow rgb="FFD00000"/>
          <x14:sparklines>
            <x14:sparkline>
              <xm:f>Trends!AM109:AM115</xm:f>
              <xm:sqref>AR115</xm:sqref>
            </x14:sparkline>
          </x14:sparklines>
        </x14:sparklineGroup>
        <x14:sparklineGroup manualMax="0" manualMin="0" displayEmptyCellsAs="gap" xr2:uid="{85A6CCC2-BEAD-41E0-A1D8-CC9000804638}">
          <x14:colorSeries rgb="FF376092"/>
          <x14:colorNegative rgb="FFD00000"/>
          <x14:colorAxis rgb="FF000000"/>
          <x14:colorMarkers rgb="FFD00000"/>
          <x14:colorFirst rgb="FFD00000"/>
          <x14:colorLast rgb="FFD00000"/>
          <x14:colorHigh rgb="FFD00000"/>
          <x14:colorLow rgb="FFD00000"/>
          <x14:sparklines>
            <x14:sparkline>
              <xm:f>Trends!E18:E24</xm:f>
              <xm:sqref>J24</xm:sqref>
            </x14:sparkline>
          </x14:sparklines>
        </x14:sparklineGroup>
        <x14:sparklineGroup manualMax="0" manualMin="0" displayEmptyCellsAs="gap" xr2:uid="{5AE801C1-791B-46DF-9605-E881F5C8E1C1}">
          <x14:colorSeries rgb="FF376092"/>
          <x14:colorNegative rgb="FFD00000"/>
          <x14:colorAxis rgb="FF000000"/>
          <x14:colorMarkers rgb="FFD00000"/>
          <x14:colorFirst rgb="FFD00000"/>
          <x14:colorLast rgb="FFD00000"/>
          <x14:colorHigh rgb="FFD00000"/>
          <x14:colorLow rgb="FFD00000"/>
          <x14:sparklines>
            <x14:sparkline>
              <xm:f>Trends!E18:E18</xm:f>
              <xm:sqref>J18</xm:sqref>
            </x14:sparkline>
            <x14:sparkline>
              <xm:f>Trends!E19:E19</xm:f>
              <xm:sqref>J19</xm:sqref>
            </x14:sparkline>
            <x14:sparkline>
              <xm:f>Trends!E20:E20</xm:f>
              <xm:sqref>J20</xm:sqref>
            </x14:sparkline>
            <x14:sparkline>
              <xm:f>Trends!E21:E21</xm:f>
              <xm:sqref>J21</xm:sqref>
            </x14:sparkline>
            <x14:sparkline>
              <xm:f>Trends!E22:E22</xm:f>
              <xm:sqref>J22</xm:sqref>
            </x14:sparkline>
            <x14:sparkline>
              <xm:f>Trends!E23:E23</xm:f>
              <xm:sqref>J23</xm:sqref>
            </x14:sparkline>
          </x14:sparklines>
        </x14:sparklineGroup>
        <x14:sparklineGroup manualMax="0" manualMin="0" displayEmptyCellsAs="gap" xr2:uid="{5F9B9ACA-98BF-4DD2-BAA0-A6891D1868AE}">
          <x14:colorSeries rgb="FF376092"/>
          <x14:colorNegative rgb="FFD00000"/>
          <x14:colorAxis rgb="FF000000"/>
          <x14:colorMarkers rgb="FFD00000"/>
          <x14:colorFirst rgb="FFD00000"/>
          <x14:colorLast rgb="FFD00000"/>
          <x14:colorHigh rgb="FFD00000"/>
          <x14:colorLow rgb="FFD00000"/>
          <x14:sparklines>
            <x14:sparkline>
              <xm:f>Trends!E25:E31</xm:f>
              <xm:sqref>J31</xm:sqref>
            </x14:sparkline>
          </x14:sparklines>
        </x14:sparklineGroup>
        <x14:sparklineGroup manualMax="0" manualMin="0" displayEmptyCellsAs="gap" xr2:uid="{931C1B2C-1066-463B-B2CF-2039727BD7D5}">
          <x14:colorSeries rgb="FF376092"/>
          <x14:colorNegative rgb="FFD00000"/>
          <x14:colorAxis rgb="FF000000"/>
          <x14:colorMarkers rgb="FFD00000"/>
          <x14:colorFirst rgb="FFD00000"/>
          <x14:colorLast rgb="FFD00000"/>
          <x14:colorHigh rgb="FFD00000"/>
          <x14:colorLow rgb="FFD00000"/>
          <x14:sparklines>
            <x14:sparkline>
              <xm:f>Trends!E32:E38</xm:f>
              <xm:sqref>J38</xm:sqref>
            </x14:sparkline>
          </x14:sparklines>
        </x14:sparklineGroup>
        <x14:sparklineGroup manualMax="0" manualMin="0" displayEmptyCellsAs="gap" xr2:uid="{09ACF9D6-C8E8-4A69-A575-A856F6ED69E3}">
          <x14:colorSeries rgb="FF376092"/>
          <x14:colorNegative rgb="FFD00000"/>
          <x14:colorAxis rgb="FF000000"/>
          <x14:colorMarkers rgb="FFD00000"/>
          <x14:colorFirst rgb="FFD00000"/>
          <x14:colorLast rgb="FFD00000"/>
          <x14:colorHigh rgb="FFD00000"/>
          <x14:colorLow rgb="FFD00000"/>
          <x14:sparklines>
            <x14:sparkline>
              <xm:f>Trends!E39:E45</xm:f>
              <xm:sqref>J45</xm:sqref>
            </x14:sparkline>
          </x14:sparklines>
        </x14:sparklineGroup>
        <x14:sparklineGroup manualMax="0" manualMin="0" displayEmptyCellsAs="gap" xr2:uid="{4397FD60-731B-4B67-B2F7-AA939B4C9DA1}">
          <x14:colorSeries rgb="FF376092"/>
          <x14:colorNegative rgb="FFD00000"/>
          <x14:colorAxis rgb="FF000000"/>
          <x14:colorMarkers rgb="FFD00000"/>
          <x14:colorFirst rgb="FFD00000"/>
          <x14:colorLast rgb="FFD00000"/>
          <x14:colorHigh rgb="FFD00000"/>
          <x14:colorLow rgb="FFD00000"/>
          <x14:sparklines>
            <x14:sparkline>
              <xm:f>Trends!E46:E52</xm:f>
              <xm:sqref>J52</xm:sqref>
            </x14:sparkline>
          </x14:sparklines>
        </x14:sparklineGroup>
        <x14:sparklineGroup manualMax="0" manualMin="0" displayEmptyCellsAs="gap" xr2:uid="{214E18CF-F494-4DCA-A512-66BE49A01BD0}">
          <x14:colorSeries rgb="FF376092"/>
          <x14:colorNegative rgb="FFD00000"/>
          <x14:colorAxis rgb="FF000000"/>
          <x14:colorMarkers rgb="FFD00000"/>
          <x14:colorFirst rgb="FFD00000"/>
          <x14:colorLast rgb="FFD00000"/>
          <x14:colorHigh rgb="FFD00000"/>
          <x14:colorLow rgb="FFD00000"/>
          <x14:sparklines>
            <x14:sparkline>
              <xm:f>Trends!E53:E59</xm:f>
              <xm:sqref>J59</xm:sqref>
            </x14:sparkline>
          </x14:sparklines>
        </x14:sparklineGroup>
        <x14:sparklineGroup manualMax="0" manualMin="0" displayEmptyCellsAs="gap" xr2:uid="{E658B55B-E668-4953-871B-8D1050371714}">
          <x14:colorSeries rgb="FF376092"/>
          <x14:colorNegative rgb="FFD00000"/>
          <x14:colorAxis rgb="FF000000"/>
          <x14:colorMarkers rgb="FFD00000"/>
          <x14:colorFirst rgb="FFD00000"/>
          <x14:colorLast rgb="FFD00000"/>
          <x14:colorHigh rgb="FFD00000"/>
          <x14:colorLow rgb="FFD00000"/>
          <x14:sparklines>
            <x14:sparkline>
              <xm:f>Trends!E60:E66</xm:f>
              <xm:sqref>J66</xm:sqref>
            </x14:sparkline>
          </x14:sparklines>
        </x14:sparklineGroup>
        <x14:sparklineGroup manualMax="0" manualMin="0" displayEmptyCellsAs="gap" xr2:uid="{77BD515B-5597-40F5-BB8E-6ECDEDAF5B25}">
          <x14:colorSeries rgb="FF376092"/>
          <x14:colorNegative rgb="FFD00000"/>
          <x14:colorAxis rgb="FF000000"/>
          <x14:colorMarkers rgb="FFD00000"/>
          <x14:colorFirst rgb="FFD00000"/>
          <x14:colorLast rgb="FFD00000"/>
          <x14:colorHigh rgb="FFD00000"/>
          <x14:colorLow rgb="FFD00000"/>
          <x14:sparklines>
            <x14:sparkline>
              <xm:f>Trends!E67:E73</xm:f>
              <xm:sqref>J73</xm:sqref>
            </x14:sparkline>
          </x14:sparklines>
        </x14:sparklineGroup>
        <x14:sparklineGroup manualMax="0" manualMin="0" displayEmptyCellsAs="gap" xr2:uid="{A68B20AF-BA09-47AF-A602-2AC7EB98E24D}">
          <x14:colorSeries rgb="FF376092"/>
          <x14:colorNegative rgb="FFD00000"/>
          <x14:colorAxis rgb="FF000000"/>
          <x14:colorMarkers rgb="FFD00000"/>
          <x14:colorFirst rgb="FFD00000"/>
          <x14:colorLast rgb="FFD00000"/>
          <x14:colorHigh rgb="FFD00000"/>
          <x14:colorLow rgb="FFD00000"/>
          <x14:sparklines>
            <x14:sparkline>
              <xm:f>Trends!E73:E79</xm:f>
              <xm:sqref>J80</xm:sqref>
            </x14:sparkline>
          </x14:sparklines>
        </x14:sparklineGroup>
        <x14:sparklineGroup manualMax="0" manualMin="0" displayEmptyCellsAs="gap" xr2:uid="{8BCF660D-45DB-48BD-9EE6-42059D5C15D5}">
          <x14:colorSeries rgb="FF376092"/>
          <x14:colorNegative rgb="FFD00000"/>
          <x14:colorAxis rgb="FF000000"/>
          <x14:colorMarkers rgb="FFD00000"/>
          <x14:colorFirst rgb="FFD00000"/>
          <x14:colorLast rgb="FFD00000"/>
          <x14:colorHigh rgb="FFD00000"/>
          <x14:colorLow rgb="FFD00000"/>
          <x14:sparklines>
            <x14:sparkline>
              <xm:f>Trends!E80:E86</xm:f>
              <xm:sqref>J87</xm:sqref>
            </x14:sparkline>
          </x14:sparklines>
        </x14:sparklineGroup>
        <x14:sparklineGroup manualMax="0" manualMin="0" displayEmptyCellsAs="gap" xr2:uid="{70D0EDC2-6AE3-4B51-AE32-284A21F3DE49}">
          <x14:colorSeries rgb="FF376092"/>
          <x14:colorNegative rgb="FFD00000"/>
          <x14:colorAxis rgb="FF000000"/>
          <x14:colorMarkers rgb="FFD00000"/>
          <x14:colorFirst rgb="FFD00000"/>
          <x14:colorLast rgb="FFD00000"/>
          <x14:colorHigh rgb="FFD00000"/>
          <x14:colorLow rgb="FFD00000"/>
          <x14:sparklines>
            <x14:sparkline>
              <xm:f>Trends!E87:E93</xm:f>
              <xm:sqref>J94</xm:sqref>
            </x14:sparkline>
          </x14:sparklines>
        </x14:sparklineGroup>
        <x14:sparklineGroup manualMax="0" manualMin="0" displayEmptyCellsAs="gap" xr2:uid="{DCFB683F-755F-412D-9AFF-C123C6C1075A}">
          <x14:colorSeries rgb="FF376092"/>
          <x14:colorNegative rgb="FFD00000"/>
          <x14:colorAxis rgb="FF000000"/>
          <x14:colorMarkers rgb="FFD00000"/>
          <x14:colorFirst rgb="FFD00000"/>
          <x14:colorLast rgb="FFD00000"/>
          <x14:colorHigh rgb="FFD00000"/>
          <x14:colorLow rgb="FFD00000"/>
          <x14:sparklines>
            <x14:sparkline>
              <xm:f>Trends!E94:E100</xm:f>
              <xm:sqref>J101</xm:sqref>
            </x14:sparkline>
          </x14:sparklines>
        </x14:sparklineGroup>
        <x14:sparklineGroup manualMax="0" manualMin="0" displayEmptyCellsAs="gap" xr2:uid="{6BD23C87-8BAB-4B0F-84FD-373432CE9BAC}">
          <x14:colorSeries rgb="FF376092"/>
          <x14:colorNegative rgb="FFD00000"/>
          <x14:colorAxis rgb="FF000000"/>
          <x14:colorMarkers rgb="FFD00000"/>
          <x14:colorFirst rgb="FFD00000"/>
          <x14:colorLast rgb="FFD00000"/>
          <x14:colorHigh rgb="FFD00000"/>
          <x14:colorLow rgb="FFD00000"/>
          <x14:sparklines>
            <x14:sparkline>
              <xm:f>Trends!E101:E107</xm:f>
              <xm:sqref>J108</xm:sqref>
            </x14:sparkline>
          </x14:sparklines>
        </x14:sparklineGroup>
        <x14:sparklineGroup manualMax="0" manualMin="0" displayEmptyCellsAs="gap" xr2:uid="{86226E41-5B75-4B6A-B481-7F57C9E2DB41}">
          <x14:colorSeries rgb="FF376092"/>
          <x14:colorNegative rgb="FFD00000"/>
          <x14:colorAxis rgb="FF000000"/>
          <x14:colorMarkers rgb="FFD00000"/>
          <x14:colorFirst rgb="FFD00000"/>
          <x14:colorLast rgb="FFD00000"/>
          <x14:colorHigh rgb="FFD00000"/>
          <x14:colorLow rgb="FFD00000"/>
          <x14:sparklines>
            <x14:sparkline>
              <xm:f>Trends!W101:W107</xm:f>
              <xm:sqref>AB108</xm:sqref>
            </x14:sparkline>
          </x14:sparklines>
        </x14:sparklineGroup>
        <x14:sparklineGroup manualMax="0" manualMin="0" displayEmptyCellsAs="gap" xr2:uid="{CADA8F4C-5C01-47D2-9D22-FFE06B3DE9D0}">
          <x14:colorSeries rgb="FF376092"/>
          <x14:colorNegative rgb="FFD00000"/>
          <x14:colorAxis rgb="FF000000"/>
          <x14:colorMarkers rgb="FFD00000"/>
          <x14:colorFirst rgb="FFD00000"/>
          <x14:colorLast rgb="FFD00000"/>
          <x14:colorHigh rgb="FFD00000"/>
          <x14:colorLow rgb="FFD00000"/>
          <x14:sparklines>
            <x14:sparkline>
              <xm:f>Trends!W94:W100</xm:f>
              <xm:sqref>AB101</xm:sqref>
            </x14:sparkline>
          </x14:sparklines>
        </x14:sparklineGroup>
        <x14:sparklineGroup manualMax="0" manualMin="0" displayEmptyCellsAs="gap" xr2:uid="{4DC71A84-8A4C-4D97-8C3E-A77075D44A58}">
          <x14:colorSeries rgb="FF376092"/>
          <x14:colorNegative rgb="FFD00000"/>
          <x14:colorAxis rgb="FF000000"/>
          <x14:colorMarkers rgb="FFD00000"/>
          <x14:colorFirst rgb="FFD00000"/>
          <x14:colorLast rgb="FFD00000"/>
          <x14:colorHigh rgb="FFD00000"/>
          <x14:colorLow rgb="FFD00000"/>
          <x14:sparklines>
            <x14:sparkline>
              <xm:f>Trends!W87:W93</xm:f>
              <xm:sqref>AB94</xm:sqref>
            </x14:sparkline>
          </x14:sparklines>
        </x14:sparklineGroup>
        <x14:sparklineGroup manualMax="0" manualMin="0" displayEmptyCellsAs="gap" xr2:uid="{3E2717AC-065E-4B1E-BAF9-48C5C4D52B24}">
          <x14:colorSeries rgb="FF376092"/>
          <x14:colorNegative rgb="FFD00000"/>
          <x14:colorAxis rgb="FF000000"/>
          <x14:colorMarkers rgb="FFD00000"/>
          <x14:colorFirst rgb="FFD00000"/>
          <x14:colorLast rgb="FFD00000"/>
          <x14:colorHigh rgb="FFD00000"/>
          <x14:colorLow rgb="FFD00000"/>
          <x14:sparklines>
            <x14:sparkline>
              <xm:f>Trends!W80:W86</xm:f>
              <xm:sqref>AB87</xm:sqref>
            </x14:sparkline>
          </x14:sparklines>
        </x14:sparklineGroup>
        <x14:sparklineGroup manualMax="0" manualMin="0" displayEmptyCellsAs="gap" xr2:uid="{8B5F6875-4FEE-4A0F-9472-347FAD802B2E}">
          <x14:colorSeries rgb="FF376092"/>
          <x14:colorNegative rgb="FFD00000"/>
          <x14:colorAxis rgb="FF000000"/>
          <x14:colorMarkers rgb="FFD00000"/>
          <x14:colorFirst rgb="FFD00000"/>
          <x14:colorLast rgb="FFD00000"/>
          <x14:colorHigh rgb="FFD00000"/>
          <x14:colorLow rgb="FFD00000"/>
          <x14:sparklines>
            <x14:sparkline>
              <xm:f>Trends!W73:W79</xm:f>
              <xm:sqref>AB80</xm:sqref>
            </x14:sparkline>
          </x14:sparklines>
        </x14:sparklineGroup>
        <x14:sparklineGroup manualMax="0" manualMin="0" displayEmptyCellsAs="gap" xr2:uid="{0379B04F-E9FA-4310-AC58-2FC6F2C86372}">
          <x14:colorSeries rgb="FF376092"/>
          <x14:colorNegative rgb="FFD00000"/>
          <x14:colorAxis rgb="FF000000"/>
          <x14:colorMarkers rgb="FFD00000"/>
          <x14:colorFirst rgb="FFD00000"/>
          <x14:colorLast rgb="FFD00000"/>
          <x14:colorHigh rgb="FFD00000"/>
          <x14:colorLow rgb="FFD00000"/>
          <x14:sparklines>
            <x14:sparkline>
              <xm:f>Trends!W67:W73</xm:f>
              <xm:sqref>AB73</xm:sqref>
            </x14:sparkline>
          </x14:sparklines>
        </x14:sparklineGroup>
        <x14:sparklineGroup manualMax="0" manualMin="0" displayEmptyCellsAs="gap" xr2:uid="{63DA4143-C983-4C70-B620-C54F6FD3EFD7}">
          <x14:colorSeries rgb="FF376092"/>
          <x14:colorNegative rgb="FFD00000"/>
          <x14:colorAxis rgb="FF000000"/>
          <x14:colorMarkers rgb="FFD00000"/>
          <x14:colorFirst rgb="FFD00000"/>
          <x14:colorLast rgb="FFD00000"/>
          <x14:colorHigh rgb="FFD00000"/>
          <x14:colorLow rgb="FFD00000"/>
          <x14:sparklines>
            <x14:sparkline>
              <xm:f>Trends!W60:W66</xm:f>
              <xm:sqref>AB66</xm:sqref>
            </x14:sparkline>
          </x14:sparklines>
        </x14:sparklineGroup>
        <x14:sparklineGroup manualMax="0" manualMin="0" displayEmptyCellsAs="gap" xr2:uid="{86B0FE04-E23E-493F-896C-7621C9E82F39}">
          <x14:colorSeries rgb="FF376092"/>
          <x14:colorNegative rgb="FFD00000"/>
          <x14:colorAxis rgb="FF000000"/>
          <x14:colorMarkers rgb="FFD00000"/>
          <x14:colorFirst rgb="FFD00000"/>
          <x14:colorLast rgb="FFD00000"/>
          <x14:colorHigh rgb="FFD00000"/>
          <x14:colorLow rgb="FFD00000"/>
          <x14:sparklines>
            <x14:sparkline>
              <xm:f>Trends!W53:W59</xm:f>
              <xm:sqref>AB59</xm:sqref>
            </x14:sparkline>
          </x14:sparklines>
        </x14:sparklineGroup>
        <x14:sparklineGroup manualMax="0" manualMin="0" displayEmptyCellsAs="gap" xr2:uid="{CDC06F33-1579-439E-ABB6-6DE979C8620F}">
          <x14:colorSeries rgb="FF376092"/>
          <x14:colorNegative rgb="FFD00000"/>
          <x14:colorAxis rgb="FF000000"/>
          <x14:colorMarkers rgb="FFD00000"/>
          <x14:colorFirst rgb="FFD00000"/>
          <x14:colorLast rgb="FFD00000"/>
          <x14:colorHigh rgb="FFD00000"/>
          <x14:colorLow rgb="FFD00000"/>
          <x14:sparklines>
            <x14:sparkline>
              <xm:f>Trends!W46:W52</xm:f>
              <xm:sqref>AB52</xm:sqref>
            </x14:sparkline>
          </x14:sparklines>
        </x14:sparklineGroup>
        <x14:sparklineGroup manualMax="0" manualMin="0" displayEmptyCellsAs="gap" xr2:uid="{91E9B63A-ECFC-4908-929B-4278E3B3479E}">
          <x14:colorSeries rgb="FF376092"/>
          <x14:colorNegative rgb="FFD00000"/>
          <x14:colorAxis rgb="FF000000"/>
          <x14:colorMarkers rgb="FFD00000"/>
          <x14:colorFirst rgb="FFD00000"/>
          <x14:colorLast rgb="FFD00000"/>
          <x14:colorHigh rgb="FFD00000"/>
          <x14:colorLow rgb="FFD00000"/>
          <x14:sparklines>
            <x14:sparkline>
              <xm:f>Trends!W39:W45</xm:f>
              <xm:sqref>AB45</xm:sqref>
            </x14:sparkline>
          </x14:sparklines>
        </x14:sparklineGroup>
        <x14:sparklineGroup manualMax="0" manualMin="0" displayEmptyCellsAs="gap" xr2:uid="{1D0A8292-0D14-4359-A7F3-48C75DA12263}">
          <x14:colorSeries rgb="FF376092"/>
          <x14:colorNegative rgb="FFD00000"/>
          <x14:colorAxis rgb="FF000000"/>
          <x14:colorMarkers rgb="FFD00000"/>
          <x14:colorFirst rgb="FFD00000"/>
          <x14:colorLast rgb="FFD00000"/>
          <x14:colorHigh rgb="FFD00000"/>
          <x14:colorLow rgb="FFD00000"/>
          <x14:sparklines>
            <x14:sparkline>
              <xm:f>Trends!W32:W38</xm:f>
              <xm:sqref>AB38</xm:sqref>
            </x14:sparkline>
          </x14:sparklines>
        </x14:sparklineGroup>
        <x14:sparklineGroup manualMax="0" manualMin="0" displayEmptyCellsAs="gap" xr2:uid="{E8CE23CB-2925-4DA4-B402-DC9588C8808C}">
          <x14:colorSeries rgb="FF376092"/>
          <x14:colorNegative rgb="FFD00000"/>
          <x14:colorAxis rgb="FF000000"/>
          <x14:colorMarkers rgb="FFD00000"/>
          <x14:colorFirst rgb="FFD00000"/>
          <x14:colorLast rgb="FFD00000"/>
          <x14:colorHigh rgb="FFD00000"/>
          <x14:colorLow rgb="FFD00000"/>
          <x14:sparklines>
            <x14:sparkline>
              <xm:f>Trends!W25:W31</xm:f>
              <xm:sqref>AB31</xm:sqref>
            </x14:sparkline>
          </x14:sparklines>
        </x14:sparklineGroup>
        <x14:sparklineGroup manualMax="0" manualMin="0" displayEmptyCellsAs="gap" xr2:uid="{D744AB2A-AF54-4896-9F7E-1ED0EE7FB1D8}">
          <x14:colorSeries rgb="FF376092"/>
          <x14:colorNegative rgb="FFD00000"/>
          <x14:colorAxis rgb="FF000000"/>
          <x14:colorMarkers rgb="FFD00000"/>
          <x14:colorFirst rgb="FFD00000"/>
          <x14:colorLast rgb="FFD00000"/>
          <x14:colorHigh rgb="FFD00000"/>
          <x14:colorLow rgb="FFD00000"/>
          <x14:sparklines>
            <x14:sparkline>
              <xm:f>Trends!W18:W24</xm:f>
              <xm:sqref>AB24</xm:sqref>
            </x14:sparkline>
          </x14:sparklines>
        </x14:sparklineGroup>
        <x14:sparklineGroup manualMax="0" manualMin="0" displayEmptyCellsAs="gap" xr2:uid="{1B41C423-EDC4-4B27-8F8E-18185BA8E142}">
          <x14:colorSeries rgb="FF376092"/>
          <x14:colorNegative rgb="FFD00000"/>
          <x14:colorAxis rgb="FF000000"/>
          <x14:colorMarkers rgb="FFD00000"/>
          <x14:colorFirst rgb="FFD00000"/>
          <x14:colorLast rgb="FFD00000"/>
          <x14:colorHigh rgb="FFD00000"/>
          <x14:colorLow rgb="FFD00000"/>
          <x14:sparklines>
            <x14:sparkline>
              <xm:f>Trends!AM101:AM107</xm:f>
              <xm:sqref>AR108</xm:sqref>
            </x14:sparkline>
          </x14:sparklines>
        </x14:sparklineGroup>
        <x14:sparklineGroup manualMax="0" manualMin="0" displayEmptyCellsAs="gap" xr2:uid="{D412E892-DDB8-4F72-AD9F-907BF8F8A5A8}">
          <x14:colorSeries rgb="FF376092"/>
          <x14:colorNegative rgb="FFD00000"/>
          <x14:colorAxis rgb="FF000000"/>
          <x14:colorMarkers rgb="FFD00000"/>
          <x14:colorFirst rgb="FFD00000"/>
          <x14:colorLast rgb="FFD00000"/>
          <x14:colorHigh rgb="FFD00000"/>
          <x14:colorLow rgb="FFD00000"/>
          <x14:sparklines>
            <x14:sparkline>
              <xm:f>Trends!AM94:AM100</xm:f>
              <xm:sqref>AR101</xm:sqref>
            </x14:sparkline>
          </x14:sparklines>
        </x14:sparklineGroup>
        <x14:sparklineGroup manualMax="0" manualMin="0" displayEmptyCellsAs="gap" xr2:uid="{E22A276E-C2D9-4CAD-A6C6-7252C6F414EC}">
          <x14:colorSeries rgb="FF376092"/>
          <x14:colorNegative rgb="FFD00000"/>
          <x14:colorAxis rgb="FF000000"/>
          <x14:colorMarkers rgb="FFD00000"/>
          <x14:colorFirst rgb="FFD00000"/>
          <x14:colorLast rgb="FFD00000"/>
          <x14:colorHigh rgb="FFD00000"/>
          <x14:colorLow rgb="FFD00000"/>
          <x14:sparklines>
            <x14:sparkline>
              <xm:f>Trends!AM87:AM93</xm:f>
              <xm:sqref>AR94</xm:sqref>
            </x14:sparkline>
          </x14:sparklines>
        </x14:sparklineGroup>
        <x14:sparklineGroup manualMax="0" manualMin="0" displayEmptyCellsAs="gap" xr2:uid="{F07BCBBA-A4C0-4A75-B681-6B93AA3AAF71}">
          <x14:colorSeries rgb="FF376092"/>
          <x14:colorNegative rgb="FFD00000"/>
          <x14:colorAxis rgb="FF000000"/>
          <x14:colorMarkers rgb="FFD00000"/>
          <x14:colorFirst rgb="FFD00000"/>
          <x14:colorLast rgb="FFD00000"/>
          <x14:colorHigh rgb="FFD00000"/>
          <x14:colorLow rgb="FFD00000"/>
          <x14:sparklines>
            <x14:sparkline>
              <xm:f>Trends!AM80:AM86</xm:f>
              <xm:sqref>AR87</xm:sqref>
            </x14:sparkline>
          </x14:sparklines>
        </x14:sparklineGroup>
        <x14:sparklineGroup manualMax="0" manualMin="0" displayEmptyCellsAs="gap" xr2:uid="{5A5F5E67-18D9-4326-8969-45D05C8315CD}">
          <x14:colorSeries rgb="FF376092"/>
          <x14:colorNegative rgb="FFD00000"/>
          <x14:colorAxis rgb="FF000000"/>
          <x14:colorMarkers rgb="FFD00000"/>
          <x14:colorFirst rgb="FFD00000"/>
          <x14:colorLast rgb="FFD00000"/>
          <x14:colorHigh rgb="FFD00000"/>
          <x14:colorLow rgb="FFD00000"/>
          <x14:sparklines>
            <x14:sparkline>
              <xm:f>Trends!AM73:AM79</xm:f>
              <xm:sqref>AR80</xm:sqref>
            </x14:sparkline>
          </x14:sparklines>
        </x14:sparklineGroup>
        <x14:sparklineGroup manualMax="0" manualMin="0" displayEmptyCellsAs="gap" xr2:uid="{80797274-4749-42E6-9957-CAE0CED74CE5}">
          <x14:colorSeries rgb="FF376092"/>
          <x14:colorNegative rgb="FFD00000"/>
          <x14:colorAxis rgb="FF000000"/>
          <x14:colorMarkers rgb="FFD00000"/>
          <x14:colorFirst rgb="FFD00000"/>
          <x14:colorLast rgb="FFD00000"/>
          <x14:colorHigh rgb="FFD00000"/>
          <x14:colorLow rgb="FFD00000"/>
          <x14:sparklines>
            <x14:sparkline>
              <xm:f>Trends!AM67:AM73</xm:f>
              <xm:sqref>AR73</xm:sqref>
            </x14:sparkline>
          </x14:sparklines>
        </x14:sparklineGroup>
        <x14:sparklineGroup manualMax="0" manualMin="0" displayEmptyCellsAs="gap" xr2:uid="{00131F4E-366B-4493-8132-A91D473CDEC2}">
          <x14:colorSeries rgb="FF376092"/>
          <x14:colorNegative rgb="FFD00000"/>
          <x14:colorAxis rgb="FF000000"/>
          <x14:colorMarkers rgb="FFD00000"/>
          <x14:colorFirst rgb="FFD00000"/>
          <x14:colorLast rgb="FFD00000"/>
          <x14:colorHigh rgb="FFD00000"/>
          <x14:colorLow rgb="FFD00000"/>
          <x14:sparklines>
            <x14:sparkline>
              <xm:f>Trends!AM60:AM66</xm:f>
              <xm:sqref>AR66</xm:sqref>
            </x14:sparkline>
          </x14:sparklines>
        </x14:sparklineGroup>
        <x14:sparklineGroup manualMax="0" manualMin="0" displayEmptyCellsAs="gap" xr2:uid="{578EC49B-CBED-4AF9-B8B8-4A2A59DA8BF9}">
          <x14:colorSeries rgb="FF376092"/>
          <x14:colorNegative rgb="FFD00000"/>
          <x14:colorAxis rgb="FF000000"/>
          <x14:colorMarkers rgb="FFD00000"/>
          <x14:colorFirst rgb="FFD00000"/>
          <x14:colorLast rgb="FFD00000"/>
          <x14:colorHigh rgb="FFD00000"/>
          <x14:colorLow rgb="FFD00000"/>
          <x14:sparklines>
            <x14:sparkline>
              <xm:f>Trends!AM53:AM59</xm:f>
              <xm:sqref>AR59</xm:sqref>
            </x14:sparkline>
          </x14:sparklines>
        </x14:sparklineGroup>
        <x14:sparklineGroup manualMax="0" manualMin="0" displayEmptyCellsAs="gap" xr2:uid="{915B61D3-4210-4290-9069-4697E6AFCFBF}">
          <x14:colorSeries rgb="FF376092"/>
          <x14:colorNegative rgb="FFD00000"/>
          <x14:colorAxis rgb="FF000000"/>
          <x14:colorMarkers rgb="FFD00000"/>
          <x14:colorFirst rgb="FFD00000"/>
          <x14:colorLast rgb="FFD00000"/>
          <x14:colorHigh rgb="FFD00000"/>
          <x14:colorLow rgb="FFD00000"/>
          <x14:sparklines>
            <x14:sparkline>
              <xm:f>Trends!AM46:AM52</xm:f>
              <xm:sqref>AR52</xm:sqref>
            </x14:sparkline>
          </x14:sparklines>
        </x14:sparklineGroup>
        <x14:sparklineGroup manualMax="0" manualMin="0" displayEmptyCellsAs="gap" xr2:uid="{C6C33940-8B09-4EF7-8E8F-4B2240D42236}">
          <x14:colorSeries rgb="FF376092"/>
          <x14:colorNegative rgb="FFD00000"/>
          <x14:colorAxis rgb="FF000000"/>
          <x14:colorMarkers rgb="FFD00000"/>
          <x14:colorFirst rgb="FFD00000"/>
          <x14:colorLast rgb="FFD00000"/>
          <x14:colorHigh rgb="FFD00000"/>
          <x14:colorLow rgb="FFD00000"/>
          <x14:sparklines>
            <x14:sparkline>
              <xm:f>Trends!AM39:AM45</xm:f>
              <xm:sqref>AR45</xm:sqref>
            </x14:sparkline>
          </x14:sparklines>
        </x14:sparklineGroup>
        <x14:sparklineGroup manualMax="0" manualMin="0" displayEmptyCellsAs="gap" xr2:uid="{BBAF45E7-8D6E-4B28-8914-3D68A7D7D1B2}">
          <x14:colorSeries rgb="FF376092"/>
          <x14:colorNegative rgb="FFD00000"/>
          <x14:colorAxis rgb="FF000000"/>
          <x14:colorMarkers rgb="FFD00000"/>
          <x14:colorFirst rgb="FFD00000"/>
          <x14:colorLast rgb="FFD00000"/>
          <x14:colorHigh rgb="FFD00000"/>
          <x14:colorLow rgb="FFD00000"/>
          <x14:sparklines>
            <x14:sparkline>
              <xm:f>Trends!AM32:AM38</xm:f>
              <xm:sqref>AR38</xm:sqref>
            </x14:sparkline>
          </x14:sparklines>
        </x14:sparklineGroup>
        <x14:sparklineGroup manualMax="0" manualMin="0" displayEmptyCellsAs="gap" xr2:uid="{D1129DA9-16D5-479D-9909-8AD9A6AF9A4A}">
          <x14:colorSeries rgb="FF376092"/>
          <x14:colorNegative rgb="FFD00000"/>
          <x14:colorAxis rgb="FF000000"/>
          <x14:colorMarkers rgb="FFD00000"/>
          <x14:colorFirst rgb="FFD00000"/>
          <x14:colorLast rgb="FFD00000"/>
          <x14:colorHigh rgb="FFD00000"/>
          <x14:colorLow rgb="FFD00000"/>
          <x14:sparklines>
            <x14:sparkline>
              <xm:f>Trends!AM25:AM31</xm:f>
              <xm:sqref>AR31</xm:sqref>
            </x14:sparkline>
          </x14:sparklines>
        </x14:sparklineGroup>
        <x14:sparklineGroup manualMax="0" manualMin="0" displayEmptyCellsAs="gap" xr2:uid="{03EB44C2-524E-4300-91DC-4AA3E9A65D48}">
          <x14:colorSeries rgb="FF376092"/>
          <x14:colorNegative rgb="FFD00000"/>
          <x14:colorAxis rgb="FF000000"/>
          <x14:colorMarkers rgb="FFD00000"/>
          <x14:colorFirst rgb="FFD00000"/>
          <x14:colorLast rgb="FFD00000"/>
          <x14:colorHigh rgb="FFD00000"/>
          <x14:colorLow rgb="FFD00000"/>
          <x14:sparklines>
            <x14:sparkline>
              <xm:f>Trends!AM18:AM24</xm:f>
              <xm:sqref>AR24</xm:sqref>
            </x14:sparkline>
          </x14:sparklines>
        </x14:sparklineGroup>
        <x14:sparklineGroup manualMax="0" manualMin="0" displayEmptyCellsAs="gap" xr2:uid="{C4AFA7B8-51DC-47A3-868F-083EAEBCCCFA}">
          <x14:colorSeries rgb="FF376092"/>
          <x14:colorNegative rgb="FFD00000"/>
          <x14:colorAxis rgb="FF000000"/>
          <x14:colorMarkers rgb="FFD00000"/>
          <x14:colorFirst rgb="FFD00000"/>
          <x14:colorLast rgb="FFD00000"/>
          <x14:colorHigh rgb="FFD00000"/>
          <x14:colorLow rgb="FFD00000"/>
          <x14:sparklines>
            <x14:sparkline>
              <xm:f>Trends!W122:W128</xm:f>
              <xm:sqref>AB129</xm:sqref>
            </x14:sparkline>
          </x14:sparklines>
        </x14:sparklineGroup>
        <x14:sparklineGroup manualMax="0" manualMin="0" displayEmptyCellsAs="gap" xr2:uid="{D01D2ED3-E041-4C85-9D99-87B15F4E9B89}">
          <x14:colorSeries rgb="FF376092"/>
          <x14:colorNegative rgb="FFD00000"/>
          <x14:colorAxis rgb="FF000000"/>
          <x14:colorMarkers rgb="FFD00000"/>
          <x14:colorFirst rgb="FFD00000"/>
          <x14:colorLast rgb="FFD00000"/>
          <x14:colorHigh rgb="FFD00000"/>
          <x14:colorLow rgb="FFD00000"/>
          <x14:sparklines>
            <x14:sparkline>
              <xm:f>Trends!W115:W121</xm:f>
              <xm:sqref>AB122</xm:sqref>
            </x14:sparkline>
          </x14:sparklines>
        </x14:sparklineGroup>
        <x14:sparklineGroup manualMax="0" manualMin="0" displayEmptyCellsAs="gap" xr2:uid="{CA3923B6-7919-40C8-892C-3B5F727DED3C}">
          <x14:colorSeries rgb="FF376092"/>
          <x14:colorNegative rgb="FFD00000"/>
          <x14:colorAxis rgb="FF000000"/>
          <x14:colorMarkers rgb="FFD00000"/>
          <x14:colorFirst rgb="FFD00000"/>
          <x14:colorLast rgb="FFD00000"/>
          <x14:colorHigh rgb="FFD00000"/>
          <x14:colorLow rgb="FFD00000"/>
          <x14:sparklines>
            <x14:sparkline>
              <xm:f>Trends!E185:E191</xm:f>
              <xm:sqref>J192</xm:sqref>
            </x14:sparkline>
          </x14:sparklines>
        </x14:sparklineGroup>
        <x14:sparklineGroup manualMax="0" manualMin="0" displayEmptyCellsAs="gap" xr2:uid="{7B7F3DF6-7AC8-4E9B-9AFF-033446A0A65B}">
          <x14:colorSeries rgb="FF376092"/>
          <x14:colorNegative rgb="FFD00000"/>
          <x14:colorAxis rgb="FF000000"/>
          <x14:colorMarkers rgb="FFD00000"/>
          <x14:colorFirst rgb="FFD00000"/>
          <x14:colorLast rgb="FFD00000"/>
          <x14:colorHigh rgb="FFD00000"/>
          <x14:colorLow rgb="FFD00000"/>
          <x14:sparklines>
            <x14:sparkline>
              <xm:f>Trends!W185:W191</xm:f>
              <xm:sqref>AB192</xm:sqref>
            </x14:sparkline>
          </x14:sparklines>
        </x14:sparklineGroup>
        <x14:sparklineGroup manualMax="0" manualMin="0" displayEmptyCellsAs="gap" xr2:uid="{BA0D73A1-4520-4B6B-81FD-D7EE254703E5}">
          <x14:colorSeries rgb="FF376092"/>
          <x14:colorNegative rgb="FFD00000"/>
          <x14:colorAxis rgb="FF000000"/>
          <x14:colorMarkers rgb="FFD00000"/>
          <x14:colorFirst rgb="FFD00000"/>
          <x14:colorLast rgb="FFD00000"/>
          <x14:colorHigh rgb="FFD00000"/>
          <x14:colorLow rgb="FFD00000"/>
          <x14:sparklines>
            <x14:sparkline>
              <xm:f>Trends!W192:W198</xm:f>
              <xm:sqref>AB199</xm:sqref>
            </x14:sparkline>
          </x14:sparklines>
        </x14:sparklineGroup>
        <x14:sparklineGroup displayEmptyCellsAs="gap" xr2:uid="{32C8F52A-E194-43E3-9349-05B6F4A04E4F}">
          <x14:colorSeries rgb="FF376092"/>
          <x14:colorNegative rgb="FFD00000"/>
          <x14:colorAxis rgb="FF000000"/>
          <x14:colorMarkers rgb="FFD00000"/>
          <x14:colorFirst rgb="FFD00000"/>
          <x14:colorLast rgb="FFD00000"/>
          <x14:colorHigh rgb="FFD00000"/>
          <x14:colorLow rgb="FFD00000"/>
          <x14:sparklines>
            <x14:sparkline>
              <xm:f>Trends!AM186:AM192</xm:f>
              <xm:sqref>AR192</xm:sqref>
            </x14:sparkline>
          </x14:sparklines>
        </x14:sparklineGroup>
        <x14:sparklineGroup displayEmptyCellsAs="gap" xr2:uid="{A94F6008-4F04-4E46-9D3A-A7202E9FF081}">
          <x14:colorSeries rgb="FF376092"/>
          <x14:colorNegative rgb="FFD00000"/>
          <x14:colorAxis rgb="FF000000"/>
          <x14:colorMarkers rgb="FFD00000"/>
          <x14:colorFirst rgb="FFD00000"/>
          <x14:colorLast rgb="FFD00000"/>
          <x14:colorHigh rgb="FFD00000"/>
          <x14:colorLow rgb="FFD00000"/>
          <x14:sparklines>
            <x14:sparkline>
              <xm:f>Trends!AM193:AM199</xm:f>
              <xm:sqref>AR199</xm:sqref>
            </x14:sparkline>
          </x14:sparklines>
        </x14:sparklineGroup>
        <x14:sparklineGroup displayEmptyCellsAs="gap" xr2:uid="{EA6EE6F1-4EB1-4FE3-A183-970A2E3C13F6}">
          <x14:colorSeries rgb="FF376092"/>
          <x14:colorNegative rgb="FFD00000"/>
          <x14:colorAxis rgb="FF000000"/>
          <x14:colorMarkers rgb="FFD00000"/>
          <x14:colorFirst rgb="FFD00000"/>
          <x14:colorLast rgb="FFD00000"/>
          <x14:colorHigh rgb="FFD00000"/>
          <x14:colorLow rgb="FFD00000"/>
          <x14:sparklines>
            <x14:sparkline>
              <xm:f>Trends!AM207:AM213</xm:f>
              <xm:sqref>AR213</xm:sqref>
            </x14:sparkline>
          </x14:sparklines>
        </x14:sparklineGroup>
        <x14:sparklineGroup manualMax="0" manualMin="0" displayEmptyCellsAs="gap" xr2:uid="{81EC9084-669A-49D8-B624-1F5AB09FE5FE}">
          <x14:colorSeries rgb="FF376092"/>
          <x14:colorNegative rgb="FFD00000"/>
          <x14:colorAxis rgb="FF000000"/>
          <x14:colorMarkers rgb="FFD00000"/>
          <x14:colorFirst rgb="FFD00000"/>
          <x14:colorLast rgb="FFD00000"/>
          <x14:colorHigh rgb="FFD00000"/>
          <x14:colorLow rgb="FFD00000"/>
          <x14:sparklines>
            <x14:sparkline>
              <xm:f>Trends!E192:E198</xm:f>
              <xm:sqref>J199</xm:sqref>
            </x14:sparkline>
          </x14:sparklines>
        </x14:sparklineGroup>
        <x14:sparklineGroup manualMax="0" manualMin="0" displayEmptyCellsAs="gap" xr2:uid="{173A0349-9091-48CE-9EE4-6D585FC3E84B}">
          <x14:colorSeries rgb="FF376092"/>
          <x14:colorNegative rgb="FFD00000"/>
          <x14:colorAxis rgb="FF000000"/>
          <x14:colorMarkers rgb="FFD00000"/>
          <x14:colorFirst rgb="FFD00000"/>
          <x14:colorLast rgb="FFD00000"/>
          <x14:colorHigh rgb="FFD00000"/>
          <x14:colorLow rgb="FFD00000"/>
          <x14:sparklines>
            <x14:sparkline>
              <xm:f>Trends!E199:E205</xm:f>
              <xm:sqref>J206</xm:sqref>
            </x14:sparkline>
          </x14:sparklines>
        </x14:sparklineGroup>
        <x14:sparklineGroup manualMax="0" manualMin="0" displayEmptyCellsAs="gap" xr2:uid="{71A75517-D965-4A06-9099-73ADFD53A76D}">
          <x14:colorSeries rgb="FF376092"/>
          <x14:colorNegative rgb="FFD00000"/>
          <x14:colorAxis rgb="FF000000"/>
          <x14:colorMarkers rgb="FFD00000"/>
          <x14:colorFirst rgb="FFD00000"/>
          <x14:colorLast rgb="FFD00000"/>
          <x14:colorHigh rgb="FFD00000"/>
          <x14:colorLow rgb="FFD00000"/>
          <x14:sparklines>
            <x14:sparkline>
              <xm:f>Trends!E206:E212</xm:f>
              <xm:sqref>J213</xm:sqref>
            </x14:sparkline>
          </x14:sparklines>
        </x14:sparklineGroup>
        <x14:sparklineGroup manualMax="0" manualMin="0" displayEmptyCellsAs="gap" xr2:uid="{89343B3F-7C88-4DBA-AC9F-0DB5B7695C03}">
          <x14:colorSeries rgb="FF376092"/>
          <x14:colorNegative rgb="FFD00000"/>
          <x14:colorAxis rgb="FF000000"/>
          <x14:colorMarkers rgb="FFD00000"/>
          <x14:colorFirst rgb="FFD00000"/>
          <x14:colorLast rgb="FFD00000"/>
          <x14:colorHigh rgb="FFD00000"/>
          <x14:colorLow rgb="FFD00000"/>
          <x14:sparklines>
            <x14:sparkline>
              <xm:f>Trends!W199:W205</xm:f>
              <xm:sqref>AB206</xm:sqref>
            </x14:sparkline>
          </x14:sparklines>
        </x14:sparklineGroup>
        <x14:sparklineGroup manualMax="0" manualMin="0" displayEmptyCellsAs="gap" xr2:uid="{74FB1038-9F4D-439D-BEEC-A3AD201A1393}">
          <x14:colorSeries rgb="FF376092"/>
          <x14:colorNegative rgb="FFD00000"/>
          <x14:colorAxis rgb="FF000000"/>
          <x14:colorMarkers rgb="FFD00000"/>
          <x14:colorFirst rgb="FFD00000"/>
          <x14:colorLast rgb="FFD00000"/>
          <x14:colorHigh rgb="FFD00000"/>
          <x14:colorLow rgb="FFD00000"/>
          <x14:sparklines>
            <x14:sparkline>
              <xm:f>Trends!W206:W212</xm:f>
              <xm:sqref>AB213</xm:sqref>
            </x14:sparkline>
          </x14:sparklines>
        </x14:sparklineGroup>
        <x14:sparklineGroup displayEmptyCellsAs="gap" xr2:uid="{E7061985-ED9E-4473-B52C-1990BB256F8C}">
          <x14:colorSeries rgb="FF376092"/>
          <x14:colorNegative rgb="FFD00000"/>
          <x14:colorAxis rgb="FF000000"/>
          <x14:colorMarkers rgb="FFD00000"/>
          <x14:colorFirst rgb="FFD00000"/>
          <x14:colorLast rgb="FFD00000"/>
          <x14:colorHigh rgb="FFD00000"/>
          <x14:colorLow rgb="FFD00000"/>
          <x14:sparklines>
            <x14:sparkline>
              <xm:f>Trends!AM200:AM206</xm:f>
              <xm:sqref>AR206</xm:sqref>
            </x14:sparkline>
          </x14:sparklines>
        </x14:sparklineGroup>
        <x14:sparklineGroup manualMax="0" manualMin="0" displayEmptyCellsAs="gap" xr2:uid="{38171D6B-0405-4794-A257-BEBC611A6F43}">
          <x14:colorSeries rgb="FF376092"/>
          <x14:colorNegative rgb="FFD00000"/>
          <x14:colorAxis rgb="FF000000"/>
          <x14:colorMarkers rgb="FFD00000"/>
          <x14:colorFirst rgb="FFD00000"/>
          <x14:colorLast rgb="FFD00000"/>
          <x14:colorHigh rgb="FFD00000"/>
          <x14:colorLow rgb="FFD00000"/>
          <x14:sparklines>
            <x14:sparkline>
              <xm:f>Trends!E213:E219</xm:f>
              <xm:sqref>J220</xm:sqref>
            </x14:sparkline>
          </x14:sparklines>
        </x14:sparklineGroup>
        <x14:sparklineGroup manualMax="0" manualMin="0" displayEmptyCellsAs="gap" xr2:uid="{752B9B3A-7345-41E7-A7DA-482DE1AAEA59}">
          <x14:colorSeries rgb="FF376092"/>
          <x14:colorNegative rgb="FFD00000"/>
          <x14:colorAxis rgb="FF000000"/>
          <x14:colorMarkers rgb="FFD00000"/>
          <x14:colorFirst rgb="FFD00000"/>
          <x14:colorLast rgb="FFD00000"/>
          <x14:colorHigh rgb="FFD00000"/>
          <x14:colorLow rgb="FFD00000"/>
          <x14:sparklines>
            <x14:sparkline>
              <xm:f>Trends!E220:E226</xm:f>
              <xm:sqref>J227</xm:sqref>
            </x14:sparkline>
            <x14:sparkline>
              <xm:f>Trends!E227:E233</xm:f>
              <xm:sqref>J234</xm:sqref>
            </x14:sparkline>
            <x14:sparkline>
              <xm:f>Trends!E234:E240</xm:f>
              <xm:sqref>J241</xm:sqref>
            </x14:sparkline>
            <x14:sparkline>
              <xm:f>Trends!E241:E247</xm:f>
              <xm:sqref>J248</xm:sqref>
            </x14:sparkline>
            <x14:sparkline>
              <xm:f>Trends!E248:E254</xm:f>
              <xm:sqref>J255</xm:sqref>
            </x14:sparkline>
            <x14:sparkline>
              <xm:f>Trends!E255:E261</xm:f>
              <xm:sqref>J262</xm:sqref>
            </x14:sparkline>
            <x14:sparkline>
              <xm:f>Trends!E262:E268</xm:f>
              <xm:sqref>J269</xm:sqref>
            </x14:sparkline>
            <x14:sparkline>
              <xm:f>Trends!E269:E275</xm:f>
              <xm:sqref>J276</xm:sqref>
            </x14:sparkline>
            <x14:sparkline>
              <xm:f>Trends!E276:E282</xm:f>
              <xm:sqref>J283</xm:sqref>
            </x14:sparkline>
            <x14:sparkline>
              <xm:f>Trends!E283:E289</xm:f>
              <xm:sqref>J290</xm:sqref>
            </x14:sparkline>
            <x14:sparkline>
              <xm:f>Trends!E290:E296</xm:f>
              <xm:sqref>J297</xm:sqref>
            </x14:sparkline>
            <x14:sparkline>
              <xm:f>Trends!E297:E303</xm:f>
              <xm:sqref>J304</xm:sqref>
            </x14:sparkline>
            <x14:sparkline>
              <xm:f>Trends!E304:E310</xm:f>
              <xm:sqref>J311</xm:sqref>
            </x14:sparkline>
            <x14:sparkline>
              <xm:f>Trends!E311:E317</xm:f>
              <xm:sqref>J318</xm:sqref>
            </x14:sparkline>
            <x14:sparkline>
              <xm:f>Trends!E318:E324</xm:f>
              <xm:sqref>J325</xm:sqref>
            </x14:sparkline>
            <x14:sparkline>
              <xm:f>Trends!E325:E331</xm:f>
              <xm:sqref>J332</xm:sqref>
            </x14:sparkline>
            <x14:sparkline>
              <xm:f>Trends!E332:E338</xm:f>
              <xm:sqref>J339</xm:sqref>
            </x14:sparkline>
            <x14:sparkline>
              <xm:f>Trends!E339:E345</xm:f>
              <xm:sqref>J346</xm:sqref>
            </x14:sparkline>
            <x14:sparkline>
              <xm:f>Trends!E346:E352</xm:f>
              <xm:sqref>J353</xm:sqref>
            </x14:sparkline>
            <x14:sparkline>
              <xm:f>Trends!E353:E359</xm:f>
              <xm:sqref>J360</xm:sqref>
            </x14:sparkline>
            <x14:sparkline>
              <xm:f>Trends!E360:E366</xm:f>
              <xm:sqref>J367</xm:sqref>
            </x14:sparkline>
            <x14:sparkline>
              <xm:f>Trends!E367:E373</xm:f>
              <xm:sqref>J374</xm:sqref>
            </x14:sparkline>
            <x14:sparkline>
              <xm:f>Trends!E374:E380</xm:f>
              <xm:sqref>J381</xm:sqref>
            </x14:sparkline>
            <x14:sparkline>
              <xm:f>Trends!E381:E387</xm:f>
              <xm:sqref>J388</xm:sqref>
            </x14:sparkline>
            <x14:sparkline>
              <xm:f>Trends!E388:E394</xm:f>
              <xm:sqref>J395</xm:sqref>
            </x14:sparkline>
            <x14:sparkline>
              <xm:f>Trends!E395:E401</xm:f>
              <xm:sqref>J402</xm:sqref>
            </x14:sparkline>
            <x14:sparkline>
              <xm:f>Trends!E402:E408</xm:f>
              <xm:sqref>J409</xm:sqref>
            </x14:sparkline>
            <x14:sparkline>
              <xm:f>Trends!E409:E415</xm:f>
              <xm:sqref>J416</xm:sqref>
            </x14:sparkline>
            <x14:sparkline>
              <xm:f>Trends!E416:E422</xm:f>
              <xm:sqref>J423</xm:sqref>
            </x14:sparkline>
            <x14:sparkline>
              <xm:f>Trends!E423:E429</xm:f>
              <xm:sqref>J430</xm:sqref>
            </x14:sparkline>
            <x14:sparkline>
              <xm:f>Trends!E430:E436</xm:f>
              <xm:sqref>J437</xm:sqref>
            </x14:sparkline>
            <x14:sparkline>
              <xm:f>Trends!E437:E443</xm:f>
              <xm:sqref>J444</xm:sqref>
            </x14:sparkline>
            <x14:sparkline>
              <xm:f>Trends!E444:E450</xm:f>
              <xm:sqref>J451</xm:sqref>
            </x14:sparkline>
            <x14:sparkline>
              <xm:f>Trends!E451:E457</xm:f>
              <xm:sqref>J458</xm:sqref>
            </x14:sparkline>
            <x14:sparkline>
              <xm:f>Trends!E458:E464</xm:f>
              <xm:sqref>J465</xm:sqref>
            </x14:sparkline>
            <x14:sparkline>
              <xm:f>Trends!E465:E471</xm:f>
              <xm:sqref>J472</xm:sqref>
            </x14:sparkline>
            <x14:sparkline>
              <xm:f>Trends!E472:E478</xm:f>
              <xm:sqref>J479</xm:sqref>
            </x14:sparkline>
            <x14:sparkline>
              <xm:f>Trends!E479:E485</xm:f>
              <xm:sqref>J486</xm:sqref>
            </x14:sparkline>
            <x14:sparkline>
              <xm:f>Trends!E486:E492</xm:f>
              <xm:sqref>J493</xm:sqref>
            </x14:sparkline>
          </x14:sparklines>
        </x14:sparklineGroup>
        <x14:sparklineGroup manualMax="0" manualMin="0" displayEmptyCellsAs="gap" xr2:uid="{540A7384-5FFF-4975-B961-6E6B8F8B122E}">
          <x14:colorSeries rgb="FF376092"/>
          <x14:colorNegative rgb="FFD00000"/>
          <x14:colorAxis rgb="FF000000"/>
          <x14:colorMarkers rgb="FFD00000"/>
          <x14:colorFirst rgb="FFD00000"/>
          <x14:colorLast rgb="FFD00000"/>
          <x14:colorHigh rgb="FFD00000"/>
          <x14:colorLow rgb="FFD00000"/>
          <x14:sparklines>
            <x14:sparkline>
              <xm:f>Trends!W220:W226</xm:f>
              <xm:sqref>AB227</xm:sqref>
            </x14:sparkline>
            <x14:sparkline>
              <xm:f>Trends!W234:W240</xm:f>
              <xm:sqref>AB241</xm:sqref>
            </x14:sparkline>
            <x14:sparkline>
              <xm:f>Trends!W248:W254</xm:f>
              <xm:sqref>AB255</xm:sqref>
            </x14:sparkline>
            <x14:sparkline>
              <xm:f>Trends!W262:W268</xm:f>
              <xm:sqref>AB269</xm:sqref>
            </x14:sparkline>
            <x14:sparkline>
              <xm:f>Trends!W276:W282</xm:f>
              <xm:sqref>AB283</xm:sqref>
            </x14:sparkline>
            <x14:sparkline>
              <xm:f>Trends!W290:W296</xm:f>
              <xm:sqref>AB297</xm:sqref>
            </x14:sparkline>
            <x14:sparkline>
              <xm:f>Trends!W304:W310</xm:f>
              <xm:sqref>AB311</xm:sqref>
            </x14:sparkline>
            <x14:sparkline>
              <xm:f>Trends!W318:W324</xm:f>
              <xm:sqref>AB325</xm:sqref>
            </x14:sparkline>
            <x14:sparkline>
              <xm:f>Trends!W332:W338</xm:f>
              <xm:sqref>AB339</xm:sqref>
            </x14:sparkline>
            <x14:sparkline>
              <xm:f>Trends!W346:W352</xm:f>
              <xm:sqref>AB353</xm:sqref>
            </x14:sparkline>
            <x14:sparkline>
              <xm:f>Trends!W360:W366</xm:f>
              <xm:sqref>AB367</xm:sqref>
            </x14:sparkline>
            <x14:sparkline>
              <xm:f>Trends!W374:W380</xm:f>
              <xm:sqref>AB381</xm:sqref>
            </x14:sparkline>
            <x14:sparkline>
              <xm:f>Trends!W388:W394</xm:f>
              <xm:sqref>AB395</xm:sqref>
            </x14:sparkline>
            <x14:sparkline>
              <xm:f>Trends!W402:W408</xm:f>
              <xm:sqref>AB409</xm:sqref>
            </x14:sparkline>
            <x14:sparkline>
              <xm:f>Trends!W416:W422</xm:f>
              <xm:sqref>AB423</xm:sqref>
            </x14:sparkline>
            <x14:sparkline>
              <xm:f>Trends!W430:W436</xm:f>
              <xm:sqref>AB437</xm:sqref>
            </x14:sparkline>
            <x14:sparkline>
              <xm:f>Trends!W444:W450</xm:f>
              <xm:sqref>AB451</xm:sqref>
            </x14:sparkline>
            <x14:sparkline>
              <xm:f>Trends!W458:W464</xm:f>
              <xm:sqref>AB465</xm:sqref>
            </x14:sparkline>
            <x14:sparkline>
              <xm:f>Trends!W472:W478</xm:f>
              <xm:sqref>AB479</xm:sqref>
            </x14:sparkline>
            <x14:sparkline>
              <xm:f>Trends!W486:W492</xm:f>
              <xm:sqref>AB493</xm:sqref>
            </x14:sparkline>
          </x14:sparklines>
        </x14:sparklineGroup>
      </x14:sparklineGroup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6C6A9-0632-42A0-B7D0-51037FC81BA9}">
  <sheetPr codeName="Sheet5"/>
  <dimension ref="A1:AV32"/>
  <sheetViews>
    <sheetView workbookViewId="0">
      <selection activeCell="E4" sqref="A2:E4"/>
    </sheetView>
  </sheetViews>
  <sheetFormatPr defaultRowHeight="15"/>
  <cols>
    <col min="1" max="1" width="10.140625" style="1" customWidth="1"/>
    <col min="4" max="4" width="9.42578125" bestFit="1" customWidth="1"/>
  </cols>
  <sheetData>
    <row r="1" spans="1:4">
      <c r="A1" s="1" t="s">
        <v>115</v>
      </c>
      <c r="B1" t="s">
        <v>272</v>
      </c>
      <c r="C1" t="s">
        <v>273</v>
      </c>
      <c r="D1" t="s">
        <v>274</v>
      </c>
    </row>
    <row r="31" spans="1:48" ht="15.75" thickBot="1"/>
    <row r="32" spans="1:48" s="14" customFormat="1">
      <c r="A32" s="1"/>
      <c r="B32" s="60"/>
      <c r="C32" s="60"/>
      <c r="F32" s="61"/>
      <c r="G32" s="62"/>
      <c r="H32" s="16"/>
      <c r="I32"/>
      <c r="K32" s="16"/>
      <c r="L32" s="77"/>
      <c r="M32" s="16"/>
      <c r="N32" s="16"/>
      <c r="S32" s="92"/>
      <c r="T32" s="100"/>
      <c r="U32" s="101"/>
      <c r="V32" s="15"/>
      <c r="X32" s="61"/>
      <c r="Y32" s="62"/>
      <c r="Z32" s="16"/>
      <c r="AA32"/>
      <c r="AC32" s="16"/>
      <c r="AD32" s="16"/>
      <c r="AE32" s="16"/>
      <c r="AF32" s="16"/>
      <c r="AL32" s="15"/>
      <c r="AM32" s="60"/>
      <c r="AN32" s="61"/>
      <c r="AO32" s="62"/>
      <c r="AP32" s="16"/>
      <c r="AQ32"/>
      <c r="AS32" s="16"/>
      <c r="AT32" s="77"/>
      <c r="AU32" s="16"/>
      <c r="AV32" s="16"/>
    </row>
  </sheetData>
  <conditionalFormatting sqref="G32">
    <cfRule type="cellIs" dxfId="44" priority="7" operator="equal">
      <formula>0</formula>
    </cfRule>
    <cfRule type="cellIs" dxfId="43" priority="8" operator="lessThan">
      <formula>-0.05</formula>
    </cfRule>
  </conditionalFormatting>
  <conditionalFormatting sqref="H32">
    <cfRule type="cellIs" dxfId="42" priority="44" operator="lessThan">
      <formula>0</formula>
    </cfRule>
    <cfRule type="cellIs" dxfId="41" priority="45" operator="greaterThan">
      <formula>0</formula>
    </cfRule>
  </conditionalFormatting>
  <conditionalFormatting sqref="N32">
    <cfRule type="cellIs" dxfId="40" priority="13" operator="lessThan">
      <formula>0</formula>
    </cfRule>
  </conditionalFormatting>
  <conditionalFormatting sqref="K32:O32">
    <cfRule type="cellIs" dxfId="39" priority="42" operator="greaterThan">
      <formula>0</formula>
    </cfRule>
  </conditionalFormatting>
  <conditionalFormatting sqref="K32:O32">
    <cfRule type="cellIs" dxfId="38" priority="43" operator="lessThan">
      <formula>0</formula>
    </cfRule>
  </conditionalFormatting>
  <conditionalFormatting sqref="N32">
    <cfRule type="containsText" dxfId="37" priority="9" operator="containsText" text="High">
      <formula>NOT(ISERROR(SEARCH("High",N32)))</formula>
    </cfRule>
    <cfRule type="containsText" dxfId="36" priority="10" operator="containsText" text="Medium">
      <formula>NOT(ISERROR(SEARCH("Medium",N32)))</formula>
    </cfRule>
    <cfRule type="containsText" dxfId="35" priority="11" operator="containsText" text="Low">
      <formula>NOT(ISERROR(SEARCH("Low",N32)))</formula>
    </cfRule>
    <cfRule type="cellIs" dxfId="34" priority="12" operator="greaterThan">
      <formula>0</formula>
    </cfRule>
  </conditionalFormatting>
  <conditionalFormatting sqref="M32:N32 AE32:AF32">
    <cfRule type="cellIs" dxfId="33" priority="18" operator="between">
      <formula>0.02</formula>
      <formula>0.1</formula>
    </cfRule>
  </conditionalFormatting>
  <conditionalFormatting sqref="O32">
    <cfRule type="containsText" dxfId="32" priority="38" operator="containsText" text="Stable">
      <formula>NOT(ISERROR(SEARCH("Stable",O32)))</formula>
    </cfRule>
    <cfRule type="containsText" dxfId="31" priority="39" operator="containsText" text="Weak">
      <formula>NOT(ISERROR(SEARCH("Weak",O32)))</formula>
    </cfRule>
    <cfRule type="containsText" dxfId="30" priority="40" operator="containsText" text="Downtrend">
      <formula>NOT(ISERROR(SEARCH("Downtrend",O32)))</formula>
    </cfRule>
    <cfRule type="containsText" dxfId="29" priority="41" operator="containsText" text="Uptrend">
      <formula>NOT(ISERROR(SEARCH("Uptrend",O32)))</formula>
    </cfRule>
  </conditionalFormatting>
  <conditionalFormatting sqref="Y32">
    <cfRule type="cellIs" dxfId="28" priority="5" operator="equal">
      <formula>0</formula>
    </cfRule>
    <cfRule type="cellIs" dxfId="27" priority="6" operator="lessThan">
      <formula>-0.05</formula>
    </cfRule>
  </conditionalFormatting>
  <conditionalFormatting sqref="Z32">
    <cfRule type="cellIs" dxfId="26" priority="36" operator="lessThan">
      <formula>0</formula>
    </cfRule>
    <cfRule type="cellIs" dxfId="25" priority="37" operator="greaterThan">
      <formula>0</formula>
    </cfRule>
  </conditionalFormatting>
  <conditionalFormatting sqref="AC32">
    <cfRule type="cellIs" dxfId="24" priority="34" operator="greaterThan">
      <formula>0</formula>
    </cfRule>
    <cfRule type="cellIs" dxfId="23" priority="35" operator="lessThan">
      <formula>0</formula>
    </cfRule>
  </conditionalFormatting>
  <conditionalFormatting sqref="M32:N32 AE32:AF32">
    <cfRule type="cellIs" dxfId="22" priority="17" operator="between">
      <formula>0.0001</formula>
      <formula>0.02</formula>
    </cfRule>
    <cfRule type="cellIs" dxfId="21" priority="19" operator="greaterThan">
      <formula>0.1</formula>
    </cfRule>
  </conditionalFormatting>
  <conditionalFormatting sqref="AF32">
    <cfRule type="containsText" dxfId="20" priority="14" operator="containsText" text="High">
      <formula>NOT(ISERROR(SEARCH("High",AF32)))</formula>
    </cfRule>
    <cfRule type="containsText" dxfId="19" priority="15" operator="containsText" text="Medium">
      <formula>NOT(ISERROR(SEARCH("Medium",AF32)))</formula>
    </cfRule>
    <cfRule type="containsText" dxfId="18" priority="16" operator="containsText" text="Low">
      <formula>NOT(ISERROR(SEARCH("Low",AF32)))</formula>
    </cfRule>
  </conditionalFormatting>
  <conditionalFormatting sqref="AG32">
    <cfRule type="containsText" dxfId="17" priority="28" operator="containsText" text="Stable">
      <formula>NOT(ISERROR(SEARCH("Stable",AG32)))</formula>
    </cfRule>
    <cfRule type="containsText" dxfId="16" priority="29" operator="containsText" text="Weak">
      <formula>NOT(ISERROR(SEARCH("Weak",AG32)))</formula>
    </cfRule>
    <cfRule type="containsText" dxfId="15" priority="30" operator="containsText" text="Downtrend">
      <formula>NOT(ISERROR(SEARCH("Downtrend",AG32)))</formula>
    </cfRule>
    <cfRule type="containsText" dxfId="14" priority="31" operator="containsText" text="Uptrend">
      <formula>NOT(ISERROR(SEARCH("Uptrend",AG32)))</formula>
    </cfRule>
  </conditionalFormatting>
  <conditionalFormatting sqref="AG32">
    <cfRule type="cellIs" dxfId="13" priority="32" operator="greaterThan">
      <formula>0</formula>
    </cfRule>
    <cfRule type="cellIs" dxfId="12" priority="33" operator="lessThan">
      <formula>0</formula>
    </cfRule>
  </conditionalFormatting>
  <conditionalFormatting sqref="AO32">
    <cfRule type="cellIs" dxfId="11" priority="3" operator="equal">
      <formula>0</formula>
    </cfRule>
    <cfRule type="cellIs" dxfId="10" priority="4" operator="lessThan">
      <formula>-0.05</formula>
    </cfRule>
  </conditionalFormatting>
  <conditionalFormatting sqref="AP32">
    <cfRule type="cellIs" dxfId="9" priority="26" operator="lessThan">
      <formula>0</formula>
    </cfRule>
    <cfRule type="cellIs" dxfId="8" priority="27" operator="greaterThan">
      <formula>0</formula>
    </cfRule>
  </conditionalFormatting>
  <conditionalFormatting sqref="AS32 AW32">
    <cfRule type="cellIs" dxfId="7" priority="24" operator="greaterThan">
      <formula>0</formula>
    </cfRule>
    <cfRule type="cellIs" dxfId="6" priority="25" operator="lessThan">
      <formula>0</formula>
    </cfRule>
  </conditionalFormatting>
  <conditionalFormatting sqref="AW32">
    <cfRule type="containsText" dxfId="5" priority="20" operator="containsText" text="Stable">
      <formula>NOT(ISERROR(SEARCH("Stable",AW32)))</formula>
    </cfRule>
    <cfRule type="containsText" dxfId="4" priority="21" operator="containsText" text="Weak">
      <formula>NOT(ISERROR(SEARCH("Weak",AW32)))</formula>
    </cfRule>
    <cfRule type="containsText" dxfId="3" priority="22" operator="containsText" text="Downtrend">
      <formula>NOT(ISERROR(SEARCH("Downtrend",AW32)))</formula>
    </cfRule>
    <cfRule type="containsText" dxfId="2" priority="23" operator="containsText" text="Uptrend">
      <formula>NOT(ISERROR(SEARCH("Uptrend",AW32)))</formula>
    </cfRule>
  </conditionalFormatting>
  <conditionalFormatting sqref="AF32">
    <cfRule type="cellIs" dxfId="1" priority="1" operator="greaterThan">
      <formula>0</formula>
    </cfRule>
    <cfRule type="cellIs" dxfId="0" priority="2" operator="lessThan">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E0E62-CD0E-4445-BB28-25DD0FF3FB70}">
  <sheetPr codeName="Sheet2"/>
  <dimension ref="A1:AJ16"/>
  <sheetViews>
    <sheetView workbookViewId="0">
      <selection activeCell="AA11" sqref="AA11"/>
    </sheetView>
  </sheetViews>
  <sheetFormatPr defaultColWidth="9.140625" defaultRowHeight="15"/>
  <cols>
    <col min="1" max="1" width="10.42578125" style="6" bestFit="1" customWidth="1"/>
    <col min="2" max="3" width="9.140625" style="6"/>
    <col min="4" max="4" width="10.28515625" style="6" bestFit="1" customWidth="1"/>
    <col min="5" max="6" width="9.140625" style="6"/>
    <col min="7" max="7" width="9.140625" style="7"/>
    <col min="8" max="9" width="9.140625" style="6"/>
    <col min="10" max="10" width="11.5703125" style="6" bestFit="1" customWidth="1"/>
    <col min="11" max="17" width="9.140625" style="6"/>
    <col min="18" max="18" width="11.28515625" style="6" customWidth="1"/>
    <col min="19" max="21" width="9.140625" style="6"/>
    <col min="22" max="22" width="7.140625" style="6" customWidth="1"/>
    <col min="23" max="26" width="9.140625" style="6"/>
    <col min="27" max="27" width="11.5703125" style="6" bestFit="1" customWidth="1"/>
    <col min="28" max="28" width="11.5703125" style="6" customWidth="1"/>
    <col min="29" max="32" width="9.140625" style="6"/>
    <col min="33" max="33" width="11.5703125" style="6" bestFit="1" customWidth="1"/>
    <col min="34" max="34" width="8.28515625" style="6" customWidth="1"/>
    <col min="35" max="35" width="16.28515625" style="6" customWidth="1"/>
    <col min="36" max="16384" width="9.140625" style="6"/>
  </cols>
  <sheetData>
    <row r="1" spans="1:36">
      <c r="A1" s="9" t="s">
        <v>245</v>
      </c>
      <c r="B1" s="113" t="s">
        <v>133</v>
      </c>
      <c r="L1" s="9" t="s">
        <v>245</v>
      </c>
      <c r="M1" s="114" t="s">
        <v>134</v>
      </c>
      <c r="W1" s="9" t="s">
        <v>245</v>
      </c>
      <c r="X1" s="6" t="s">
        <v>135</v>
      </c>
      <c r="AF1" s="119"/>
      <c r="AG1" s="120" t="s">
        <v>605</v>
      </c>
      <c r="AH1" s="121"/>
      <c r="AI1" s="124" t="s">
        <v>604</v>
      </c>
    </row>
    <row r="2" spans="1:36" ht="30">
      <c r="A2" s="9" t="s">
        <v>115</v>
      </c>
      <c r="B2" s="9" t="s">
        <v>246</v>
      </c>
      <c r="C2" s="9" t="s">
        <v>251</v>
      </c>
      <c r="D2" s="9" t="s">
        <v>248</v>
      </c>
      <c r="E2" s="9" t="s">
        <v>247</v>
      </c>
      <c r="F2" s="9" t="s">
        <v>250</v>
      </c>
      <c r="G2" s="11" t="s">
        <v>11</v>
      </c>
      <c r="H2" s="9" t="s">
        <v>249</v>
      </c>
      <c r="I2" s="9" t="s">
        <v>606</v>
      </c>
      <c r="J2" s="6">
        <f>J4-J3</f>
        <v>0</v>
      </c>
      <c r="L2" s="9" t="s">
        <v>115</v>
      </c>
      <c r="M2" s="9" t="s">
        <v>246</v>
      </c>
      <c r="N2" s="9" t="s">
        <v>251</v>
      </c>
      <c r="O2" s="9" t="s">
        <v>248</v>
      </c>
      <c r="P2" s="9" t="s">
        <v>247</v>
      </c>
      <c r="Q2" s="9" t="s">
        <v>250</v>
      </c>
      <c r="R2" s="11" t="s">
        <v>11</v>
      </c>
      <c r="S2" s="9" t="s">
        <v>249</v>
      </c>
      <c r="T2" s="9" t="s">
        <v>606</v>
      </c>
      <c r="U2" s="6">
        <f>U4-U3</f>
        <v>0</v>
      </c>
      <c r="W2" s="9" t="s">
        <v>115</v>
      </c>
      <c r="X2" s="9" t="s">
        <v>246</v>
      </c>
      <c r="Y2" s="9" t="s">
        <v>255</v>
      </c>
      <c r="Z2" s="9" t="s">
        <v>248</v>
      </c>
      <c r="AA2" s="9" t="s">
        <v>247</v>
      </c>
      <c r="AB2" s="9" t="s">
        <v>1600</v>
      </c>
      <c r="AC2" s="9" t="s">
        <v>250</v>
      </c>
      <c r="AD2" s="11" t="s">
        <v>11</v>
      </c>
      <c r="AE2" s="9" t="s">
        <v>249</v>
      </c>
      <c r="AF2" s="44" t="s">
        <v>244</v>
      </c>
      <c r="AG2" s="6">
        <f>SUMIF(Z3:Z20,"&gt;0")</f>
        <v>0</v>
      </c>
      <c r="AH2" s="122"/>
      <c r="AI2" s="125">
        <f>U2+J2+AG10</f>
        <v>0</v>
      </c>
    </row>
    <row r="3" spans="1:36" ht="30">
      <c r="A3" s="117"/>
      <c r="E3" s="6" t="e">
        <f>D3/C3</f>
        <v>#DIV/0!</v>
      </c>
      <c r="F3" s="6" cm="1">
        <f t="array" ref="F3">_xlfn.XLOOKUP(A3,Trends!$V16:$V$1005,Trends!$W16:$W$1005)</f>
        <v>0</v>
      </c>
      <c r="G3" s="7">
        <f t="shared" ref="G3:G11" si="0">IFERROR((F3-E3)/F3,0)</f>
        <v>0</v>
      </c>
      <c r="H3" s="6">
        <f>C3</f>
        <v>0</v>
      </c>
      <c r="I3" s="6" t="s">
        <v>244</v>
      </c>
      <c r="J3" s="6">
        <f>SUMIF(D3:D11,"&gt;0")</f>
        <v>0</v>
      </c>
      <c r="L3" s="10"/>
      <c r="P3" s="6" t="e">
        <f>O3/N3</f>
        <v>#DIV/0!</v>
      </c>
      <c r="Q3" s="6" cm="1">
        <f t="array" ref="Q3">_xlfn.XLOOKUP(L3,Trends!$V16:$V$1005,Trends!$W16:$W$1005)</f>
        <v>0</v>
      </c>
      <c r="R3" s="7" t="s">
        <v>128</v>
      </c>
      <c r="S3" s="6">
        <f>N3</f>
        <v>0</v>
      </c>
      <c r="T3" s="6" t="s">
        <v>244</v>
      </c>
      <c r="U3" s="6">
        <f>SUMIF(O3:O11,"&gt;0")</f>
        <v>0</v>
      </c>
      <c r="W3" s="10"/>
      <c r="AA3" s="6" t="e">
        <f>Z3/Y3</f>
        <v>#DIV/0!</v>
      </c>
      <c r="AC3" s="6" cm="1">
        <f t="array" ref="AC3">_xlfn.XLOOKUP(X3,Trends!$V16:$V$1005,Trends!$W16:$W$1005)</f>
        <v>0</v>
      </c>
      <c r="AD3" s="7" t="s">
        <v>128</v>
      </c>
      <c r="AE3" s="6">
        <f>Z3</f>
        <v>0</v>
      </c>
      <c r="AF3" s="6" t="s">
        <v>1601</v>
      </c>
      <c r="AG3" s="6">
        <f>SUMIF(Z3:Z21,"&lt;0")*-1</f>
        <v>0</v>
      </c>
    </row>
    <row r="4" spans="1:36" ht="30">
      <c r="A4" s="10"/>
      <c r="E4" s="6" t="e">
        <f t="shared" ref="E4:E11" si="1">D4/C4</f>
        <v>#DIV/0!</v>
      </c>
      <c r="F4" s="6" cm="1">
        <f t="array" ref="F4">_xlfn.XLOOKUP(A4,Trends!$V17:$V$1005,Trends!$W17:$W$1005)</f>
        <v>0</v>
      </c>
      <c r="G4" s="7">
        <f t="shared" si="0"/>
        <v>0</v>
      </c>
      <c r="H4" s="6">
        <f>H3+C4</f>
        <v>0</v>
      </c>
      <c r="I4" s="6" t="s">
        <v>607</v>
      </c>
      <c r="J4" s="6">
        <f>-1*SUMIF(D3:D11,"&lt;0")</f>
        <v>0</v>
      </c>
      <c r="L4" s="10"/>
      <c r="P4" s="6" t="e">
        <f t="shared" ref="P4:P11" si="2">O4/N4</f>
        <v>#DIV/0!</v>
      </c>
      <c r="Q4" s="6" cm="1">
        <f t="array" ref="Q4">_xlfn.XLOOKUP(L4,Trends!$V17:$V$1005,Trends!$W17:$W$1005)</f>
        <v>0</v>
      </c>
      <c r="R4" s="7">
        <f>IFERROR((Q4-P4)/Q4,0)</f>
        <v>0</v>
      </c>
      <c r="S4" s="6">
        <f>S3+N4</f>
        <v>0</v>
      </c>
      <c r="T4" s="6" t="s">
        <v>607</v>
      </c>
      <c r="U4" s="6">
        <f>-1*SUMIF(O3:O11,"&lt;0")</f>
        <v>0</v>
      </c>
      <c r="W4" s="10"/>
      <c r="AA4" s="6" t="e">
        <f t="shared" ref="AA4:AA15" si="3">Z4/Y4</f>
        <v>#DIV/0!</v>
      </c>
      <c r="AC4" s="6" cm="1">
        <f t="array" ref="AC4">_xlfn.XLOOKUP(X4,Trends!$V17:$V$1005,Trends!$W17:$W$1005)</f>
        <v>0</v>
      </c>
      <c r="AD4" s="7">
        <f>IFERROR((AC4-AB4)/AC4,0)</f>
        <v>0</v>
      </c>
      <c r="AE4" s="6">
        <f>AE3+Z4</f>
        <v>0</v>
      </c>
      <c r="AF4" s="44" t="s">
        <v>254</v>
      </c>
      <c r="AG4" s="6" t="e">
        <f>AVERAGEIF(AA3:AA20,"&gt;0")</f>
        <v>#DIV/0!</v>
      </c>
      <c r="AH4" s="122"/>
      <c r="AI4" s="125"/>
    </row>
    <row r="5" spans="1:36" ht="30">
      <c r="A5" s="10"/>
      <c r="E5" s="6" t="e">
        <f t="shared" si="1"/>
        <v>#DIV/0!</v>
      </c>
      <c r="F5" s="6" cm="1">
        <f t="array" ref="F5">_xlfn.XLOOKUP(A5,Trends!$V18:$V$1005,Trends!$W18:$W$1005)</f>
        <v>0</v>
      </c>
      <c r="G5" s="7">
        <f t="shared" si="0"/>
        <v>0</v>
      </c>
      <c r="H5" s="6">
        <f t="shared" ref="H5:H11" si="4">H4+C5</f>
        <v>0</v>
      </c>
      <c r="I5" s="6" t="s">
        <v>254</v>
      </c>
      <c r="J5" s="6" t="e">
        <f>AVERAGEIF(E3:E11,"&gt;0")</f>
        <v>#DIV/0!</v>
      </c>
      <c r="L5" s="10"/>
      <c r="P5" s="6" t="e">
        <f t="shared" si="2"/>
        <v>#DIV/0!</v>
      </c>
      <c r="Q5" s="6" cm="1">
        <f t="array" ref="Q5">_xlfn.XLOOKUP(L5,Trends!$V18:$V$1005,Trends!$W18:$W$1005)</f>
        <v>0</v>
      </c>
      <c r="R5" s="7">
        <f>IFERROR((Q5-P5)/Q5,0)</f>
        <v>0</v>
      </c>
      <c r="S5" s="6">
        <f>S4+N5</f>
        <v>0</v>
      </c>
      <c r="T5" s="9" t="s">
        <v>254</v>
      </c>
      <c r="U5" s="6" t="e">
        <f>AVERAGEIF(P3:P11,"&gt;0")</f>
        <v>#DIV/0!</v>
      </c>
      <c r="W5" s="10"/>
      <c r="AA5" s="6" t="e">
        <f t="shared" si="3"/>
        <v>#DIV/0!</v>
      </c>
      <c r="AC5" s="6" cm="1">
        <f t="array" ref="AC5">_xlfn.XLOOKUP(X5,Trends!$V18:$V$1005,Trends!$W18:$W$1005)</f>
        <v>0</v>
      </c>
      <c r="AD5" s="7">
        <f>IFERROR((AC5-AB5)/AC5,0)</f>
        <v>0</v>
      </c>
      <c r="AE5" s="6">
        <f>AE4+Z5</f>
        <v>0</v>
      </c>
      <c r="AF5" s="44" t="s">
        <v>241</v>
      </c>
      <c r="AG5" s="9" cm="1">
        <f t="array" ref="AG5">LOOKUP(2,1/(AE:AE&lt;&gt;""),AE:AE) * 'Financial Tracker'!J3</f>
        <v>0</v>
      </c>
      <c r="AH5" s="122"/>
      <c r="AI5" s="126">
        <f>J6+U6+AG5</f>
        <v>0</v>
      </c>
    </row>
    <row r="6" spans="1:36" ht="30">
      <c r="A6" s="10"/>
      <c r="E6" s="6" t="e">
        <f t="shared" si="1"/>
        <v>#DIV/0!</v>
      </c>
      <c r="F6" s="6" cm="1">
        <f t="array" ref="F6">_xlfn.XLOOKUP(A6,Trends!$V19:$V$1005,Trends!$W19:$W$1005)</f>
        <v>0</v>
      </c>
      <c r="G6" s="7">
        <f t="shared" si="0"/>
        <v>0</v>
      </c>
      <c r="H6" s="6">
        <f t="shared" si="4"/>
        <v>0</v>
      </c>
      <c r="I6" s="9" t="s">
        <v>241</v>
      </c>
      <c r="J6" s="116" cm="1">
        <f t="array" ref="J6">LOOKUP(2,1/(H:H&lt;&gt;""),H:H)*'Financial Tracker'!H3</f>
        <v>0</v>
      </c>
      <c r="P6" s="6" t="e">
        <f t="shared" si="2"/>
        <v>#DIV/0!</v>
      </c>
      <c r="Q6" s="6" cm="1">
        <f t="array" ref="Q6">_xlfn.XLOOKUP(L6,Trends!$V19:$V$1005,Trends!$W19:$W$1005)</f>
        <v>0</v>
      </c>
      <c r="R6" s="7" t="s">
        <v>128</v>
      </c>
      <c r="S6" s="6">
        <f t="shared" ref="S6:S11" si="5">S5+N6</f>
        <v>0</v>
      </c>
      <c r="T6" s="9" t="s">
        <v>241</v>
      </c>
      <c r="U6" s="115" cm="1">
        <f t="array" ref="U6">LOOKUP(2,1/(S:S&lt;&gt;""),S:S)*'Financial Tracker'!I3</f>
        <v>0</v>
      </c>
      <c r="W6" s="10"/>
      <c r="AA6" s="6" t="e">
        <f t="shared" si="3"/>
        <v>#DIV/0!</v>
      </c>
      <c r="AC6" s="6" cm="1">
        <f t="array" ref="AC6">_xlfn.XLOOKUP(X6,Trends!$V19:$V$1005,Trends!$W19:$W$1005)</f>
        <v>0</v>
      </c>
      <c r="AD6" s="7" t="s">
        <v>128</v>
      </c>
      <c r="AE6" s="6">
        <f t="shared" ref="AE6:AE11" si="6">AE5+Z6</f>
        <v>0</v>
      </c>
      <c r="AF6" s="45" t="s">
        <v>603</v>
      </c>
      <c r="AG6" s="6">
        <f>AG5/'Financial Tracker'!$J3</f>
        <v>0</v>
      </c>
      <c r="AH6" s="122"/>
      <c r="AI6" s="127">
        <f>J7+U7+AG6</f>
        <v>0</v>
      </c>
    </row>
    <row r="7" spans="1:36">
      <c r="A7" s="10"/>
      <c r="E7" s="6" t="e">
        <f t="shared" si="1"/>
        <v>#DIV/0!</v>
      </c>
      <c r="F7" s="6" cm="1">
        <f t="array" ref="F7">_xlfn.XLOOKUP(A7,Trends!$V20:$V$1005,Trends!$W20:$W$1005)</f>
        <v>0</v>
      </c>
      <c r="G7" s="7">
        <f t="shared" si="0"/>
        <v>0</v>
      </c>
      <c r="H7" s="6">
        <f t="shared" si="4"/>
        <v>0</v>
      </c>
      <c r="I7" s="111" t="s">
        <v>603</v>
      </c>
      <c r="J7" s="112">
        <f>J6/'Financial Tracker'!J3</f>
        <v>0</v>
      </c>
      <c r="P7" s="6" t="e">
        <f t="shared" si="2"/>
        <v>#DIV/0!</v>
      </c>
      <c r="Q7" s="6" cm="1">
        <f t="array" ref="Q7">_xlfn.XLOOKUP(L7,Trends!$V20:$V$1005,Trends!$W20:$W$1005)</f>
        <v>0</v>
      </c>
      <c r="R7" s="7">
        <f t="shared" ref="R7:R8" si="7">IFERROR((Q7-P7)/Q7,0)</f>
        <v>0</v>
      </c>
      <c r="S7" s="6">
        <f t="shared" si="5"/>
        <v>0</v>
      </c>
      <c r="T7" s="111" t="s">
        <v>603</v>
      </c>
      <c r="U7" s="112">
        <f>U6/'Financial Tracker'!J3</f>
        <v>0</v>
      </c>
      <c r="W7" s="10"/>
      <c r="AA7" s="6" t="e">
        <f t="shared" si="3"/>
        <v>#DIV/0!</v>
      </c>
      <c r="AC7" s="6" cm="1">
        <f t="array" ref="AC7">_xlfn.XLOOKUP(X7,Trends!$V20:$V$1005,Trends!$W20:$W$1005)</f>
        <v>0</v>
      </c>
      <c r="AD7" s="7">
        <f t="shared" ref="AD7:AD8" si="8">IFERROR((AC7-AB7)/AC7,0)</f>
        <v>0</v>
      </c>
      <c r="AE7" s="6">
        <f t="shared" si="6"/>
        <v>0</v>
      </c>
      <c r="AF7" s="44" t="s">
        <v>252</v>
      </c>
      <c r="AG7" s="6">
        <f>AG5-AG2+AG3</f>
        <v>0</v>
      </c>
      <c r="AH7" s="123">
        <f>AG7/'Financial Tracker'!$J3</f>
        <v>0</v>
      </c>
      <c r="AI7" s="128">
        <f>J8+U8+AG15</f>
        <v>0</v>
      </c>
      <c r="AJ7" s="130">
        <f>AI7/'Financial Tracker'!$J3</f>
        <v>0</v>
      </c>
    </row>
    <row r="8" spans="1:36">
      <c r="A8" s="10"/>
      <c r="E8" s="6" t="e">
        <f t="shared" si="1"/>
        <v>#DIV/0!</v>
      </c>
      <c r="F8" s="6" cm="1">
        <f t="array" ref="F8">_xlfn.XLOOKUP(A8,Trends!$V21:$V$1005,Trends!$W21:$W$1005)</f>
        <v>0</v>
      </c>
      <c r="G8" s="7">
        <f t="shared" si="0"/>
        <v>0</v>
      </c>
      <c r="H8" s="6">
        <f t="shared" si="4"/>
        <v>0</v>
      </c>
      <c r="I8" s="9" t="s">
        <v>252</v>
      </c>
      <c r="J8" s="9">
        <f>J6+J2</f>
        <v>0</v>
      </c>
      <c r="K8" s="118">
        <f>J8/'Financial Tracker'!$J3</f>
        <v>0</v>
      </c>
      <c r="P8" s="6" t="e">
        <f t="shared" si="2"/>
        <v>#DIV/0!</v>
      </c>
      <c r="Q8" s="6" cm="1">
        <f t="array" ref="Q8">_xlfn.XLOOKUP(L8,Trends!$V21:$V$1005,Trends!$W21:$W$1005)</f>
        <v>0</v>
      </c>
      <c r="R8" s="7">
        <f t="shared" si="7"/>
        <v>0</v>
      </c>
      <c r="S8" s="6">
        <f t="shared" si="5"/>
        <v>0</v>
      </c>
      <c r="T8" s="9" t="s">
        <v>252</v>
      </c>
      <c r="U8" s="6">
        <f>U6+U2</f>
        <v>0</v>
      </c>
      <c r="V8" s="118">
        <f>U8/'Financial Tracker'!$J3</f>
        <v>0</v>
      </c>
      <c r="W8" s="10"/>
      <c r="AA8" s="6" t="e">
        <f t="shared" si="3"/>
        <v>#DIV/0!</v>
      </c>
      <c r="AC8" s="6" cm="1">
        <f t="array" ref="AC8">_xlfn.XLOOKUP(X8,Trends!$V21:$V$1005,Trends!$W21:$W$1005)</f>
        <v>0</v>
      </c>
      <c r="AD8" s="7">
        <f t="shared" si="8"/>
        <v>0</v>
      </c>
      <c r="AE8" s="6">
        <f t="shared" si="6"/>
        <v>0</v>
      </c>
      <c r="AF8" s="44" t="s">
        <v>253</v>
      </c>
      <c r="AG8" s="142" t="e">
        <f>AG7/AG2</f>
        <v>#DIV/0!</v>
      </c>
      <c r="AH8" s="122"/>
      <c r="AI8" s="129" t="e">
        <f>AI7/AI2</f>
        <v>#DIV/0!</v>
      </c>
      <c r="AJ8" s="143">
        <f>AJ7+AH16</f>
        <v>0</v>
      </c>
    </row>
    <row r="9" spans="1:36">
      <c r="A9" s="10"/>
      <c r="E9" s="6" t="e">
        <f t="shared" si="1"/>
        <v>#DIV/0!</v>
      </c>
      <c r="F9" s="6" cm="1">
        <f t="array" ref="F9">_xlfn.XLOOKUP(A9,Trends!$V22:$V$1005,Trends!$W22:$W$1005)</f>
        <v>0</v>
      </c>
      <c r="G9" s="7">
        <f t="shared" si="0"/>
        <v>0</v>
      </c>
      <c r="H9" s="6">
        <f t="shared" si="4"/>
        <v>0</v>
      </c>
      <c r="I9" s="9" t="s">
        <v>253</v>
      </c>
      <c r="J9" s="11" t="e">
        <f>J8/J3</f>
        <v>#DIV/0!</v>
      </c>
      <c r="P9" s="6" t="e">
        <f t="shared" si="2"/>
        <v>#DIV/0!</v>
      </c>
      <c r="Q9" s="6" cm="1">
        <f t="array" ref="Q9">_xlfn.XLOOKUP(L9,Trends!$V22:$V$1005,Trends!$W22:$W$1005)</f>
        <v>0</v>
      </c>
      <c r="R9" s="7" t="s">
        <v>128</v>
      </c>
      <c r="S9" s="6">
        <f t="shared" si="5"/>
        <v>0</v>
      </c>
      <c r="T9" s="9" t="s">
        <v>253</v>
      </c>
      <c r="U9" s="7" t="e">
        <f>U8/U3</f>
        <v>#DIV/0!</v>
      </c>
      <c r="W9" s="10"/>
      <c r="AA9" s="6" t="e">
        <f t="shared" si="3"/>
        <v>#DIV/0!</v>
      </c>
      <c r="AC9" s="6" cm="1">
        <f t="array" ref="AC9">_xlfn.XLOOKUP(X9,Trends!$V22:$V$1005,Trends!$W22:$W$1005)</f>
        <v>0</v>
      </c>
      <c r="AD9" s="7" t="s">
        <v>128</v>
      </c>
      <c r="AE9" s="6">
        <f t="shared" si="6"/>
        <v>0</v>
      </c>
      <c r="AI9" s="144"/>
    </row>
    <row r="10" spans="1:36">
      <c r="A10" s="10"/>
      <c r="E10" s="6" t="e">
        <f t="shared" si="1"/>
        <v>#DIV/0!</v>
      </c>
      <c r="F10" s="6" cm="1">
        <f t="array" ref="F10">_xlfn.XLOOKUP(A10,Trends!$V23:$V$1005,Trends!$W23:$W$1005)</f>
        <v>0</v>
      </c>
      <c r="G10" s="7">
        <f t="shared" si="0"/>
        <v>0</v>
      </c>
      <c r="H10" s="6">
        <f t="shared" si="4"/>
        <v>0</v>
      </c>
      <c r="P10" s="6" t="e">
        <f t="shared" si="2"/>
        <v>#DIV/0!</v>
      </c>
      <c r="Q10" s="6" cm="1">
        <f t="array" ref="Q10">_xlfn.XLOOKUP(L10,Trends!$V23:$V$1005,Trends!$W23:$W$1005)</f>
        <v>0</v>
      </c>
      <c r="R10" s="7">
        <f t="shared" ref="R10:R11" si="9">IFERROR((Q10-P10)/Q10,0)</f>
        <v>0</v>
      </c>
      <c r="S10" s="6">
        <f t="shared" si="5"/>
        <v>0</v>
      </c>
      <c r="W10" s="10"/>
      <c r="AA10" s="6" t="e">
        <f t="shared" si="3"/>
        <v>#DIV/0!</v>
      </c>
      <c r="AC10" s="6" cm="1">
        <f t="array" ref="AC10">_xlfn.XLOOKUP(X10,Trends!$V23:$V$1005,Trends!$W23:$W$1005)</f>
        <v>0</v>
      </c>
      <c r="AD10" s="7">
        <f t="shared" ref="AD10:AD11" si="10">IFERROR((AC10-AB10)/AC10,0)</f>
        <v>0</v>
      </c>
      <c r="AE10" s="6">
        <f t="shared" si="6"/>
        <v>0</v>
      </c>
      <c r="AF10" s="9"/>
    </row>
    <row r="11" spans="1:36">
      <c r="A11" s="10"/>
      <c r="E11" s="6" t="e">
        <f t="shared" si="1"/>
        <v>#DIV/0!</v>
      </c>
      <c r="F11" s="6" cm="1">
        <f t="array" ref="F11">_xlfn.XLOOKUP(A11,Trends!$V24:$V$1005,Trends!$W24:$W$1005)</f>
        <v>0</v>
      </c>
      <c r="G11" s="7">
        <f t="shared" si="0"/>
        <v>0</v>
      </c>
      <c r="H11" s="6">
        <f t="shared" si="4"/>
        <v>0</v>
      </c>
      <c r="P11" s="6" t="e">
        <f t="shared" si="2"/>
        <v>#DIV/0!</v>
      </c>
      <c r="Q11" s="6" cm="1">
        <f t="array" ref="Q11">_xlfn.XLOOKUP(L11,Trends!$V24:$V$1005,Trends!$W24:$W$1005)</f>
        <v>0</v>
      </c>
      <c r="R11" s="7">
        <f t="shared" si="9"/>
        <v>0</v>
      </c>
      <c r="S11" s="6">
        <f t="shared" si="5"/>
        <v>0</v>
      </c>
      <c r="W11" s="10"/>
      <c r="AA11" s="6" t="e">
        <f t="shared" si="3"/>
        <v>#DIV/0!</v>
      </c>
      <c r="AC11" s="6" cm="1">
        <f t="array" ref="AC11">_xlfn.XLOOKUP(X11,Trends!$V24:$V$1005,Trends!$W24:$W$1005)</f>
        <v>0</v>
      </c>
      <c r="AD11" s="7">
        <f t="shared" si="10"/>
        <v>0</v>
      </c>
      <c r="AE11" s="6">
        <f t="shared" si="6"/>
        <v>0</v>
      </c>
    </row>
    <row r="12" spans="1:36">
      <c r="W12" s="10"/>
      <c r="AA12" s="6" t="e">
        <f>Z12/Y12</f>
        <v>#DIV/0!</v>
      </c>
      <c r="AC12" s="6" cm="1">
        <f t="array" ref="AC12">_xlfn.XLOOKUP(X12,Trends!$V25:$V$1005,Trends!$W25:$W$1005)</f>
        <v>0</v>
      </c>
      <c r="AD12" s="7" t="s">
        <v>128</v>
      </c>
      <c r="AE12" s="6">
        <f>Z12</f>
        <v>0</v>
      </c>
      <c r="AF12" s="9"/>
      <c r="AI12" s="145"/>
    </row>
    <row r="13" spans="1:36">
      <c r="W13" s="10"/>
      <c r="AA13" s="6" t="e">
        <f t="shared" si="3"/>
        <v>#DIV/0!</v>
      </c>
      <c r="AC13" s="6" cm="1">
        <f t="array" ref="AC13">_xlfn.XLOOKUP(X13,Trends!$V26:$V$1005,Trends!$W26:$W$1005)</f>
        <v>0</v>
      </c>
      <c r="AD13" s="7">
        <f>IFERROR((AC13-AB13)/AC13,0)</f>
        <v>0</v>
      </c>
      <c r="AE13" s="6">
        <f>AE12+Z13</f>
        <v>0</v>
      </c>
      <c r="AF13" s="9"/>
      <c r="AI13" s="146"/>
    </row>
    <row r="14" spans="1:36">
      <c r="W14" s="10"/>
      <c r="AA14" s="6" t="e">
        <f t="shared" si="3"/>
        <v>#DIV/0!</v>
      </c>
      <c r="AC14" s="6" cm="1">
        <f t="array" ref="AC14">_xlfn.XLOOKUP(X14,Trends!$V27:$V$1005,Trends!$W27:$W$1005)</f>
        <v>0</v>
      </c>
      <c r="AD14" s="7">
        <f>IFERROR((AC14-AB14)/AC14,0)</f>
        <v>0</v>
      </c>
      <c r="AE14" s="6">
        <f>AE13+Z14</f>
        <v>0</v>
      </c>
      <c r="AI14" s="147"/>
    </row>
    <row r="15" spans="1:36">
      <c r="W15" s="10"/>
      <c r="AA15" s="6" t="e">
        <f t="shared" si="3"/>
        <v>#DIV/0!</v>
      </c>
      <c r="AC15" s="6" cm="1">
        <f t="array" ref="AC15">_xlfn.XLOOKUP(X15,Trends!$V28:$V$1005,Trends!$W28:$W$1005)</f>
        <v>0</v>
      </c>
      <c r="AD15" s="7" t="s">
        <v>128</v>
      </c>
      <c r="AE15" s="6">
        <f t="shared" ref="AE15" si="11">AE14+Z15</f>
        <v>0</v>
      </c>
      <c r="AF15" s="9"/>
      <c r="AH15" s="148"/>
    </row>
    <row r="16" spans="1:36">
      <c r="W16" s="10"/>
      <c r="AD16" s="7"/>
      <c r="AF16" s="9"/>
      <c r="AG16" s="149"/>
      <c r="AH16" s="15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DFBA3-99E6-474F-9360-C2DA90A6FB73}">
  <sheetPr codeName="Sheet6"/>
  <dimension ref="A1:X47"/>
  <sheetViews>
    <sheetView workbookViewId="0">
      <selection activeCell="D29" sqref="D29:E29"/>
    </sheetView>
  </sheetViews>
  <sheetFormatPr defaultColWidth="9.140625" defaultRowHeight="15"/>
  <cols>
    <col min="1" max="1" width="10.42578125" style="14" bestFit="1" customWidth="1"/>
    <col min="2" max="2" width="9.42578125" style="14" customWidth="1"/>
    <col min="3" max="3" width="9.140625" style="14"/>
    <col min="4" max="4" width="11.85546875" style="14" customWidth="1"/>
    <col min="5" max="7" width="9.140625" style="14"/>
    <col min="8" max="8" width="12" style="14" bestFit="1" customWidth="1"/>
    <col min="9" max="10" width="9.140625" style="14"/>
    <col min="11" max="11" width="11.28515625" style="14" customWidth="1"/>
    <col min="12" max="13" width="9.140625" style="14"/>
    <col min="14" max="14" width="11.28515625" style="14" customWidth="1"/>
    <col min="15" max="15" width="10.42578125" style="14" bestFit="1" customWidth="1"/>
    <col min="16" max="16" width="11.5703125" style="14" bestFit="1" customWidth="1"/>
    <col min="17" max="16384" width="9.140625" style="14"/>
  </cols>
  <sheetData>
    <row r="1" spans="1:24">
      <c r="A1" s="14" t="s">
        <v>133</v>
      </c>
      <c r="B1" s="14" t="s">
        <v>257</v>
      </c>
      <c r="H1" s="14" t="s">
        <v>271</v>
      </c>
      <c r="I1" s="14" t="s">
        <v>275</v>
      </c>
    </row>
    <row r="2" spans="1:24">
      <c r="A2" s="15">
        <f ca="1">TODAY()</f>
        <v>46242</v>
      </c>
      <c r="B2" s="14">
        <f>'Financial Tracker'!H2</f>
        <v>6704.5</v>
      </c>
      <c r="C2" s="14" t="s">
        <v>263</v>
      </c>
      <c r="D2" s="14" t="s">
        <v>258</v>
      </c>
      <c r="E2" s="14" t="s">
        <v>259</v>
      </c>
      <c r="F2" s="14" t="s">
        <v>276</v>
      </c>
      <c r="G2" s="14" t="s">
        <v>277</v>
      </c>
      <c r="H2" s="14" cm="1">
        <f t="array" ref="H2">LOOKUP(2,1/(Ledger!H:H&lt;&gt;""),Ledger!H:H*Forecast!B2)</f>
        <v>0</v>
      </c>
    </row>
    <row r="3" spans="1:24">
      <c r="A3" s="15">
        <f ca="1">A2+1</f>
        <v>46243</v>
      </c>
      <c r="B3" s="14">
        <f ca="1">_xlfn.LET(
  _xlpm.lastRow, MATCH(1E+99, Trends!E:E),
  _xlpm.startRow, MAX(11, _xlpm.lastRow - 49),
  _xlfn.FORECAST.ETS(A3, INDEX(Trends!E:E, _xlpm.startRow):INDEX(Trends!E:E, _xlpm.lastRow), INDEX(Trends!D:D, _xlpm.startRow):INDEX(Trends!D:D, _xlpm.lastRow))
)</f>
        <v>6660.82</v>
      </c>
      <c r="C3" s="14" cm="1">
        <f t="array" aca="1" ref="C3" ca="1">_xlfn.LET(
    _xlpm.dates, _xlfn._xlws.FILTER(Trends!D$16:D$1005, (Trends!D$16:D$1005&lt;A3)*ISNUMBER(Trends!E$16:E$1005)),
    _xlpm.values, _xlfn._xlws.FILTER(Trends!E$16:E$1005, (Trends!D$16:D$1005&lt;A3)*ISNUMBER(Trends!E$16:E$1005)),
    _xlpm.n, MIN(50, ROWS(_xlpm.values)),
    _xlfn.FORECAST.ETS.CONFINT(
        A3,
        _xlfn.TAKE(_xlpm.values,-_xlpm.n),
        _xlfn.TAKE(_xlpm.dates,-_xlpm.n),
        0.95,
        1,
        1,
        1
    )
)</f>
        <v>181.48058983312242</v>
      </c>
      <c r="D3" s="14">
        <f ca="1">B3-C3</f>
        <v>6479.3394101668773</v>
      </c>
      <c r="E3" s="14">
        <f ca="1">B3+C3</f>
        <v>6842.3005898331221</v>
      </c>
      <c r="F3" s="16">
        <f ca="1">C3/B3</f>
        <v>2.7245983202236725E-2</v>
      </c>
      <c r="G3" s="16">
        <f ca="1">(B3/'Financial Tracker'!$I$16)-1</f>
        <v>-6.5150272205235504E-3</v>
      </c>
      <c r="H3" s="14" cm="1">
        <f t="array" aca="1" ref="H3" ca="1">LOOKUP(2,1/(Ledger!H:H&lt;&gt;""),Ledger!H:H*Forecast!B3)*0.96</f>
        <v>0</v>
      </c>
      <c r="I3" s="14">
        <f ca="1">H3/B25</f>
        <v>0</v>
      </c>
      <c r="X3" s="17"/>
    </row>
    <row r="4" spans="1:24">
      <c r="A4" s="15">
        <f ca="1">A2+3</f>
        <v>46245</v>
      </c>
      <c r="B4" s="14">
        <f ca="1">_xlfn.LET(
  _xlpm.lastRow, MATCH(1E+99, Trends!E:E),
  _xlpm.startRow, MAX(11, _xlpm.lastRow - 49),
  _xlfn.FORECAST.ETS(A4, INDEX(Trends!E:E, _xlpm.startRow):INDEX(Trends!E:E, _xlpm.lastRow), INDEX(Trends!D:D, _xlpm.startRow):INDEX(Trends!D:D, _xlpm.lastRow))
)</f>
        <v>6672.1956763505405</v>
      </c>
      <c r="C4" s="14" cm="1">
        <f t="array" aca="1" ref="C4" ca="1">_xlfn.LET(
    _xlpm.dates, _xlfn._xlws.FILTER(Trends!D$16:D$1005, (Trends!D$16:D$1005&lt;A4)*ISNUMBER(Trends!E$16:E$1005)),
    _xlpm.values, _xlfn._xlws.FILTER(Trends!E$16:E$1005, (Trends!D$16:D$1005&lt;A4)*ISNUMBER(Trends!E$16:E$1005)),
    _xlpm.n, MIN(50, ROWS(_xlpm.values)),
    _xlfn.FORECAST.ETS.CONFINT(
        A4,
        _xlfn.TAKE(_xlpm.values,-_xlpm.n),
        _xlfn.TAKE(_xlpm.dates,-_xlpm.n),
        0.95,
        1,
        1,
        1
    )
)</f>
        <v>259.62753634703398</v>
      </c>
      <c r="D4" s="14">
        <f t="shared" ref="D4:D6" ca="1" si="0">B4-C4</f>
        <v>6412.5681400035064</v>
      </c>
      <c r="E4" s="14">
        <f t="shared" ref="E4:E6" ca="1" si="1">B4+C4</f>
        <v>6931.8232126975745</v>
      </c>
      <c r="F4" s="16">
        <f t="shared" ref="F4:F6" ca="1" si="2">C4/B4</f>
        <v>3.8911858845399036E-2</v>
      </c>
      <c r="G4" s="16">
        <f ca="1">(B4/'Financial Tracker'!$I$16)-1</f>
        <v>-4.8183046684255881E-3</v>
      </c>
      <c r="H4" s="14" cm="1">
        <f t="array" aca="1" ref="H4" ca="1">LOOKUP(2,1/(Ledger!H:H&lt;&gt;""),Ledger!H:H*Forecast!B4)*0.96</f>
        <v>0</v>
      </c>
      <c r="I4" s="14">
        <f t="shared" ref="I4:I7" ca="1" si="3">H4/B26</f>
        <v>0</v>
      </c>
      <c r="X4" s="17"/>
    </row>
    <row r="5" spans="1:24">
      <c r="A5" s="15">
        <f ca="1">A2+7</f>
        <v>46249</v>
      </c>
      <c r="B5" s="14">
        <f ca="1">_xlfn.LET(
  _xlpm.lastRow, MATCH(1E+99, Trends!E:E),
  _xlpm.startRow, MAX(11, _xlpm.lastRow - 49),
  _xlfn.FORECAST.ETS(A5, INDEX(Trends!E:E, _xlpm.startRow):INDEX(Trends!E:E, _xlpm.lastRow), INDEX(Trends!D:D, _xlpm.startRow):INDEX(Trends!D:D, _xlpm.lastRow))
)</f>
        <v>6694.947029051621</v>
      </c>
      <c r="C5" s="14" cm="1">
        <f t="array" aca="1" ref="C5" ca="1">_xlfn.LET(
    _xlpm.dates, _xlfn._xlws.FILTER(Trends!D$16:D$1005, (Trends!D$16:D$1005&lt;A5)*ISNUMBER(Trends!E$16:E$1005)),
    _xlpm.values, _xlfn._xlws.FILTER(Trends!E$16:E$1005, (Trends!D$16:D$1005&lt;A5)*ISNUMBER(Trends!E$16:E$1005)),
    _xlpm.n, MIN(50, ROWS(_xlpm.values)),
    _xlfn.FORECAST.ETS.CONFINT(
        A5,
        _xlfn.TAKE(_xlpm.values,-_xlpm.n),
        _xlfn.TAKE(_xlpm.dates,-_xlpm.n),
        0.95,
        1,
        1,
        1
    )
)</f>
        <v>450.2883175417744</v>
      </c>
      <c r="D5" s="14">
        <f t="shared" ca="1" si="0"/>
        <v>6244.6587115098464</v>
      </c>
      <c r="E5" s="14">
        <f t="shared" ca="1" si="1"/>
        <v>7145.2353465933957</v>
      </c>
      <c r="F5" s="16">
        <f t="shared" ca="1" si="2"/>
        <v>6.7257935811563904E-2</v>
      </c>
      <c r="G5" s="16">
        <f ca="1">(B5/'Financial Tracker'!$I$16)-1</f>
        <v>-1.4248595642298856E-3</v>
      </c>
      <c r="H5" s="14" cm="1">
        <f t="array" aca="1" ref="H5" ca="1">LOOKUP(2,1/(Ledger!H:H&lt;&gt;""),Ledger!H:H*Forecast!B5)*0.96</f>
        <v>0</v>
      </c>
      <c r="I5" s="14">
        <f t="shared" ca="1" si="3"/>
        <v>0</v>
      </c>
      <c r="X5" s="17"/>
    </row>
    <row r="6" spans="1:24">
      <c r="A6" s="15">
        <f ca="1">A2+30</f>
        <v>46272</v>
      </c>
      <c r="B6" s="14">
        <f ca="1">_xlfn.LET(
  _xlpm.lastRow, MATCH(1E+99, Trends!E:E),
  _xlpm.startRow, MAX(11, _xlpm.lastRow - 49),
  _xlfn.FORECAST.ETS(A6, INDEX(Trends!E:E, _xlpm.startRow):INDEX(Trends!E:E, _xlpm.lastRow), INDEX(Trends!D:D, _xlpm.startRow):INDEX(Trends!D:D, _xlpm.lastRow))
)</f>
        <v>6825.7673070828359</v>
      </c>
      <c r="C6" s="14" cm="1">
        <f t="array" aca="1" ref="C6" ca="1">_xlfn.LET(
    _xlpm.dates, _xlfn._xlws.FILTER(Trends!D$16:D$1005, (Trends!D$16:D$1005&lt;A6)*ISNUMBER(Trends!E$16:E$1005)),
    _xlpm.values, _xlfn._xlws.FILTER(Trends!E$16:E$1005, (Trends!D$16:D$1005&lt;A6)*ISNUMBER(Trends!E$16:E$1005)),
    _xlpm.n, MIN(50, ROWS(_xlpm.values)),
    _xlfn.FORECAST.ETS.CONFINT(
        A6,
        _xlfn.TAKE(_xlpm.values,-_xlpm.n),
        _xlfn.TAKE(_xlpm.dates,-_xlpm.n),
        0.95,
        1,
        1,
        1
    )
)</f>
        <v>1001.097706892568</v>
      </c>
      <c r="D6" s="14">
        <f t="shared" ca="1" si="0"/>
        <v>5824.6696001902683</v>
      </c>
      <c r="E6" s="14">
        <f t="shared" ca="1" si="1"/>
        <v>7826.8650139754036</v>
      </c>
      <c r="F6" s="16">
        <f t="shared" ca="1" si="2"/>
        <v>0.14666449380039184</v>
      </c>
      <c r="G6" s="16">
        <f ca="1">(B6/'Financial Tracker'!$I$16)-1</f>
        <v>1.8087449784896181E-2</v>
      </c>
      <c r="H6" s="14" cm="1">
        <f t="array" aca="1" ref="H6" ca="1">LOOKUP(2,1/(Ledger!H:H&lt;&gt;""),Ledger!H:H*Forecast!B6)*0.96</f>
        <v>0</v>
      </c>
      <c r="I6" s="14">
        <f t="shared" ca="1" si="3"/>
        <v>0</v>
      </c>
    </row>
    <row r="7" spans="1:24">
      <c r="A7" s="15">
        <f ca="1">A2+90</f>
        <v>46332</v>
      </c>
      <c r="B7" s="14">
        <f ca="1">_xlfn.LET(
  _xlpm.lastRow, MATCH(1E+99, Trends!E:E),
  _xlpm.startRow, MAX(11, _xlpm.lastRow - 49),
  _xlfn.FORECAST.ETS(A7, INDEX(Trends!E:E, _xlpm.startRow):INDEX(Trends!E:E, _xlpm.lastRow), INDEX(Trends!D:D, _xlpm.startRow):INDEX(Trends!D:D, _xlpm.lastRow))
)</f>
        <v>7167.0375975990491</v>
      </c>
      <c r="C7" s="14" cm="1">
        <f t="array" aca="1" ref="C7" ca="1">_xlfn.LET(
    _xlpm.dates, _xlfn._xlws.FILTER(Trends!D$16:D$1005, (Trends!D$16:D$1005&lt;A7)*ISNUMBER(Trends!E$16:E$1005)),
    _xlpm.values, _xlfn._xlws.FILTER(Trends!E$16:E$1005, (Trends!D$16:D$1005&lt;A7)*ISNUMBER(Trends!E$16:E$1005)),
    _xlpm.n, MIN(50, ROWS(_xlpm.values)),
    _xlfn.FORECAST.ETS.CONFINT(
        A7,
        _xlfn.TAKE(_xlpm.values,-_xlpm.n),
        _xlfn.TAKE(_xlpm.dates,-_xlpm.n),
        0.95,
        1,
        1,
        1
    )
)</f>
        <v>1806.1613905937195</v>
      </c>
      <c r="D7" s="14">
        <f t="shared" ref="D7:D10" ca="1" si="4">B7-C7</f>
        <v>5360.8762070053299</v>
      </c>
      <c r="E7" s="14">
        <f t="shared" ref="E7:E10" ca="1" si="5">B7+C7</f>
        <v>8973.1989881927693</v>
      </c>
      <c r="F7" s="16">
        <f t="shared" ref="F7:F10" ca="1" si="6">C7/B7</f>
        <v>0.25200947616052438</v>
      </c>
      <c r="G7" s="16">
        <f ca="1">(B7/'Financial Tracker'!$I$16)-1</f>
        <v>6.8989126347833496E-2</v>
      </c>
      <c r="H7" s="14" cm="1">
        <f t="array" aca="1" ref="H7" ca="1">LOOKUP(2,1/(Ledger!H:H&lt;&gt;""),Ledger!H:H*Forecast!B7)*0.96</f>
        <v>0</v>
      </c>
      <c r="I7" s="14">
        <f t="shared" ca="1" si="3"/>
        <v>0</v>
      </c>
    </row>
    <row r="8" spans="1:24">
      <c r="A8" s="15">
        <f ca="1">A2+183</f>
        <v>46425</v>
      </c>
      <c r="B8" s="14">
        <f ca="1">_xlfn.LET(
  _xlpm.lastRow, MATCH(1E+99, Trends!E:E),
  _xlpm.startRow, MAX(11, _xlpm.lastRow - 49),
  _xlfn.FORECAST.ETS(A8, INDEX(Trends!E:E, _xlpm.startRow):INDEX(Trends!E:E, _xlpm.lastRow), INDEX(Trends!D:D, _xlpm.startRow):INDEX(Trends!D:D, _xlpm.lastRow))
)</f>
        <v>7696.0065478991801</v>
      </c>
      <c r="C8" s="14" cm="1">
        <f t="array" aca="1" ref="C8" ca="1">_xlfn.LET(
    _xlpm.dates, _xlfn._xlws.FILTER(Trends!D$16:D$1005, (Trends!D$16:D$1005&lt;A8)*ISNUMBER(Trends!E$16:E$1005)),
    _xlpm.values, _xlfn._xlws.FILTER(Trends!E$16:E$1005, (Trends!D$16:D$1005&lt;A8)*ISNUMBER(Trends!E$16:E$1005)),
    _xlpm.n, MIN(50, ROWS(_xlpm.values)),
    _xlfn.FORECAST.ETS.CONFINT(
        A8,
        _xlfn.TAKE(_xlpm.values,-_xlpm.n),
        _xlfn.TAKE(_xlpm.dates,-_xlpm.n),
        0.95,
        1,
        1,
        1
    )
)</f>
        <v>2700.3890190795328</v>
      </c>
      <c r="D8" s="14">
        <f t="shared" ca="1" si="4"/>
        <v>4995.6175288196473</v>
      </c>
      <c r="E8" s="14">
        <f t="shared" ca="1" si="5"/>
        <v>10396.395566978714</v>
      </c>
      <c r="F8" s="16">
        <f t="shared" ca="1" si="6"/>
        <v>0.35088185051202592</v>
      </c>
      <c r="G8" s="16">
        <f ca="1">(B8/'Financial Tracker'!$I$16)-1</f>
        <v>0.14788672502038636</v>
      </c>
      <c r="H8" s="14" cm="1">
        <f t="array" aca="1" ref="H8" ca="1">LOOKUP(2,1/(Ledger!H:H&lt;&gt;""),Ledger!H:H*Forecast!B8)*0.96</f>
        <v>0</v>
      </c>
      <c r="I8" s="14">
        <f ca="1">H8/B31</f>
        <v>0</v>
      </c>
    </row>
    <row r="9" spans="1:24">
      <c r="A9" s="15">
        <f ca="1">A2+365</f>
        <v>46607</v>
      </c>
      <c r="B9" s="14">
        <f ca="1">_xlfn.LET(
  _xlpm.lastRow, MATCH(1E+99, Trends!E:E),
  _xlpm.startRow, MAX(11, _xlpm.lastRow - 49),
  _xlfn.FORECAST.ETS(A9, INDEX(Trends!E:E, _xlpm.startRow):INDEX(Trends!E:E, _xlpm.lastRow), INDEX(Trends!D:D, _xlpm.startRow):INDEX(Trends!D:D, _xlpm.lastRow))
)</f>
        <v>8731.1930957983604</v>
      </c>
      <c r="C9" s="14" cm="1">
        <f t="array" aca="1" ref="C9" ca="1">_xlfn.LET(
    _xlpm.dates, _xlfn._xlws.FILTER(Trends!D$16:D$1005, (Trends!D$16:D$1005&lt;A9)*ISNUMBER(Trends!E$16:E$1005)),
    _xlpm.values, _xlfn._xlws.FILTER(Trends!E$16:E$1005, (Trends!D$16:D$1005&lt;A9)*ISNUMBER(Trends!E$16:E$1005)),
    _xlpm.n, MIN(50, ROWS(_xlpm.values)),
    _xlfn.FORECAST.ETS.CONFINT(
        A9,
        _xlfn.TAKE(_xlpm.values,-_xlpm.n),
        _xlfn.TAKE(_xlpm.dates,-_xlpm.n),
        0.95,
        1,
        1,
        1
    )
)</f>
        <v>4149.729600091232</v>
      </c>
      <c r="D9" s="14">
        <f t="shared" ca="1" si="4"/>
        <v>4581.4634957071285</v>
      </c>
      <c r="E9" s="14">
        <f t="shared" ca="1" si="5"/>
        <v>12880.922695889592</v>
      </c>
      <c r="F9" s="16">
        <f t="shared" ca="1" si="6"/>
        <v>0.47527635164639431</v>
      </c>
      <c r="G9" s="16">
        <f ca="1">(B9/'Financial Tracker'!$I$16)-1</f>
        <v>0.30228847726129615</v>
      </c>
      <c r="H9" s="14" cm="1">
        <f t="array" aca="1" ref="H9" ca="1">LOOKUP(2,1/(Ledger!H:H&lt;&gt;""),Ledger!H:H*Forecast!B9)*0.96</f>
        <v>0</v>
      </c>
      <c r="I9" s="14">
        <f ca="1">H9/B33</f>
        <v>0</v>
      </c>
    </row>
    <row r="10" spans="1:24">
      <c r="A10" s="15">
        <v>46569</v>
      </c>
      <c r="B10" s="14">
        <f>_xlfn.LET(
  _xlpm.lastRow, MATCH(1E+99, Trends!E:E),
  _xlpm.startRow, MAX(11, _xlpm.lastRow - 49),
  _xlfn.FORECAST.ETS(A10, INDEX(Trends!E:E, _xlpm.startRow):INDEX(Trends!E:E, _xlpm.lastRow), INDEX(Trends!D:D, _xlpm.startRow):INDEX(Trends!D:D, _xlpm.lastRow))
)</f>
        <v>8515.0552451380918</v>
      </c>
      <c r="C10" s="14" cm="1">
        <f t="array" ref="C10">_xlfn.LET(
    _xlpm.dates, _xlfn._xlws.FILTER(Trends!D$16:D$1005, (Trends!D$16:D$1005&lt;A10)*ISNUMBER(Trends!E$16:E$1005)),
    _xlpm.values, _xlfn._xlws.FILTER(Trends!E$16:E$1005, (Trends!D$16:D$1005&lt;A10)*ISNUMBER(Trends!E$16:E$1005)),
    _xlpm.n, MIN(50, ROWS(_xlpm.values)),
    _xlfn.FORECAST.ETS.CONFINT(
        A10,
        _xlfn.TAKE(_xlpm.values,-_xlpm.n),
        _xlfn.TAKE(_xlpm.dates,-_xlpm.n),
        0.95,
        1,
        1,
        1
    )
)</f>
        <v>3861.287047940416</v>
      </c>
      <c r="D10" s="14">
        <f t="shared" si="4"/>
        <v>4653.7681971976763</v>
      </c>
      <c r="E10" s="14">
        <f t="shared" si="5"/>
        <v>12376.342293078507</v>
      </c>
      <c r="F10" s="16">
        <f t="shared" si="6"/>
        <v>0.45346588328303866</v>
      </c>
      <c r="G10" s="16">
        <f>(B10/'Financial Tracker'!$I$16)-1</f>
        <v>0.27005074877143587</v>
      </c>
      <c r="H10" s="14" cm="1">
        <f t="array" ref="H10">LOOKUP(2,1/(Ledger!H:H&lt;&gt;""),Ledger!H:H*Forecast!B10)*0.96</f>
        <v>0</v>
      </c>
      <c r="I10" s="14">
        <f>H10/B32</f>
        <v>0</v>
      </c>
      <c r="N10" s="9"/>
    </row>
    <row r="11" spans="1:24">
      <c r="C11" s="14" t="s">
        <v>261</v>
      </c>
      <c r="D11" s="14" cm="1">
        <f t="array" ref="D11">_xlfn.LET(
  _xlpm.lastRow, MATCH(1E+99, Trends!E:E),
  _xlpm.startRow, MAX(11, _xlpm.lastRow - 49),
  _xlpm.values, INDEX(Trends!E:E, _xlfn.SEQUENCE(50,,_xlpm.startRow)),
  _xlpm.dates, INDEX(Trends!D:D, _xlfn.SEQUENCE(50,,_xlpm.startRow)),
  _xlfn.FORECAST.ETS.STAT(_xlpm.values, _xlpm.dates, 6, 0, TRUE)
)</f>
        <v>87.24236230958013</v>
      </c>
      <c r="E11" s="14" t="s">
        <v>262</v>
      </c>
      <c r="F11" s="16" cm="1">
        <f t="array" ref="F11">_xlfn.LET(
  _xlpm.lastRow, MATCH(1E+99, Trends!E:E),
  _xlpm.startRow, MAX(11, _xlpm.lastRow - 49),
  _xlpm.values, INDEX(Trends!E:E, _xlfn.SEQUENCE(50,,_xlpm.startRow)),
  _xlpm.dates, INDEX(Trends!D:D, _xlfn.SEQUENCE(50,,_xlpm.startRow)),
  _xlfn.FORECAST.ETS.STAT(_xlpm.values, _xlpm.dates, 5, 0, TRUE)
)</f>
        <v>1.3507178816219623E-2</v>
      </c>
    </row>
    <row r="12" spans="1:24">
      <c r="A12" s="14" t="s">
        <v>134</v>
      </c>
      <c r="B12" s="14" t="s">
        <v>257</v>
      </c>
      <c r="H12" s="14" t="s">
        <v>271</v>
      </c>
      <c r="I12" s="14" t="s">
        <v>275</v>
      </c>
      <c r="M12" s="9"/>
      <c r="N12" s="117"/>
      <c r="O12" s="132"/>
      <c r="P12" s="13"/>
    </row>
    <row r="13" spans="1:24">
      <c r="A13" s="15">
        <f ca="1">TODAY()</f>
        <v>46242</v>
      </c>
      <c r="B13" s="14">
        <f>'Financial Tracker'!I2</f>
        <v>97.48</v>
      </c>
      <c r="C13" s="14" t="s">
        <v>263</v>
      </c>
      <c r="D13" s="14" t="s">
        <v>258</v>
      </c>
      <c r="E13" s="14" t="s">
        <v>259</v>
      </c>
      <c r="F13" s="14" t="s">
        <v>260</v>
      </c>
      <c r="G13" s="14" t="s">
        <v>277</v>
      </c>
      <c r="H13" s="14" cm="1">
        <f t="array" ref="H13">LOOKUP(2,1/(Ledger!S:S&lt;&gt;""),Ledger!S:S)*B13</f>
        <v>0</v>
      </c>
      <c r="M13" s="9"/>
      <c r="N13" s="6"/>
      <c r="O13" s="156"/>
      <c r="P13" s="156"/>
    </row>
    <row r="14" spans="1:24">
      <c r="A14" s="15">
        <f ca="1">A13+1</f>
        <v>46243</v>
      </c>
      <c r="B14" s="14">
        <f ca="1">_xlfn.LET(
  _xlpm.lastRow, MATCH(1E+99, Trends!W:W),
  _xlpm.startRow, MAX(11, _xlpm.lastRow - 49),
  _xlfn.FORECAST.ETS(
    A14,
    INDEX(Trends!W:W, _xlpm.startRow):INDEX(Trends!W:W, _xlpm.lastRow),
    INDEX(Trends!V:V, _xlpm.startRow):INDEX(Trends!V:V, _xlpm.lastRow)
  )
)</f>
        <v>97.339999999999989</v>
      </c>
      <c r="C14" s="14" cm="1">
        <f t="array" aca="1" ref="C14" ca="1">_xlfn.LET(
  _xlpm.dates, _xlfn._xlws.FILTER(Trends!V$16:V$1005, (Trends!V$16:V$1005&lt;A14)*ISNUMBER(Trends!W$16:W$1005)),
  _xlpm.values, _xlfn._xlws.FILTER(Trends!W$16:W$1005, (Trends!V$16:V$1005&lt;A14)*ISNUMBER(Trends!W$16:W$1005)),
  _xlpm.n, MIN(50, ROWS(_xlpm.values)),
  _xlfn.FORECAST.ETS.CONFINT(
    A14,
    _xlfn.TAKE(_xlpm.values,-_xlpm.n),
    _xlfn.TAKE(_xlpm.dates,-_xlpm.n),
    0.95,
    1,
    1,
    1
  )
)</f>
        <v>4.2698928224124888</v>
      </c>
      <c r="D14" s="14">
        <f t="shared" ref="D14:D21" ca="1" si="7">B14-C14</f>
        <v>93.070107177587502</v>
      </c>
      <c r="E14" s="14">
        <f t="shared" ref="E14:E21" ca="1" si="8">B14+C14</f>
        <v>101.60989282241248</v>
      </c>
      <c r="F14" s="16">
        <f ca="1">C14/B14</f>
        <v>4.3865757370171454E-2</v>
      </c>
      <c r="G14" s="16">
        <f ca="1">(B14/'Financial Tracker'!$I$18)-1</f>
        <v>-1.4361920393928251E-3</v>
      </c>
      <c r="H14" s="14" cm="1">
        <f t="array" aca="1" ref="H14" ca="1">LOOKUP(2,1/(Ledger!S:S&lt;&gt;""),Ledger!S:S)*B14*0.97</f>
        <v>0</v>
      </c>
      <c r="I14" s="14">
        <f ca="1">H14/B25</f>
        <v>0</v>
      </c>
      <c r="M14" s="9"/>
      <c r="N14" s="6"/>
      <c r="O14" s="156"/>
      <c r="P14" s="156"/>
    </row>
    <row r="15" spans="1:24">
      <c r="A15" s="15">
        <f ca="1">A13+3</f>
        <v>46245</v>
      </c>
      <c r="B15" s="14">
        <f ca="1">_xlfn.LET(
  _xlpm.lastRow, MATCH(1E+99, Trends!W:W),
  _xlpm.startRow, MAX(11, _xlpm.lastRow - 49),
  _xlfn.FORECAST.ETS(
    A15,
    INDEX(Trends!W:W, _xlpm.startRow):INDEX(Trends!W:W, _xlpm.lastRow),
    INDEX(Trends!V:V, _xlpm.startRow):INDEX(Trends!V:V, _xlpm.lastRow)
  )
)</f>
        <v>95.163618026840666</v>
      </c>
      <c r="C15" s="14">
        <f ca="1">_xlfn.LET(
  _xlpm.lastRow, MATCH(1E+99, Trends!W:W),
  _xlpm.startRow, MAX(11, _xlpm.lastRow - 49),
  _xlfn.FORECAST.ETS.CONFINT(
    A15,
    INDEX(Trends!W:W, _xlpm.startRow):INDEX(Trends!W:W, _xlpm.lastRow),
    INDEX(Trends!V:V, _xlpm.startRow):INDEX(Trends!V:V, _xlpm.lastRow)
  )
)</f>
        <v>5.3961810437086957</v>
      </c>
      <c r="D15" s="14">
        <f t="shared" ca="1" si="7"/>
        <v>89.767436983131972</v>
      </c>
      <c r="E15" s="14">
        <f t="shared" ca="1" si="8"/>
        <v>100.55979907054936</v>
      </c>
      <c r="F15" s="16">
        <f ca="1">C15/B15</f>
        <v>5.6704244285738656E-2</v>
      </c>
      <c r="G15" s="16">
        <f ca="1">(B15/'Financial Tracker'!$I$18)-1</f>
        <v>-2.3762638214601339E-2</v>
      </c>
      <c r="H15" s="14" cm="1">
        <f t="array" aca="1" ref="H15" ca="1">LOOKUP(2,1/(Ledger!S:S&lt;&gt;""),Ledger!S:S)*B15*0.97</f>
        <v>0</v>
      </c>
      <c r="I15" s="14">
        <f t="shared" ref="I15:I18" ca="1" si="9">H15/B26</f>
        <v>0</v>
      </c>
    </row>
    <row r="16" spans="1:24">
      <c r="A16" s="15">
        <f ca="1">A13+7</f>
        <v>46249</v>
      </c>
      <c r="B16" s="14">
        <f ca="1">_xlfn.LET(
  _xlpm.lastRow, MATCH(1E+99, Trends!W:W),
  _xlpm.startRow, MAX(11, _xlpm.lastRow - 49),
  _xlfn.FORECAST.ETS(
    A16,
    INDEX(Trends!W:W, _xlpm.startRow):INDEX(Trends!W:W, _xlpm.lastRow),
    INDEX(Trends!V:V, _xlpm.startRow):INDEX(Trends!V:V, _xlpm.lastRow)
  )
)</f>
        <v>97.271586548653474</v>
      </c>
      <c r="C16" s="14">
        <f ca="1">_xlfn.LET(
  _xlpm.lastRow, MATCH(1E+99, Trends!W:W),
  _xlpm.startRow, MAX(11, _xlpm.lastRow - 49),
  _xlfn.FORECAST.ETS.CONFINT(
    A16,
    INDEX(Trends!W:W, _xlpm.startRow):INDEX(Trends!W:W, _xlpm.lastRow),
    INDEX(Trends!V:V, _xlpm.startRow):INDEX(Trends!V:V, _xlpm.lastRow)
  )
)</f>
        <v>8.0809188305708144</v>
      </c>
      <c r="D16" s="14">
        <f t="shared" ca="1" si="7"/>
        <v>89.190667718082665</v>
      </c>
      <c r="E16" s="14">
        <f t="shared" ca="1" si="8"/>
        <v>105.35250537922428</v>
      </c>
      <c r="F16" s="16">
        <f ca="1">C16/B16</f>
        <v>8.3075840718696267E-2</v>
      </c>
      <c r="G16" s="16">
        <f ca="1">(B16/'Financial Tracker'!$I$18)-1</f>
        <v>-2.1380124266160427E-3</v>
      </c>
      <c r="H16" s="14" cm="1">
        <f t="array" aca="1" ref="H16" ca="1">LOOKUP(2,1/(Ledger!S:S&lt;&gt;""),Ledger!S:S)*B16*0.97</f>
        <v>0</v>
      </c>
      <c r="I16" s="14">
        <f t="shared" ca="1" si="9"/>
        <v>0</v>
      </c>
    </row>
    <row r="17" spans="1:11">
      <c r="A17" s="15">
        <f ca="1">A13+30</f>
        <v>46272</v>
      </c>
      <c r="B17" s="14">
        <f ca="1">_xlfn.LET(
  _xlpm.lastRow, MATCH(1E+99, Trends!W:W),
  _xlpm.startRow, MAX(11, _xlpm.lastRow - 49),
  _xlfn.FORECAST.ETS(
    A17,
    INDEX(Trends!W:W, _xlpm.startRow):INDEX(Trends!W:W, _xlpm.lastRow),
    INDEX(Trends!V:V, _xlpm.startRow):INDEX(Trends!V:V, _xlpm.lastRow)
  )
)</f>
        <v>93.910730371226734</v>
      </c>
      <c r="C17" s="14">
        <f ca="1">_xlfn.LET(
  _xlpm.lastRow, MATCH(1E+99, Trends!W:W),
  _xlpm.startRow, MAX(11, _xlpm.lastRow - 49),
  _xlfn.FORECAST.ETS.CONFINT(
    A17,
    INDEX(Trends!W:W, _xlpm.startRow):INDEX(Trends!W:W, _xlpm.lastRow),
    INDEX(Trends!V:V, _xlpm.startRow):INDEX(Trends!V:V, _xlpm.lastRow)
  )
)</f>
        <v>16.940660313730778</v>
      </c>
      <c r="D17" s="14">
        <f t="shared" ca="1" si="7"/>
        <v>76.97007005749596</v>
      </c>
      <c r="E17" s="14">
        <f t="shared" ca="1" si="8"/>
        <v>110.85139068495751</v>
      </c>
      <c r="F17" s="16">
        <f t="shared" ref="F17:F21" ca="1" si="10">C17/B17</f>
        <v>0.18039110383621529</v>
      </c>
      <c r="G17" s="16">
        <f ca="1">(B17/'Financial Tracker'!$I$18)-1</f>
        <v>-3.6615404480644931E-2</v>
      </c>
      <c r="H17" s="14" cm="1">
        <f t="array" aca="1" ref="H17" ca="1">LOOKUP(2,1/(Ledger!S:S&lt;&gt;""),Ledger!S:S)*B17*0.97</f>
        <v>0</v>
      </c>
      <c r="I17" s="14">
        <f t="shared" ca="1" si="9"/>
        <v>0</v>
      </c>
    </row>
    <row r="18" spans="1:11">
      <c r="A18" s="15">
        <f ca="1">A13+90</f>
        <v>46332</v>
      </c>
      <c r="B18" s="14">
        <f ca="1">_xlfn.LET(
  _xlpm.lastRow, MATCH(1E+99, Trends!W:W),
  _xlpm.startRow, MAX(11, _xlpm.lastRow - 49),
  _xlfn.FORECAST.ETS(
    A18,
    INDEX(Trends!W:W, _xlpm.startRow):INDEX(Trends!W:W, _xlpm.lastRow),
    INDEX(Trends!V:V, _xlpm.startRow):INDEX(Trends!V:V, _xlpm.lastRow)
  )
)</f>
        <v>97.402804218383906</v>
      </c>
      <c r="C18" s="14">
        <f ca="1">_xlfn.LET(
  _xlpm.lastRow, MATCH(1E+99, Trends!W:W),
  _xlpm.startRow, MAX(11, _xlpm.lastRow - 49),
  _xlfn.FORECAST.ETS.CONFINT(
    A18,
    INDEX(Trends!W:W, _xlpm.startRow):INDEX(Trends!W:W, _xlpm.lastRow),
    INDEX(Trends!V:V, _xlpm.startRow):INDEX(Trends!V:V, _xlpm.lastRow)
  )
)</f>
        <v>30.733721710103755</v>
      </c>
      <c r="D18" s="14">
        <f t="shared" ca="1" si="7"/>
        <v>66.669082508280155</v>
      </c>
      <c r="E18" s="14">
        <f t="shared" ca="1" si="8"/>
        <v>128.13652592848766</v>
      </c>
      <c r="F18" s="16">
        <f t="shared" ca="1" si="10"/>
        <v>0.31553220625144013</v>
      </c>
      <c r="G18" s="16">
        <f ca="1">(B18/'Financial Tracker'!$I$18)-1</f>
        <v>-7.9191405022671635E-4</v>
      </c>
      <c r="H18" s="14" cm="1">
        <f t="array" aca="1" ref="H18" ca="1">LOOKUP(2,1/(Ledger!S:S&lt;&gt;""),Ledger!S:S)*B18*0.97</f>
        <v>0</v>
      </c>
      <c r="I18" s="14">
        <f t="shared" ca="1" si="9"/>
        <v>0</v>
      </c>
    </row>
    <row r="19" spans="1:11">
      <c r="A19" s="15">
        <f ca="1">A13+183</f>
        <v>46425</v>
      </c>
      <c r="B19" s="14">
        <f ca="1">_xlfn.LET(
  _xlpm.lastRow, MATCH(1E+99, Trends!W:W),
  _xlpm.startRow, MAX(11, _xlpm.lastRow - 49),
  _xlfn.FORECAST.ETS(
    A19,
    INDEX(Trends!W:W, _xlpm.startRow):INDEX(Trends!W:W, _xlpm.lastRow),
    INDEX(Trends!V:V, _xlpm.startRow):INDEX(Trends!V:V, _xlpm.lastRow)
  )
)</f>
        <v>95.123228187205967</v>
      </c>
      <c r="C19" s="14">
        <f ca="1">_xlfn.LET(
  _xlpm.lastRow, MATCH(1E+99, Trends!W:W),
  _xlpm.startRow, MAX(11, _xlpm.lastRow - 49),
  _xlfn.FORECAST.ETS.CONFINT(
    A19,
    INDEX(Trends!W:W, _xlpm.startRow):INDEX(Trends!W:W, _xlpm.lastRow),
    INDEX(Trends!V:V, _xlpm.startRow):INDEX(Trends!V:V, _xlpm.lastRow)
  )
)</f>
        <v>46.68423996753635</v>
      </c>
      <c r="D19" s="14">
        <f t="shared" ca="1" si="7"/>
        <v>48.438988219669618</v>
      </c>
      <c r="E19" s="14">
        <f t="shared" ca="1" si="8"/>
        <v>141.80746815474231</v>
      </c>
      <c r="F19" s="16">
        <f t="shared" ca="1" si="10"/>
        <v>0.49077644711195112</v>
      </c>
      <c r="G19" s="16">
        <f ca="1">(B19/'Financial Tracker'!$I$18)-1</f>
        <v>-2.4176977972856339E-2</v>
      </c>
      <c r="H19" s="14" cm="1">
        <f t="array" aca="1" ref="H19" ca="1">LOOKUP(2,1/(Ledger!S:S&lt;&gt;""),Ledger!S:S)*B19*0.97</f>
        <v>0</v>
      </c>
      <c r="I19" s="14">
        <f ca="1">H19/B31</f>
        <v>0</v>
      </c>
    </row>
    <row r="20" spans="1:11">
      <c r="A20" s="15">
        <f ca="1">A13+365</f>
        <v>46607</v>
      </c>
      <c r="B20" s="14">
        <f ca="1">_xlfn.LET(
  _xlpm.lastRow, MATCH(1E+99, Trends!W:W),
  _xlpm.startRow, MAX(11, _xlpm.lastRow - 49),
  _xlfn.FORECAST.ETS(
    A20,
    INDEX(Trends!W:W, _xlpm.startRow):INDEX(Trends!W:W, _xlpm.lastRow),
    INDEX(Trends!V:V, _xlpm.startRow):INDEX(Trends!V:V, _xlpm.lastRow)
  )
)</f>
        <v>98.638017426935392</v>
      </c>
      <c r="C20" s="14">
        <f ca="1">_xlfn.LET(
  _xlpm.lastRow, MATCH(1E+99, Trends!W:W),
  _xlpm.startRow, MAX(11, _xlpm.lastRow - 49),
  _xlfn.FORECAST.ETS.CONFINT(
    A20,
    INDEX(Trends!W:W, _xlpm.startRow):INDEX(Trends!W:W, _xlpm.lastRow),
    INDEX(Trends!V:V, _xlpm.startRow):INDEX(Trends!V:V, _xlpm.lastRow)
  )
)</f>
        <v>74.149688098232943</v>
      </c>
      <c r="D20" s="14">
        <f t="shared" ca="1" si="7"/>
        <v>24.488329328702449</v>
      </c>
      <c r="E20" s="14">
        <f t="shared" ca="1" si="8"/>
        <v>172.78770552516835</v>
      </c>
      <c r="F20" s="16">
        <f t="shared" ca="1" si="10"/>
        <v>0.75173538593431477</v>
      </c>
      <c r="G20" s="16">
        <f ca="1">(B20/'Financial Tracker'!$I$18)-1</f>
        <v>1.1879538643161602E-2</v>
      </c>
      <c r="H20" s="14" cm="1">
        <f t="array" aca="1" ref="H20" ca="1">LOOKUP(2,1/(Ledger!S:S&lt;&gt;""),Ledger!S:S)*B20*0.97</f>
        <v>0</v>
      </c>
      <c r="I20" s="14">
        <f ca="1">H20/B33</f>
        <v>0</v>
      </c>
    </row>
    <row r="21" spans="1:11">
      <c r="A21" s="15">
        <v>46569</v>
      </c>
      <c r="B21" s="14">
        <f>_xlfn.LET(
  _xlpm.lastRow, MATCH(1E+99, Trends!W:W),
  _xlpm.startRow, MAX(11, _xlpm.lastRow - 49),
  _xlfn.FORECAST.ETS(
    A21,
    INDEX(Trends!W:W, _xlpm.startRow):INDEX(Trends!W:W, _xlpm.lastRow),
    INDEX(Trends!V:V, _xlpm.startRow):INDEX(Trends!V:V, _xlpm.lastRow)
  )
)</f>
        <v>99.458962086447215</v>
      </c>
      <c r="C21" s="14">
        <f>_xlfn.LET(
  _xlpm.lastRow, MATCH(1E+99, Trends!W:W),
  _xlpm.startRow, MAX(11, _xlpm.lastRow - 49),
  _xlfn.FORECAST.ETS.CONFINT(
    A21,
    INDEX(Trends!W:W, _xlpm.startRow):INDEX(Trends!W:W, _xlpm.lastRow),
    INDEX(Trends!V:V, _xlpm.startRow):INDEX(Trends!V:V, _xlpm.lastRow)
  )
)</f>
        <v>68.562421443018465</v>
      </c>
      <c r="D21" s="14">
        <f t="shared" si="7"/>
        <v>30.89654064342875</v>
      </c>
      <c r="E21" s="14">
        <f t="shared" si="8"/>
        <v>168.02138352946568</v>
      </c>
      <c r="F21" s="16">
        <f t="shared" si="10"/>
        <v>0.68935388028105238</v>
      </c>
      <c r="G21" s="16">
        <f>(B21/'Financial Tracker'!$I$18)-1</f>
        <v>2.0301211391538843E-2</v>
      </c>
      <c r="H21" s="14" cm="1">
        <f t="array" ref="H21">LOOKUP(2,1/(Ledger!S:S&lt;&gt;""),Ledger!S:S)*B21*0.97</f>
        <v>0</v>
      </c>
      <c r="I21" s="14">
        <f>H21/B32</f>
        <v>0</v>
      </c>
    </row>
    <row r="22" spans="1:11">
      <c r="C22" s="14" t="s">
        <v>261</v>
      </c>
      <c r="D22" s="14" cm="1">
        <f t="array" ref="D22">_xlfn.LET(
  _xlpm.lastRow, MATCH(1E+99, Trends!W:W),
  _xlpm.startRow, MAX(11, _xlpm.lastRow - 49),
  _xlpm.values, INDEX(Trends!W:W, _xlfn.SEQUENCE(50,,_xlpm.startRow)),
  _xlpm.dates, INDEX(Trends!V:V, _xlfn.SEQUENCE(50,,_xlpm.startRow)),
  _xlfn.FORECAST.ETS.STAT(_xlpm.values, _xlpm.dates, 6, 0, TRUE)
)</f>
        <v>1.5993296454986208</v>
      </c>
      <c r="E22" s="14" t="s">
        <v>262</v>
      </c>
      <c r="F22" s="16" cm="1">
        <f t="array" ref="F22">_xlfn.LET(
  _xlpm.lastRow, MATCH(1E+99, Trends!W:W),
  _xlpm.startRow, MAX(11, _xlpm.lastRow - 49),
  _xlpm.values, INDEX(Trends!W:W, _xlfn.SEQUENCE(50,,_xlpm.startRow)),
  _xlpm.dates, INDEX(Trends!V:V, _xlfn.SEQUENCE(50,,_xlpm.startRow)),
  _xlfn.FORECAST.ETS.STAT(_xlpm.values, _xlpm.dates, 5, 0, TRUE)
)</f>
        <v>1.7158042407055821E-2</v>
      </c>
    </row>
    <row r="23" spans="1:11">
      <c r="A23" s="14" t="s">
        <v>135</v>
      </c>
      <c r="B23" s="14" t="s">
        <v>257</v>
      </c>
    </row>
    <row r="24" spans="1:11">
      <c r="A24" s="15">
        <f ca="1">TODAY()</f>
        <v>46242</v>
      </c>
      <c r="B24" s="98">
        <f>'Financial Tracker'!J2</f>
        <v>47.77</v>
      </c>
      <c r="C24" s="14" t="s">
        <v>263</v>
      </c>
      <c r="D24" s="14" t="s">
        <v>258</v>
      </c>
      <c r="E24" s="14" t="s">
        <v>259</v>
      </c>
      <c r="F24" s="14" t="s">
        <v>260</v>
      </c>
      <c r="G24" s="14" t="s">
        <v>270</v>
      </c>
      <c r="H24" s="14">
        <f>MAX(Ledger!AE:AE)*Forecast!B24</f>
        <v>0</v>
      </c>
      <c r="I24" s="14">
        <v>123</v>
      </c>
      <c r="J24" s="14" t="s">
        <v>281</v>
      </c>
    </row>
    <row r="25" spans="1:11">
      <c r="A25" s="15">
        <f ca="1">A24+1</f>
        <v>46243</v>
      </c>
      <c r="B25" s="14">
        <f ca="1">_xlfn.LET(
  _xlpm.lastRow, MATCH(1E+99, Trends!AM:AM),
  _xlpm.startRow, MAX(11, _xlpm.lastRow - 49),
  _xlfn.FORECAST.ETS(
    A25,
    INDEX(Trends!AM:AM, _xlpm.startRow):INDEX(Trends!AM:AM, _xlpm.lastRow),
    INDEX(Trends!AL:AL, _xlpm.startRow):INDEX(Trends!AL:AL, _xlpm.lastRow)
  )
)</f>
        <v>47.698952048473345</v>
      </c>
      <c r="C25" s="14" cm="1">
        <f t="array" aca="1" ref="C25" ca="1">_xlfn.LET(
  _xlpm.dates, _xlfn._xlws.FILTER(Trends!AL$16:AL$1005, (Trends!AL$16:AL$1005&lt;A25)*ISNUMBER(Trends!AM$16:AM$1005)),
  _xlpm.values, _xlfn._xlws.FILTER(Trends!AM$16:AM$1005, (Trends!AL$16:AL$1005&lt;A25)*ISNUMBER(Trends!AM$16:AM$1005)),
  _xlpm.n, MIN(50, ROWS(_xlpm.values)),
  _xlfn.FORECAST.ETS.CONFINT(
    A25,
    _xlfn.TAKE(_xlpm.values,-_xlpm.n),
    _xlfn.TAKE(_xlpm.dates,-_xlpm.n),
    0.95,
    1,
    1,
    1
  )
)</f>
        <v>2.0874768201019293E-2</v>
      </c>
      <c r="D25" s="14">
        <f ca="1">B25-C25</f>
        <v>47.678077280272326</v>
      </c>
      <c r="E25" s="14">
        <f ca="1">B25+C25</f>
        <v>47.719826816674363</v>
      </c>
      <c r="F25" s="16">
        <f ca="1">C25/B25</f>
        <v>4.3763578243407995E-4</v>
      </c>
      <c r="G25" s="16">
        <f ca="1">(B25/'Financial Tracker'!$I$20)-1</f>
        <v>-1.4872922655779774E-3</v>
      </c>
      <c r="H25" s="14">
        <f ca="1">MAX(Ledger!AE:AE)*(Forecast!B25-1)</f>
        <v>0</v>
      </c>
      <c r="I25" s="16">
        <f ca="1">1-_xlfn.NORM.DIST($I$24,B25,C25/1.96,1)</f>
        <v>0</v>
      </c>
      <c r="J25" s="14">
        <f>_xlfn.CEILING.MATH(B24)</f>
        <v>48</v>
      </c>
      <c r="K25" s="15" cm="1">
        <f t="array" aca="1" ref="K25" ca="1">INDEX(A24:A37, MATCH(TRUE, B24:B37&gt;=J25, 0))</f>
        <v>46272</v>
      </c>
    </row>
    <row r="26" spans="1:11">
      <c r="A26" s="15">
        <f ca="1">A24+3</f>
        <v>46245</v>
      </c>
      <c r="B26" s="14">
        <f ca="1">_xlfn.LET(
  _xlpm.lastRow, MATCH(1E+99, Trends!AM:AM),
  _xlpm.startRow, MAX(11, _xlpm.lastRow - 49),
  _xlfn.FORECAST.ETS(
    A26,
    INDEX(Trends!AM:AM, _xlpm.startRow):INDEX(Trends!AM:AM, _xlpm.lastRow),
    INDEX(Trends!AL:AL, _xlpm.startRow):INDEX(Trends!AL:AL, _xlpm.lastRow)
  )
)</f>
        <v>47.730349281578903</v>
      </c>
      <c r="C26" s="14">
        <f ca="1">_xlfn.LET(
  _xlpm.lastRow, MATCH(1E+99, Trends!AM:AM),
  _xlpm.startRow, MAX(11, _xlpm.lastRow - 49),
  _xlfn.FORECAST.ETS.CONFINT(
    A26,
    INDEX(Trends!AM:AM, _xlpm.startRow):INDEX(Trends!AM:AM, _xlpm.lastRow),
    INDEX(Trends!AL:AL, _xlpm.startRow):INDEX(Trends!AL:AL, _xlpm.lastRow)
  )
)</f>
        <v>2.0659512880779499E-2</v>
      </c>
      <c r="D26" s="14">
        <f t="shared" ref="D26" ca="1" si="11">B26-C26</f>
        <v>47.709689768698126</v>
      </c>
      <c r="E26" s="14">
        <f t="shared" ref="E26" ca="1" si="12">B26+C26</f>
        <v>47.751008794459679</v>
      </c>
      <c r="F26" s="16">
        <f t="shared" ref="F26:F27" ca="1" si="13">C26/B26</f>
        <v>4.3283808293338537E-4</v>
      </c>
      <c r="G26" s="16">
        <f ca="1">(B26/'Financial Tracker'!$I$20)-1</f>
        <v>-8.3003387944524665E-4</v>
      </c>
      <c r="H26" s="14">
        <f ca="1">MAX(Ledger!AE:AE)*(Forecast!B26-1)</f>
        <v>0</v>
      </c>
      <c r="I26" s="16">
        <f t="shared" ref="I26:I38" ca="1" si="14">1-_xlfn.NORM.DIST($I$24,B26,C26/1.96,1)</f>
        <v>0</v>
      </c>
      <c r="J26" s="14">
        <v>49</v>
      </c>
      <c r="K26" s="15" cm="1">
        <f t="array" aca="1" ref="K26" ca="1">INDEX(A25:A41, MATCH(TRUE, B25:B41&gt;=J26, 0))</f>
        <v>46332</v>
      </c>
    </row>
    <row r="27" spans="1:11">
      <c r="A27" s="15">
        <f ca="1">A24+7</f>
        <v>46249</v>
      </c>
      <c r="B27" s="14">
        <f ca="1">_xlfn.LET(
  _xlpm.lastRow, MATCH(1E+99, Trends!AM:AM),
  _xlpm.startRow, MAX(11, _xlpm.lastRow - 49),
  _xlfn.FORECAST.ETS(
    A27,
    INDEX(Trends!AM:AM, _xlpm.startRow):INDEX(Trends!AM:AM, _xlpm.lastRow),
    INDEX(Trends!AL:AL, _xlpm.startRow):INDEX(Trends!AL:AL, _xlpm.lastRow)
  )
)</f>
        <v>47.877759641294716</v>
      </c>
      <c r="C27" s="14">
        <f ca="1">_xlfn.LET(
  _xlpm.lastRow, MATCH(1E+99, Trends!AM:AM),
  _xlpm.startRow, MAX(11, _xlpm.lastRow - 49),
  _xlfn.FORECAST.ETS.CONFINT(
    A27,
    INDEX(Trends!AM:AM, _xlpm.startRow):INDEX(Trends!AM:AM, _xlpm.lastRow),
    INDEX(Trends!AL:AL, _xlpm.startRow):INDEX(Trends!AL:AL, _xlpm.lastRow)
  )
)</f>
        <v>2.133059583432478E-2</v>
      </c>
      <c r="D27" s="14">
        <f t="shared" ref="D27:D34" ca="1" si="15">B27-C27</f>
        <v>47.856429045460395</v>
      </c>
      <c r="E27" s="14">
        <f t="shared" ref="E27:E34" ca="1" si="16">B27+C27</f>
        <v>47.899090237129037</v>
      </c>
      <c r="F27" s="16">
        <f t="shared" ca="1" si="13"/>
        <v>4.4552201260326046E-4</v>
      </c>
      <c r="G27" s="16">
        <f ca="1">(B27/'Financial Tracker'!$I$20)-1</f>
        <v>2.2558015761924288E-3</v>
      </c>
      <c r="H27" s="14">
        <f ca="1">MAX(Ledger!AE:AE)*(Forecast!B27-1)</f>
        <v>0</v>
      </c>
      <c r="I27" s="16">
        <f t="shared" ca="1" si="14"/>
        <v>0</v>
      </c>
      <c r="J27" s="14">
        <f>_xlfn.CEILING.MATH(B24,10)</f>
        <v>50</v>
      </c>
      <c r="K27" s="15" cm="1">
        <f t="array" aca="1" ref="K27" ca="1">INDEX(A26:A42, MATCH(TRUE, B26:B42&gt;=J27, 0))</f>
        <v>46332</v>
      </c>
    </row>
    <row r="28" spans="1:11">
      <c r="A28" s="15">
        <f ca="1">A6</f>
        <v>46272</v>
      </c>
      <c r="B28" s="14">
        <f ca="1">_xlfn.LET(
  _xlpm.lastRow, MATCH(1E+99, Trends!AM:AM),
  _xlpm.startRow, MAX(11, _xlpm.lastRow - 49),
  _xlfn.FORECAST.ETS(
    A28,
    INDEX(Trends!AM:AM, _xlpm.startRow):INDEX(Trends!AM:AM, _xlpm.lastRow),
    INDEX(Trends!AL:AL, _xlpm.startRow):INDEX(Trends!AL:AL, _xlpm.lastRow)
  )
)</f>
        <v>48.422691823159198</v>
      </c>
      <c r="C28" s="14">
        <f ca="1">_xlfn.LET(
  _xlpm.lastRow, MATCH(1E+99, Trends!AM:AM),
  _xlpm.startRow, MAX(11, _xlpm.lastRow - 49),
  _xlfn.FORECAST.ETS.CONFINT(
    A28,
    INDEX(Trends!AM:AM, _xlpm.startRow):INDEX(Trends!AM:AM, _xlpm.lastRow),
    INDEX(Trends!AL:AL, _xlpm.startRow):INDEX(Trends!AL:AL, _xlpm.lastRow)
  )
)</f>
        <v>2.5562858589783119E-2</v>
      </c>
      <c r="D28" s="14">
        <f t="shared" ca="1" si="15"/>
        <v>48.397128964569418</v>
      </c>
      <c r="E28" s="14">
        <f t="shared" ca="1" si="16"/>
        <v>48.448254681748978</v>
      </c>
      <c r="F28" s="16">
        <f t="shared" ref="F28:F33" ca="1" si="17">C28/B28</f>
        <v>5.2791073001763871E-4</v>
      </c>
      <c r="G28" s="16">
        <f ca="1">(B28/'Financial Tracker'!$I$20)-1</f>
        <v>1.3663215891965619E-2</v>
      </c>
      <c r="H28" s="14">
        <f ca="1">MAX(Ledger!AE:AE)*(Forecast!B28-1)</f>
        <v>0</v>
      </c>
      <c r="I28" s="16">
        <f t="shared" ca="1" si="14"/>
        <v>0</v>
      </c>
      <c r="J28" s="14">
        <f>_xlfn.CEILING.MATH(B24,20)</f>
        <v>60</v>
      </c>
      <c r="K28" s="15" cm="1">
        <f t="array" aca="1" ref="K28" ca="1">INDEX(A27:A43, MATCH(TRUE, B27:B43&gt;=J28, 0))</f>
        <v>46972</v>
      </c>
    </row>
    <row r="29" spans="1:11">
      <c r="A29" s="15">
        <f ca="1">A7</f>
        <v>46332</v>
      </c>
      <c r="B29" s="14">
        <f ca="1">_xlfn.LET(
  _xlpm.lastRow, MATCH(1E+99, Trends!AM:AM),
  _xlpm.startRow, MAX(11, _xlpm.lastRow - 49),
  _xlfn.FORECAST.ETS(
    A29,
    INDEX(Trends!AM:AM, _xlpm.startRow):INDEX(Trends!AM:AM, _xlpm.lastRow),
    INDEX(Trends!AL:AL, _xlpm.startRow):INDEX(Trends!AL:AL, _xlpm.lastRow)
  )
)</f>
        <v>50.017395937429484</v>
      </c>
      <c r="C29" s="14">
        <f ca="1">_xlfn.LET(
  _xlpm.lastRow, MATCH(1E+99, Trends!AM:AM),
  _xlpm.startRow, MAX(11, _xlpm.lastRow - 49),
  _xlfn.FORECAST.ETS.CONFINT(
    A29,
    INDEX(Trends!AM:AM, _xlpm.startRow):INDEX(Trends!AM:AM, _xlpm.lastRow),
    INDEX(Trends!AL:AL, _xlpm.startRow):INDEX(Trends!AL:AL, _xlpm.lastRow)
  )
)</f>
        <v>3.8989302496622115E-2</v>
      </c>
      <c r="D29" s="14">
        <f t="shared" ca="1" si="15"/>
        <v>49.97840663493286</v>
      </c>
      <c r="E29" s="14">
        <f t="shared" ca="1" si="16"/>
        <v>50.056385239926108</v>
      </c>
      <c r="F29" s="16">
        <f t="shared" ca="1" si="17"/>
        <v>7.7951484210407032E-4</v>
      </c>
      <c r="G29" s="16">
        <f ca="1">(B29/'Financial Tracker'!$I$20)-1</f>
        <v>4.7046178300805597E-2</v>
      </c>
      <c r="H29" s="14">
        <f ca="1">MAX(Ledger!AE:AE)*(Forecast!B29-1)</f>
        <v>0</v>
      </c>
      <c r="I29" s="16">
        <f t="shared" ca="1" si="14"/>
        <v>0</v>
      </c>
    </row>
    <row r="30" spans="1:11">
      <c r="A30" s="53">
        <v>46388</v>
      </c>
      <c r="B30" s="14">
        <f>_xlfn.LET(
  _xlpm.lastRow, MATCH(1E+99, Trends!AM:AM),
  _xlpm.startRow, MAX(11, _xlpm.lastRow - 49),
  _xlfn.FORECAST.ETS(
    A30,
    INDEX(Trends!AM:AM, _xlpm.startRow):INDEX(Trends!AM:AM, _xlpm.lastRow),
    INDEX(Trends!AL:AL, _xlpm.startRow):INDEX(Trends!AL:AL, _xlpm.lastRow)
  )
)</f>
        <v>51.443539621332199</v>
      </c>
      <c r="C30" s="14">
        <f>_xlfn.LET(
  _xlpm.lastRow, MATCH(1E+99, Trends!AM:AM),
  _xlpm.startRow, MAX(11, _xlpm.lastRow - 49),
  _xlfn.FORECAST.ETS.CONFINT(
    A30,
    INDEX(Trends!AM:AM, _xlpm.startRow):INDEX(Trends!AM:AM, _xlpm.lastRow),
    INDEX(Trends!AL:AL, _xlpm.startRow):INDEX(Trends!AL:AL, _xlpm.lastRow)
  )
)</f>
        <v>5.3955482806622684E-2</v>
      </c>
      <c r="D30" s="14">
        <f t="shared" ref="D30" si="18">B30-C30</f>
        <v>51.389584138525578</v>
      </c>
      <c r="E30" s="14">
        <f t="shared" ref="E30" si="19">B30+C30</f>
        <v>51.497495104138821</v>
      </c>
      <c r="F30" s="16">
        <f t="shared" ref="F30" si="20">C30/B30</f>
        <v>1.0488291280845079E-3</v>
      </c>
      <c r="G30" s="16">
        <f>(B30/'Financial Tracker'!$I$20)-1</f>
        <v>7.6900557281394111E-2</v>
      </c>
      <c r="H30" s="14">
        <f>MAX(Ledger!AE:AE)*(Forecast!B30-1)</f>
        <v>0</v>
      </c>
      <c r="I30" s="16">
        <f t="shared" ref="I30" si="21">1-_xlfn.NORM.DIST($I$24,B30,C30/1.96,1)</f>
        <v>0</v>
      </c>
    </row>
    <row r="31" spans="1:11">
      <c r="A31" s="15">
        <f ca="1">A8</f>
        <v>46425</v>
      </c>
      <c r="B31" s="14">
        <f ca="1">_xlfn.LET(
  _xlpm.lastRow, MATCH(1E+99, Trends!AM:AM),
  _xlpm.startRow, MAX(11, _xlpm.lastRow - 49),
  _xlfn.FORECAST.ETS(
    A31,
    INDEX(Trends!AM:AM, _xlpm.startRow):INDEX(Trends!AM:AM, _xlpm.lastRow),
    INDEX(Trends!AL:AL, _xlpm.startRow):INDEX(Trends!AL:AL, _xlpm.lastRow)
  )
)</f>
        <v>52.333919021157186</v>
      </c>
      <c r="C31" s="14">
        <f ca="1">_xlfn.LET(
  _xlpm.lastRow, MATCH(1E+99, Trends!AM:AM),
  _xlpm.startRow, MAX(11, _xlpm.lastRow - 49),
  _xlfn.FORECAST.ETS.CONFINT(
    A31,
    INDEX(Trends!AM:AM, _xlpm.startRow):INDEX(Trends!AM:AM, _xlpm.lastRow),
    INDEX(Trends!AL:AL, _xlpm.startRow):INDEX(Trends!AL:AL, _xlpm.lastRow)
  )
)</f>
        <v>6.4901582360008675E-2</v>
      </c>
      <c r="D31" s="14">
        <f t="shared" ca="1" si="15"/>
        <v>52.269017438797178</v>
      </c>
      <c r="E31" s="14">
        <f t="shared" ca="1" si="16"/>
        <v>52.398820603517194</v>
      </c>
      <c r="F31" s="16">
        <f t="shared" ca="1" si="17"/>
        <v>1.2401437456608347E-3</v>
      </c>
      <c r="G31" s="16">
        <f ca="1">(B31/'Financial Tracker'!$I$20)-1</f>
        <v>9.5539439421335137E-2</v>
      </c>
      <c r="H31" s="14">
        <f ca="1">MAX(Ledger!AE:AE)*(Forecast!B31-1)</f>
        <v>0</v>
      </c>
      <c r="I31" s="16">
        <f t="shared" ca="1" si="14"/>
        <v>0</v>
      </c>
    </row>
    <row r="32" spans="1:11">
      <c r="A32" s="50">
        <f>A10</f>
        <v>46569</v>
      </c>
      <c r="B32" s="51">
        <f>_xlfn.LET(
  _xlpm.lastRow, MATCH(1E+99, Trends!AM:AM),
  _xlpm.startRow, MAX(11, _xlpm.lastRow - 49),
  _xlfn.FORECAST.ETS(
    A32,
    INDEX(Trends!AM:AM, _xlpm.startRow):INDEX(Trends!AM:AM, _xlpm.lastRow),
    INDEX(Trends!AL:AL, _xlpm.startRow):INDEX(Trends!AL:AL, _xlpm.lastRow)
  )
)</f>
        <v>55.995310778094357</v>
      </c>
      <c r="C32" s="51">
        <f>_xlfn.LET(
  _xlpm.lastRow, MATCH(1E+99, Trends!AM:AM),
  _xlpm.startRow, MAX(11, _xlpm.lastRow - 49),
  _xlfn.FORECAST.ETS.CONFINT(
    A32,
    INDEX(Trends!AM:AM, _xlpm.startRow):INDEX(Trends!AM:AM, _xlpm.lastRow),
    INDEX(Trends!AL:AL, _xlpm.startRow):INDEX(Trends!AL:AL, _xlpm.lastRow)
  )
)</f>
        <v>0.11416914985332237</v>
      </c>
      <c r="D32" s="51">
        <f>B32-C32</f>
        <v>55.881141628241032</v>
      </c>
      <c r="E32" s="51">
        <f>B32+C32</f>
        <v>56.109479927947682</v>
      </c>
      <c r="F32" s="52">
        <f>C32/B32</f>
        <v>2.0389055488193829E-3</v>
      </c>
      <c r="G32" s="16">
        <f>(B32/'Financial Tracker'!$I$20)-1</f>
        <v>0.17218569767834113</v>
      </c>
      <c r="H32" s="14">
        <f>MAX(Ledger!AE:AE)*(Forecast!B32-1)</f>
        <v>0</v>
      </c>
      <c r="I32" s="16">
        <f>1-_xlfn.NORM.DIST($I$24,B32,C32/1.96,1)</f>
        <v>0</v>
      </c>
    </row>
    <row r="33" spans="1:9">
      <c r="A33" s="15">
        <f ca="1">A9</f>
        <v>46607</v>
      </c>
      <c r="B33" s="14">
        <f ca="1">_xlfn.LET(
  _xlpm.lastRow, MATCH(1E+99, Trends!AM:AM),
  _xlpm.startRow, MAX(11, _xlpm.lastRow - 49),
  _xlfn.FORECAST.ETS(
    A33,
    INDEX(Trends!AM:AM, _xlpm.startRow):INDEX(Trends!AM:AM, _xlpm.lastRow),
    INDEX(Trends!AL:AL, _xlpm.startRow):INDEX(Trends!AL:AL, _xlpm.lastRow)
  )
)</f>
        <v>56.96888599384102</v>
      </c>
      <c r="C33" s="14">
        <f ca="1">_xlfn.LET(
  _xlpm.lastRow, MATCH(1E+99, Trends!AM:AM),
  _xlpm.startRow, MAX(11, _xlpm.lastRow - 49),
  _xlfn.FORECAST.ETS.CONFINT(
    A33,
    INDEX(Trends!AM:AM, _xlpm.startRow):INDEX(Trends!AM:AM, _xlpm.lastRow),
    INDEX(Trends!AL:AL, _xlpm.startRow):INDEX(Trends!AL:AL, _xlpm.lastRow)
  )
)</f>
        <v>0.12873188135145902</v>
      </c>
      <c r="D33" s="14">
        <f t="shared" ca="1" si="15"/>
        <v>56.840154112489564</v>
      </c>
      <c r="E33" s="14">
        <f t="shared" ca="1" si="16"/>
        <v>57.097617875192476</v>
      </c>
      <c r="F33" s="16">
        <f t="shared" ca="1" si="17"/>
        <v>2.2596875312846454E-3</v>
      </c>
      <c r="G33" s="16">
        <f ca="1">(B33/'Financial Tracker'!$I$20)-1</f>
        <v>0.19256617110824825</v>
      </c>
      <c r="H33" s="14">
        <f ca="1">MAX(Ledger!AE:AE)*(Forecast!B33-1)</f>
        <v>0</v>
      </c>
      <c r="I33" s="16">
        <f t="shared" ca="1" si="14"/>
        <v>0</v>
      </c>
    </row>
    <row r="34" spans="1:9">
      <c r="A34" s="15">
        <f ca="1">A24+(2*365)</f>
        <v>46972</v>
      </c>
      <c r="B34" s="14">
        <f ca="1">_xlfn.LET(
  _xlpm.lastRow, MATCH(1E+99, Trends!AM:AM),
  _xlpm.startRow, MAX(11, _xlpm.lastRow - 49),
  _xlfn.FORECAST.ETS(
    A34,
    INDEX(Trends!AM:AM, _xlpm.startRow):INDEX(Trends!AM:AM, _xlpm.lastRow),
    INDEX(Trends!AL:AL, _xlpm.startRow):INDEX(Trends!AL:AL, _xlpm.lastRow)
  )
)</f>
        <v>66.249487871943202</v>
      </c>
      <c r="C34" s="14">
        <f ca="1">_xlfn.LET(
  _xlpm.lastRow, MATCH(1E+99, Trends!AM:AM),
  _xlpm.startRow, MAX(11, _xlpm.lastRow - 49),
  _xlfn.FORECAST.ETS.CONFINT(
    A34,
    INDEX(Trends!AM:AM, _xlpm.startRow):INDEX(Trends!AM:AM, _xlpm.lastRow),
    INDEX(Trends!AL:AL, _xlpm.startRow):INDEX(Trends!AL:AL, _xlpm.lastRow)
  )
)</f>
        <v>0.29586900221490248</v>
      </c>
      <c r="D34" s="14">
        <f t="shared" ca="1" si="15"/>
        <v>65.953618869728302</v>
      </c>
      <c r="E34" s="14">
        <f t="shared" ca="1" si="16"/>
        <v>66.545356874158102</v>
      </c>
      <c r="F34" s="16">
        <f t="shared" ref="F34:F35" ca="1" si="22">C34/B34</f>
        <v>4.4659817263312555E-3</v>
      </c>
      <c r="G34" s="16">
        <f ca="1">(B34/B33)-1</f>
        <v>0.16290650091184022</v>
      </c>
      <c r="I34" s="16">
        <f t="shared" ca="1" si="14"/>
        <v>0</v>
      </c>
    </row>
    <row r="35" spans="1:9">
      <c r="A35" s="15">
        <f ca="1">A34+365</f>
        <v>47337</v>
      </c>
      <c r="B35" s="14">
        <f ca="1">_xlfn.LET(
  _xlpm.lastRow, MATCH(1E+99, Trends!AM:AM),
  _xlpm.startRow, MAX(11, _xlpm.lastRow - 49),
  _xlfn.FORECAST.ETS(
    A35,
    INDEX(Trends!AM:AM, _xlpm.startRow):INDEX(Trends!AM:AM, _xlpm.lastRow),
    INDEX(Trends!AL:AL, _xlpm.startRow):INDEX(Trends!AL:AL, _xlpm.lastRow)
  )
)</f>
        <v>75.54015111768193</v>
      </c>
      <c r="C35" s="14">
        <f ca="1">_xlfn.LET(
  _xlpm.lastRow, MATCH(1E+99, Trends!AM:AM),
  _xlpm.startRow, MAX(11, _xlpm.lastRow - 49),
  _xlfn.FORECAST.ETS.CONFINT(
    A35,
    INDEX(Trends!AM:AM, _xlpm.startRow):INDEX(Trends!AM:AM, _xlpm.lastRow),
    INDEX(Trends!AL:AL, _xlpm.startRow):INDEX(Trends!AL:AL, _xlpm.lastRow)
  )
)</f>
        <v>0.50413888708161825</v>
      </c>
      <c r="D35" s="14">
        <f t="shared" ref="D35:D36" ca="1" si="23">B35-C35</f>
        <v>75.036012230600306</v>
      </c>
      <c r="E35" s="14">
        <f t="shared" ref="E35:E36" ca="1" si="24">B35+C35</f>
        <v>76.044290004763553</v>
      </c>
      <c r="F35" s="16">
        <f t="shared" ca="1" si="22"/>
        <v>6.6737871135078095E-3</v>
      </c>
      <c r="G35" s="16">
        <f ca="1">(B35/B34)-1</f>
        <v>0.14023751041965937</v>
      </c>
      <c r="I35" s="16">
        <f t="shared" ca="1" si="14"/>
        <v>0</v>
      </c>
    </row>
    <row r="36" spans="1:9">
      <c r="A36" s="15">
        <f t="shared" ref="A36" ca="1" si="25">A35+365</f>
        <v>47702</v>
      </c>
      <c r="B36" s="14">
        <f ca="1">_xlfn.LET(
  _xlpm.lastRow, MATCH(1E+99, Trends!AM:AM),
  _xlpm.startRow, MAX(11, _xlpm.lastRow - 49),
  _xlfn.FORECAST.ETS(
    A36,
    INDEX(Trends!AM:AM, _xlpm.startRow):INDEX(Trends!AM:AM, _xlpm.lastRow),
    INDEX(Trends!AL:AL, _xlpm.startRow):INDEX(Trends!AL:AL, _xlpm.lastRow)
  )
)</f>
        <v>84.814702449642738</v>
      </c>
      <c r="C36" s="14">
        <f ca="1">_xlfn.LET(
  _xlpm.lastRow, MATCH(1E+99, Trends!AM:AM),
  _xlpm.startRow, MAX(11, _xlpm.lastRow - 49),
  _xlfn.FORECAST.ETS.CONFINT(
    A36,
    INDEX(Trends!AM:AM, _xlpm.startRow):INDEX(Trends!AM:AM, _xlpm.lastRow),
    INDEX(Trends!AL:AL, _xlpm.startRow):INDEX(Trends!AL:AL, _xlpm.lastRow)
  )
)</f>
        <v>0.74650900828415612</v>
      </c>
      <c r="D36" s="14">
        <f t="shared" ca="1" si="23"/>
        <v>84.068193441358588</v>
      </c>
      <c r="E36" s="14">
        <f t="shared" ca="1" si="24"/>
        <v>85.561211457926888</v>
      </c>
      <c r="F36" s="16">
        <f t="shared" ref="F36" ca="1" si="26">C36/B36</f>
        <v>8.8016462561710095E-3</v>
      </c>
      <c r="G36" s="16">
        <f t="shared" ref="G36" ca="1" si="27">(B36/B35)-1</f>
        <v>0.12277644662786336</v>
      </c>
      <c r="I36" s="16">
        <f t="shared" ca="1" si="14"/>
        <v>0</v>
      </c>
    </row>
    <row r="37" spans="1:9">
      <c r="A37" s="15">
        <f ca="1">A36+365</f>
        <v>48067</v>
      </c>
      <c r="B37" s="14">
        <f ca="1">_xlfn.LET(
  _xlpm.lastRow, MATCH(1E+99, Trends!AM:AM),
  _xlpm.startRow, MAX(11, _xlpm.lastRow - 49),
  _xlfn.FORECAST.ETS(
    A37,
    INDEX(Trends!AM:AM, _xlpm.startRow):INDEX(Trends!AM:AM, _xlpm.lastRow),
    INDEX(Trends!AL:AL, _xlpm.startRow):INDEX(Trends!AL:AL, _xlpm.lastRow)
  )
)</f>
        <v>94.144654322492102</v>
      </c>
      <c r="C37" s="14">
        <f ca="1">_xlfn.LET(
  _xlpm.lastRow, MATCH(1E+99, Trends!AM:AM),
  _xlpm.startRow, MAX(11, _xlpm.lastRow - 49),
  _xlfn.FORECAST.ETS.CONFINT(
    A37,
    INDEX(Trends!AM:AM, _xlpm.startRow):INDEX(Trends!AM:AM, _xlpm.lastRow),
    INDEX(Trends!AL:AL, _xlpm.startRow):INDEX(Trends!AL:AL, _xlpm.lastRow)
  )
)</f>
        <v>1.0186992929911347</v>
      </c>
      <c r="D37" s="14">
        <f ca="1">B37-C37</f>
        <v>93.125955029500972</v>
      </c>
      <c r="E37" s="14">
        <f ca="1">B37+C37</f>
        <v>95.163353615483231</v>
      </c>
      <c r="F37" s="16">
        <f ca="1">C37/B37</f>
        <v>1.0820575000483668E-2</v>
      </c>
      <c r="G37" s="16">
        <f ca="1">(B37/B36)-1</f>
        <v>0.11000394511068246</v>
      </c>
      <c r="I37" s="16">
        <f t="shared" ca="1" si="14"/>
        <v>0</v>
      </c>
    </row>
    <row r="38" spans="1:9">
      <c r="A38" s="15">
        <v>51136</v>
      </c>
      <c r="B38" s="14">
        <f>_xlfn.LET(
  _xlpm.lastRow, MATCH(1E+99, Trends!AM:AM),
  _xlpm.startRow, MAX(11, _xlpm.lastRow - 49),
  _xlfn.FORECAST.ETS(
    A38,
    INDEX(Trends!AM:AM, _xlpm.startRow):INDEX(Trends!AM:AM, _xlpm.lastRow),
    INDEX(Trends!AL:AL, _xlpm.startRow):INDEX(Trends!AL:AL, _xlpm.lastRow)
  )
)</f>
        <v>172.30825642947346</v>
      </c>
      <c r="C38" s="14">
        <f>_xlfn.LET(
  _xlpm.lastRow, MATCH(1E+99, Trends!AM:AM),
  _xlpm.startRow, MAX(11, _xlpm.lastRow - 49),
  _xlfn.FORECAST.ETS.CONFINT(
    A38,
    INDEX(Trends!AM:AM, _xlpm.startRow):INDEX(Trends!AM:AM, _xlpm.lastRow),
    INDEX(Trends!AL:AL, _xlpm.startRow):INDEX(Trends!AL:AL, _xlpm.lastRow)
  )
)</f>
        <v>4.2069379452265689</v>
      </c>
      <c r="D38" s="14">
        <f>B38-C38</f>
        <v>168.10131848424689</v>
      </c>
      <c r="E38" s="14">
        <f>B38+C38</f>
        <v>176.51519437470003</v>
      </c>
      <c r="F38" s="16">
        <f>C38/B38</f>
        <v>2.4415184927302002E-2</v>
      </c>
      <c r="G38" s="16">
        <f ca="1">((B38/B37)-1)/10</f>
        <v>8.3025003033345118E-2</v>
      </c>
      <c r="I38" s="16">
        <f t="shared" si="14"/>
        <v>1</v>
      </c>
    </row>
    <row r="39" spans="1:9">
      <c r="A39" s="15">
        <v>54789</v>
      </c>
      <c r="B39" s="14">
        <f>_xlfn.LET(
  _xlpm.lastRow, MATCH(1E+99, Trends!AM:AM),
  _xlpm.startRow, MAX(11, _xlpm.lastRow - 49),
  _xlfn.FORECAST.ETS(
    A39,
    INDEX(Trends!AM:AM, _xlpm.startRow):INDEX(Trends!AM:AM, _xlpm.lastRow),
    INDEX(Trends!AL:AL, _xlpm.startRow):INDEX(Trends!AL:AL, _xlpm.lastRow)
  )
)</f>
        <v>265.36467143645945</v>
      </c>
      <c r="C39" s="14">
        <f>_xlfn.LET(
  _xlpm.lastRow, MATCH(1E+99, Trends!AM:AM),
  _xlpm.startRow, MAX(11, _xlpm.lastRow - 49),
  _xlfn.FORECAST.ETS.CONFINT(
    A39,
    INDEX(Trends!AM:AM, _xlpm.startRow):INDEX(Trends!AM:AM, _xlpm.lastRow),
    INDEX(Trends!AL:AL, _xlpm.startRow):INDEX(Trends!AL:AL, _xlpm.lastRow)
  )
)</f>
        <v>9.55514802540171</v>
      </c>
      <c r="D39" s="14">
        <f t="shared" ref="D39:D40" si="28">B39-C39</f>
        <v>255.80952341105774</v>
      </c>
      <c r="E39" s="14">
        <f t="shared" ref="E39:E40" si="29">B39+C39</f>
        <v>274.91981946186115</v>
      </c>
      <c r="F39" s="16">
        <f t="shared" ref="F39:F40" si="30">C39/B39</f>
        <v>3.6007611614908029E-2</v>
      </c>
      <c r="G39" s="16">
        <f t="shared" ref="G39:G40" si="31">((B39/B38)-1)/10</f>
        <v>5.4005778327328377E-2</v>
      </c>
      <c r="I39" s="16">
        <f t="shared" ref="I39:I40" si="32">1-_xlfn.NORM.DIST($I$24,B39,C39/1.96,1)</f>
        <v>1</v>
      </c>
    </row>
    <row r="40" spans="1:9">
      <c r="A40" s="15">
        <v>58441</v>
      </c>
      <c r="B40" s="14">
        <f>_xlfn.LET(
  _xlpm.lastRow, MATCH(1E+99, Trends!AM:AM),
  _xlpm.startRow, MAX(11, _xlpm.lastRow - 49),
  _xlfn.FORECAST.ETS(
    A40,
    INDEX(Trends!AM:AM, _xlpm.startRow):INDEX(Trends!AM:AM, _xlpm.lastRow),
    INDEX(Trends!AL:AL, _xlpm.startRow):INDEX(Trends!AL:AL, _xlpm.lastRow)
  )
)</f>
        <v>358.33777176547085</v>
      </c>
      <c r="C40" s="14">
        <f>_xlfn.LET(
  _xlpm.lastRow, MATCH(1E+99, Trends!AM:AM),
  _xlpm.startRow, MAX(11, _xlpm.lastRow - 49),
  _xlfn.FORECAST.ETS.CONFINT(
    A40,
    INDEX(Trends!AM:AM, _xlpm.startRow):INDEX(Trends!AM:AM, _xlpm.lastRow),
    INDEX(Trends!AL:AL, _xlpm.startRow):INDEX(Trends!AL:AL, _xlpm.lastRow)
  )
)</f>
        <v>16.188022344107281</v>
      </c>
      <c r="D40" s="14">
        <f t="shared" si="28"/>
        <v>342.14974942136359</v>
      </c>
      <c r="E40" s="14">
        <f t="shared" si="29"/>
        <v>374.5257941095781</v>
      </c>
      <c r="F40" s="16">
        <f t="shared" si="30"/>
        <v>4.5175316753105814E-2</v>
      </c>
      <c r="G40" s="16">
        <f t="shared" si="31"/>
        <v>3.5035975145347661E-2</v>
      </c>
      <c r="I40" s="16">
        <f t="shared" si="32"/>
        <v>1</v>
      </c>
    </row>
    <row r="41" spans="1:9">
      <c r="C41" s="14" t="s">
        <v>261</v>
      </c>
      <c r="D41" s="14" cm="1">
        <f t="array" ref="D41">_xlfn.LET(
  _xlpm.lastRow, MATCH(1E+99, Trends!AM:AM),
  _xlpm.startRow, MAX(11, _xlpm.lastRow - 49),
  _xlpm.values, INDEX(Trends!AM:AM, _xlfn.SEQUENCE(50,,_xlpm.startRow)),
  _xlpm.dates, INDEX(Trends!AL:AL, _xlfn.SEQUENCE(50,,_xlpm.startRow)),
  _xlfn.FORECAST.ETS.STAT(_xlpm.values, _xlpm.dates, 6, 0, TRUE)
)</f>
        <v>2.4724989330200488E-2</v>
      </c>
      <c r="E41" s="14" t="s">
        <v>262</v>
      </c>
      <c r="F41" s="16" cm="1">
        <f t="array" ref="F41">_xlfn.LET(
  _xlpm.lastRow, MATCH(1E+99, Trends!AM:AM),
  _xlpm.startRow, MAX(11, _xlpm.lastRow - 49),
  _xlpm.values, INDEX(Trends!AM:AM, _xlfn.SEQUENCE(50,,_xlpm.startRow)),
  _xlpm.dates, INDEX(Trends!AL:AL, _xlfn.SEQUENCE(50,,_xlpm.startRow)),
  _xlfn.FORECAST.ETS.STAT(_xlpm.values, _xlpm.dates, 5, 0, TRUE)
)</f>
        <v>5.1959365091399485E-4</v>
      </c>
    </row>
    <row r="47" spans="1:9">
      <c r="B47" s="15"/>
    </row>
  </sheetData>
  <mergeCells count="2">
    <mergeCell ref="O13:P13"/>
    <mergeCell ref="O14:P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E4FD0-8716-4C70-90BA-671E04F4236E}">
  <sheetPr codeName="Sheet7"/>
  <dimension ref="A2:P33"/>
  <sheetViews>
    <sheetView workbookViewId="0">
      <selection activeCell="H5" sqref="H5"/>
    </sheetView>
  </sheetViews>
  <sheetFormatPr defaultRowHeight="15"/>
  <cols>
    <col min="1" max="2" width="9.140625" style="14" customWidth="1"/>
    <col min="3" max="3" width="19.42578125" style="14" customWidth="1"/>
    <col min="4" max="5" width="9.140625" style="14"/>
    <col min="6" max="6" width="13" style="14" customWidth="1"/>
    <col min="7" max="7" width="9.140625" style="14"/>
    <col min="8" max="8" width="26.85546875" style="6" customWidth="1"/>
    <col min="9" max="9" width="9.140625" style="14"/>
    <col min="10" max="10" width="10.42578125" style="14" bestFit="1" customWidth="1"/>
    <col min="11" max="11" width="9.140625" style="14"/>
    <col min="12" max="12" width="9.85546875" style="14" bestFit="1" customWidth="1"/>
    <col min="13" max="13" width="12.42578125" style="14" bestFit="1" customWidth="1"/>
    <col min="14" max="14" width="12.140625" style="14" customWidth="1"/>
    <col min="15" max="15" width="13.85546875" style="14" customWidth="1"/>
    <col min="16" max="16384" width="9.140625" style="14"/>
  </cols>
  <sheetData>
    <row r="2" spans="1:16">
      <c r="B2" s="14" t="s">
        <v>135</v>
      </c>
    </row>
    <row r="3" spans="1:16">
      <c r="A3" s="14" t="s">
        <v>601</v>
      </c>
      <c r="B3" s="14" t="s">
        <v>600</v>
      </c>
      <c r="C3" s="14" t="s">
        <v>590</v>
      </c>
      <c r="D3" s="14" t="s">
        <v>599</v>
      </c>
      <c r="E3" s="14" t="s">
        <v>591</v>
      </c>
      <c r="F3" s="14" t="s">
        <v>592</v>
      </c>
      <c r="G3" s="14" t="s">
        <v>596</v>
      </c>
      <c r="H3" s="6" t="s">
        <v>593</v>
      </c>
      <c r="I3" s="14" t="s">
        <v>594</v>
      </c>
      <c r="J3" s="14" t="s">
        <v>1599</v>
      </c>
      <c r="K3" s="14" t="s">
        <v>602</v>
      </c>
      <c r="L3" s="14" t="s">
        <v>595</v>
      </c>
      <c r="M3" s="14" t="s">
        <v>248</v>
      </c>
      <c r="N3" s="14" t="s">
        <v>597</v>
      </c>
      <c r="O3" s="14" t="s">
        <v>598</v>
      </c>
      <c r="P3" s="14" t="s">
        <v>260</v>
      </c>
    </row>
    <row r="4" spans="1:16">
      <c r="A4" s="14">
        <f>LEN(C4)-2</f>
        <v>11</v>
      </c>
      <c r="B4" s="14">
        <v>1</v>
      </c>
      <c r="C4" s="14" t="s">
        <v>1607</v>
      </c>
      <c r="D4" s="14">
        <v>2020</v>
      </c>
      <c r="E4" s="136">
        <v>100</v>
      </c>
      <c r="H4" s="6" t="s">
        <v>1608</v>
      </c>
      <c r="L4" s="6"/>
      <c r="M4" s="137">
        <f>L4*E4</f>
        <v>0</v>
      </c>
      <c r="N4" s="138">
        <f>E4*'Financial Tracker'!$J$3</f>
        <v>4776</v>
      </c>
      <c r="O4" s="138">
        <f>N4-M4</f>
        <v>4776</v>
      </c>
      <c r="P4" s="139" t="e">
        <f>O4/M4</f>
        <v>#DIV/0!</v>
      </c>
    </row>
    <row r="5" spans="1:16">
      <c r="E5" s="136"/>
      <c r="L5" s="140"/>
      <c r="M5" s="137"/>
      <c r="N5" s="138"/>
      <c r="O5" s="138"/>
      <c r="P5" s="139"/>
    </row>
    <row r="6" spans="1:16">
      <c r="E6" s="136"/>
      <c r="N6" s="138"/>
    </row>
    <row r="7" spans="1:16">
      <c r="E7" s="136"/>
      <c r="N7" s="138"/>
    </row>
    <row r="8" spans="1:16">
      <c r="E8" s="136"/>
      <c r="N8" s="138"/>
    </row>
    <row r="9" spans="1:16">
      <c r="E9" s="136"/>
      <c r="N9" s="138"/>
    </row>
    <row r="10" spans="1:16">
      <c r="E10" s="136"/>
      <c r="N10" s="138"/>
    </row>
    <row r="11" spans="1:16">
      <c r="E11" s="136"/>
      <c r="I11" s="141"/>
      <c r="J11" s="141"/>
      <c r="M11" s="137"/>
      <c r="N11" s="138"/>
      <c r="O11" s="138"/>
      <c r="P11" s="139"/>
    </row>
    <row r="12" spans="1:16">
      <c r="E12" s="136"/>
      <c r="N12" s="138"/>
    </row>
    <row r="13" spans="1:16">
      <c r="E13" s="136"/>
      <c r="N13" s="138"/>
    </row>
    <row r="14" spans="1:16">
      <c r="E14" s="136"/>
      <c r="N14" s="138"/>
    </row>
    <row r="15" spans="1:16">
      <c r="E15" s="136"/>
      <c r="N15" s="138"/>
    </row>
    <row r="16" spans="1:16">
      <c r="E16" s="136"/>
      <c r="N16" s="138"/>
    </row>
    <row r="17" spans="5:16">
      <c r="E17" s="136"/>
      <c r="N17" s="138"/>
    </row>
    <row r="18" spans="5:16">
      <c r="E18" s="136"/>
      <c r="N18" s="138"/>
    </row>
    <row r="19" spans="5:16">
      <c r="E19" s="136"/>
      <c r="N19" s="138"/>
    </row>
    <row r="20" spans="5:16">
      <c r="E20" s="136"/>
      <c r="N20" s="138"/>
    </row>
    <row r="21" spans="5:16">
      <c r="E21" s="136"/>
      <c r="N21" s="138"/>
    </row>
    <row r="22" spans="5:16">
      <c r="E22" s="136"/>
      <c r="N22" s="138"/>
    </row>
    <row r="23" spans="5:16">
      <c r="E23" s="136"/>
      <c r="N23" s="138"/>
    </row>
    <row r="24" spans="5:16">
      <c r="E24" s="136"/>
      <c r="N24" s="138"/>
    </row>
    <row r="25" spans="5:16">
      <c r="E25" s="136"/>
      <c r="N25" s="138"/>
    </row>
    <row r="26" spans="5:16">
      <c r="E26" s="136"/>
      <c r="N26" s="138"/>
    </row>
    <row r="27" spans="5:16">
      <c r="E27" s="136"/>
      <c r="N27" s="138"/>
    </row>
    <row r="28" spans="5:16">
      <c r="E28" s="136"/>
      <c r="N28" s="138"/>
    </row>
    <row r="29" spans="5:16">
      <c r="E29" s="136"/>
      <c r="I29" s="141"/>
      <c r="J29" s="141"/>
      <c r="M29" s="137"/>
      <c r="N29" s="138"/>
      <c r="O29" s="138"/>
      <c r="P29" s="139"/>
    </row>
    <row r="30" spans="5:16">
      <c r="E30" s="136"/>
      <c r="I30" s="141"/>
      <c r="J30" s="141"/>
      <c r="M30" s="137"/>
      <c r="N30" s="138"/>
      <c r="O30" s="138"/>
      <c r="P30" s="139"/>
    </row>
    <row r="31" spans="5:16">
      <c r="E31" s="136"/>
      <c r="I31" s="15"/>
      <c r="J31" s="15"/>
      <c r="M31" s="137"/>
      <c r="N31" s="138"/>
      <c r="O31" s="138"/>
      <c r="P31" s="139"/>
    </row>
    <row r="32" spans="5:16">
      <c r="E32" s="136"/>
      <c r="I32" s="141"/>
      <c r="J32" s="141"/>
      <c r="M32" s="137"/>
      <c r="N32" s="138"/>
      <c r="O32" s="138"/>
      <c r="P32" s="139"/>
    </row>
    <row r="33" spans="5:16">
      <c r="E33" s="136"/>
      <c r="I33" s="141"/>
      <c r="J33" s="141"/>
      <c r="M33" s="137"/>
      <c r="N33" s="138"/>
      <c r="O33" s="138"/>
      <c r="P33" s="139"/>
    </row>
  </sheetData>
  <phoneticPr fontId="2"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Financial Tracker</vt:lpstr>
      <vt:lpstr>Trends</vt:lpstr>
      <vt:lpstr>Daily Log</vt:lpstr>
      <vt:lpstr>Ledger</vt:lpstr>
      <vt:lpstr>Forecast</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2026-08-08T13:56:49Z</dcterms:created>
  <dcterms:modified xsi:type="dcterms:W3CDTF">2026-08-08T20:28:09Z</dcterms:modified>
  <cp:category/>
  <cp:contentStatus/>
</cp:coreProperties>
</file>